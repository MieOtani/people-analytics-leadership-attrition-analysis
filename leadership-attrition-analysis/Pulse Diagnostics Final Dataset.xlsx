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thebeergroup-my.sharepoint.com/personal/amy_bushell_thebeerstore_ca1/Documents/Desktop/York Course/Class 3/"/>
    </mc:Choice>
  </mc:AlternateContent>
  <xr:revisionPtr revIDLastSave="2084" documentId="8_{C893B2E8-C8D5-4A1D-8C3C-8A7A2CFA6AE7}" xr6:coauthVersionLast="47" xr6:coauthVersionMax="47" xr10:uidLastSave="{29125617-84E6-414A-8A7C-231732C9A096}"/>
  <bookViews>
    <workbookView xWindow="-110" yWindow="-110" windowWidth="19420" windowHeight="10300" firstSheet="9" activeTab="11" xr2:uid="{00000000-000D-0000-FFFF-FFFF00000000}"/>
  </bookViews>
  <sheets>
    <sheet name="Read_Me" sheetId="4" r:id="rId1"/>
    <sheet name="Clean_Data" sheetId="1" r:id="rId2"/>
    <sheet name="H1_TenureStage" sheetId="17" r:id="rId3"/>
    <sheet name="H2_LongTenure" sheetId="18" r:id="rId4"/>
    <sheet name="H3_Department" sheetId="19" r:id="rId5"/>
    <sheet name="H4_TimeinRole" sheetId="9" r:id="rId6"/>
    <sheet name="H5__SalesR&amp;D" sheetId="20" r:id="rId7"/>
    <sheet name="H6_Travel" sheetId="21" r:id="rId8"/>
    <sheet name="H7_WorkLifeBalance" sheetId="22" r:id="rId9"/>
    <sheet name="H8_EngagementDrivers" sheetId="24" r:id="rId10"/>
    <sheet name="H9_SalaryIncrease" sheetId="14" r:id="rId11"/>
    <sheet name="H10_Performance" sheetId="15" r:id="rId12"/>
    <sheet name="Summary_Findings" sheetId="25" r:id="rId13"/>
    <sheet name="External Data" sheetId="5" r:id="rId14"/>
    <sheet name="Employee Engagement Survey" sheetId="2" r:id="rId15"/>
    <sheet name="Data Dictionary" sheetId="3" r:id="rId16"/>
  </sheets>
  <definedNames>
    <definedName name="_xlnm._FilterDatabase" localSheetId="1" hidden="1">Clean_Data!$A$1:$AI$1472</definedName>
    <definedName name="_xlnm._FilterDatabase" localSheetId="14" hidden="1">'Employee Engagement Survey'!$A$1:$E$1471</definedName>
  </definedNames>
  <calcPr calcId="191028"/>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9" l="1"/>
  <c r="G17" i="19"/>
  <c r="B13" i="15"/>
  <c r="B12" i="14"/>
  <c r="B12" i="9"/>
  <c r="E11" i="24"/>
  <c r="E10" i="24"/>
  <c r="E9" i="24"/>
  <c r="E8" i="24"/>
  <c r="E7" i="24"/>
  <c r="B15" i="22"/>
  <c r="C20" i="21"/>
  <c r="B20" i="21"/>
  <c r="D18" i="21"/>
  <c r="D19" i="21"/>
  <c r="D17" i="21"/>
  <c r="C20" i="19"/>
  <c r="B20" i="19"/>
  <c r="D18" i="19"/>
  <c r="D19" i="19"/>
  <c r="D17" i="19"/>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2" i="1"/>
  <c r="AI241" i="1"/>
  <c r="E242" i="1"/>
  <c r="E243" i="1"/>
  <c r="E3" i="1"/>
  <c r="E4" i="1"/>
  <c r="E5" i="1"/>
  <c r="E6" i="1"/>
  <c r="E244" i="1"/>
  <c r="E245" i="1"/>
  <c r="E246" i="1"/>
  <c r="E247" i="1"/>
  <c r="E7" i="1"/>
  <c r="E248" i="1"/>
  <c r="E249" i="1"/>
  <c r="E8" i="1"/>
  <c r="E9" i="1"/>
  <c r="E10" i="1"/>
  <c r="E11" i="1"/>
  <c r="E250" i="1"/>
  <c r="E251" i="1"/>
  <c r="E252" i="1"/>
  <c r="E12" i="1"/>
  <c r="E13" i="1"/>
  <c r="E253" i="1"/>
  <c r="E254" i="1"/>
  <c r="E255" i="1"/>
  <c r="E256" i="1"/>
  <c r="E257" i="1"/>
  <c r="E258" i="1"/>
  <c r="E14" i="1"/>
  <c r="E259" i="1"/>
  <c r="E15" i="1"/>
  <c r="E260" i="1"/>
  <c r="E261" i="1"/>
  <c r="E262" i="1"/>
  <c r="E16" i="1"/>
  <c r="E263" i="1"/>
  <c r="E264" i="1"/>
  <c r="E265" i="1"/>
  <c r="E266" i="1"/>
  <c r="E267" i="1"/>
  <c r="E17" i="1"/>
  <c r="E18" i="1"/>
  <c r="E19" i="1"/>
  <c r="E268" i="1"/>
  <c r="E269" i="1"/>
  <c r="E270" i="1"/>
  <c r="E271" i="1"/>
  <c r="E272" i="1"/>
  <c r="E273" i="1"/>
  <c r="E20" i="1"/>
  <c r="E21" i="1"/>
  <c r="E22" i="1"/>
  <c r="E23" i="1"/>
  <c r="E274" i="1"/>
  <c r="E275" i="1"/>
  <c r="E24" i="1"/>
  <c r="E276" i="1"/>
  <c r="E277" i="1"/>
  <c r="E278" i="1"/>
  <c r="E279" i="1"/>
  <c r="E280" i="1"/>
  <c r="E25" i="1"/>
  <c r="E281" i="1"/>
  <c r="E282" i="1"/>
  <c r="E283" i="1"/>
  <c r="E26" i="1"/>
  <c r="E27" i="1"/>
  <c r="E284" i="1"/>
  <c r="E285" i="1"/>
  <c r="E286" i="1"/>
  <c r="E287" i="1"/>
  <c r="E288" i="1"/>
  <c r="E289" i="1"/>
  <c r="E290" i="1"/>
  <c r="E291" i="1"/>
  <c r="E292" i="1"/>
  <c r="E293" i="1"/>
  <c r="E294" i="1"/>
  <c r="E295" i="1"/>
  <c r="E296" i="1"/>
  <c r="E28" i="1"/>
  <c r="E297" i="1"/>
  <c r="E298" i="1"/>
  <c r="E29" i="1"/>
  <c r="E299" i="1"/>
  <c r="E300" i="1"/>
  <c r="E301" i="1"/>
  <c r="E302" i="1"/>
  <c r="E303" i="1"/>
  <c r="E304" i="1"/>
  <c r="E30" i="1"/>
  <c r="E305" i="1"/>
  <c r="E306" i="1"/>
  <c r="E307" i="1"/>
  <c r="E308" i="1"/>
  <c r="E309" i="1"/>
  <c r="E31" i="1"/>
  <c r="E310" i="1"/>
  <c r="E311" i="1"/>
  <c r="E312" i="1"/>
  <c r="E32" i="1"/>
  <c r="E313" i="1"/>
  <c r="E314" i="1"/>
  <c r="E315" i="1"/>
  <c r="E316" i="1"/>
  <c r="E317" i="1"/>
  <c r="E33" i="1"/>
  <c r="E34" i="1"/>
  <c r="E318" i="1"/>
  <c r="E35" i="1"/>
  <c r="E319" i="1"/>
  <c r="E320" i="1"/>
  <c r="E321" i="1"/>
  <c r="E322" i="1"/>
  <c r="E323" i="1"/>
  <c r="E324" i="1"/>
  <c r="E325" i="1"/>
  <c r="E326" i="1"/>
  <c r="E327" i="1"/>
  <c r="E328" i="1"/>
  <c r="E329" i="1"/>
  <c r="E36" i="1"/>
  <c r="E330" i="1"/>
  <c r="E331" i="1"/>
  <c r="E332" i="1"/>
  <c r="E37" i="1"/>
  <c r="E333" i="1"/>
  <c r="E334" i="1"/>
  <c r="E38" i="1"/>
  <c r="E335" i="1"/>
  <c r="E336" i="1"/>
  <c r="E337" i="1"/>
  <c r="E338" i="1"/>
  <c r="E339" i="1"/>
  <c r="E340" i="1"/>
  <c r="E341" i="1"/>
  <c r="E342" i="1"/>
  <c r="E39" i="1"/>
  <c r="E40" i="1"/>
  <c r="E41" i="1"/>
  <c r="E343" i="1"/>
  <c r="E344" i="1"/>
  <c r="E345" i="1"/>
  <c r="E346" i="1"/>
  <c r="E42" i="1"/>
  <c r="E347" i="1"/>
  <c r="E348" i="1"/>
  <c r="E43" i="1"/>
  <c r="E349" i="1"/>
  <c r="E350" i="1"/>
  <c r="E351" i="1"/>
  <c r="E44" i="1"/>
  <c r="E45" i="1"/>
  <c r="E352" i="1"/>
  <c r="E353" i="1"/>
  <c r="E354" i="1"/>
  <c r="E355" i="1"/>
  <c r="E356" i="1"/>
  <c r="E357" i="1"/>
  <c r="E358" i="1"/>
  <c r="E359" i="1"/>
  <c r="E360" i="1"/>
  <c r="E361" i="1"/>
  <c r="E362" i="1"/>
  <c r="E363" i="1"/>
  <c r="E364" i="1"/>
  <c r="E365" i="1"/>
  <c r="E366" i="1"/>
  <c r="E46" i="1"/>
  <c r="E367" i="1"/>
  <c r="E368" i="1"/>
  <c r="E369" i="1"/>
  <c r="E47" i="1"/>
  <c r="E370" i="1"/>
  <c r="E371" i="1"/>
  <c r="E372" i="1"/>
  <c r="E373" i="1"/>
  <c r="E374" i="1"/>
  <c r="E375" i="1"/>
  <c r="E376" i="1"/>
  <c r="E377" i="1"/>
  <c r="E378" i="1"/>
  <c r="E379" i="1"/>
  <c r="E380" i="1"/>
  <c r="E381" i="1"/>
  <c r="E382" i="1"/>
  <c r="E383" i="1"/>
  <c r="E384" i="1"/>
  <c r="E385" i="1"/>
  <c r="E48" i="1"/>
  <c r="E49" i="1"/>
  <c r="E50" i="1"/>
  <c r="E386" i="1"/>
  <c r="E51" i="1"/>
  <c r="E387" i="1"/>
  <c r="E388" i="1"/>
  <c r="E389" i="1"/>
  <c r="E390" i="1"/>
  <c r="E391" i="1"/>
  <c r="E52" i="1"/>
  <c r="E392" i="1"/>
  <c r="E393" i="1"/>
  <c r="E53" i="1"/>
  <c r="E394" i="1"/>
  <c r="E395" i="1"/>
  <c r="E396" i="1"/>
  <c r="E54" i="1"/>
  <c r="E397" i="1"/>
  <c r="E398" i="1"/>
  <c r="E399" i="1"/>
  <c r="E400" i="1"/>
  <c r="E55" i="1"/>
  <c r="E401" i="1"/>
  <c r="E402" i="1"/>
  <c r="E56" i="1"/>
  <c r="E403" i="1"/>
  <c r="E404" i="1"/>
  <c r="E405" i="1"/>
  <c r="E406" i="1"/>
  <c r="E407" i="1"/>
  <c r="E408" i="1"/>
  <c r="E409" i="1"/>
  <c r="E410" i="1"/>
  <c r="E411" i="1"/>
  <c r="E57" i="1"/>
  <c r="E412" i="1"/>
  <c r="E413" i="1"/>
  <c r="E414" i="1"/>
  <c r="E415" i="1"/>
  <c r="E58" i="1"/>
  <c r="E59" i="1"/>
  <c r="E416" i="1"/>
  <c r="E60" i="1"/>
  <c r="E417" i="1"/>
  <c r="E418" i="1"/>
  <c r="E419" i="1"/>
  <c r="E420" i="1"/>
  <c r="E421" i="1"/>
  <c r="E61" i="1"/>
  <c r="E422" i="1"/>
  <c r="E423" i="1"/>
  <c r="E424" i="1"/>
  <c r="E425" i="1"/>
  <c r="E426" i="1"/>
  <c r="E427" i="1"/>
  <c r="E428" i="1"/>
  <c r="E429" i="1"/>
  <c r="E62" i="1"/>
  <c r="E430" i="1"/>
  <c r="E431" i="1"/>
  <c r="E432" i="1"/>
  <c r="E433" i="1"/>
  <c r="E434" i="1"/>
  <c r="E435" i="1"/>
  <c r="E436" i="1"/>
  <c r="E437" i="1"/>
  <c r="E438" i="1"/>
  <c r="E63" i="1"/>
  <c r="E439" i="1"/>
  <c r="E440" i="1"/>
  <c r="E64" i="1"/>
  <c r="E441" i="1"/>
  <c r="E442" i="1"/>
  <c r="E65" i="1"/>
  <c r="E443" i="1"/>
  <c r="E444" i="1"/>
  <c r="E445" i="1"/>
  <c r="E66" i="1"/>
  <c r="E446" i="1"/>
  <c r="E447" i="1"/>
  <c r="E448" i="1"/>
  <c r="E449" i="1"/>
  <c r="E450" i="1"/>
  <c r="E451" i="1"/>
  <c r="E67" i="1"/>
  <c r="E68" i="1"/>
  <c r="E452" i="1"/>
  <c r="E453" i="1"/>
  <c r="E69" i="1"/>
  <c r="E454" i="1"/>
  <c r="E455" i="1"/>
  <c r="E456" i="1"/>
  <c r="E457" i="1"/>
  <c r="E458" i="1"/>
  <c r="E459" i="1"/>
  <c r="E460" i="1"/>
  <c r="E461" i="1"/>
  <c r="E462" i="1"/>
  <c r="E463" i="1"/>
  <c r="E70" i="1"/>
  <c r="E71" i="1"/>
  <c r="E464" i="1"/>
  <c r="E72" i="1"/>
  <c r="E465" i="1"/>
  <c r="E73" i="1"/>
  <c r="E466" i="1"/>
  <c r="E467" i="1"/>
  <c r="E468" i="1"/>
  <c r="E469" i="1"/>
  <c r="E74" i="1"/>
  <c r="E470" i="1"/>
  <c r="E75" i="1"/>
  <c r="E471" i="1"/>
  <c r="E472" i="1"/>
  <c r="E473" i="1"/>
  <c r="E474" i="1"/>
  <c r="E475" i="1"/>
  <c r="E476" i="1"/>
  <c r="E477" i="1"/>
  <c r="E76" i="1"/>
  <c r="E478" i="1"/>
  <c r="E77" i="1"/>
  <c r="E78" i="1"/>
  <c r="E479" i="1"/>
  <c r="E480" i="1"/>
  <c r="E481" i="1"/>
  <c r="E79" i="1"/>
  <c r="E482" i="1"/>
  <c r="E80" i="1"/>
  <c r="E483" i="1"/>
  <c r="E484" i="1"/>
  <c r="E81" i="1"/>
  <c r="E82" i="1"/>
  <c r="E485" i="1"/>
  <c r="E486" i="1"/>
  <c r="E487" i="1"/>
  <c r="E83" i="1"/>
  <c r="E488" i="1"/>
  <c r="E489" i="1"/>
  <c r="E490" i="1"/>
  <c r="E491" i="1"/>
  <c r="E492" i="1"/>
  <c r="E493" i="1"/>
  <c r="E84" i="1"/>
  <c r="E85" i="1"/>
  <c r="E494" i="1"/>
  <c r="E495" i="1"/>
  <c r="E496" i="1"/>
  <c r="E497" i="1"/>
  <c r="E498" i="1"/>
  <c r="E499" i="1"/>
  <c r="E500" i="1"/>
  <c r="E501" i="1"/>
  <c r="E502" i="1"/>
  <c r="E503" i="1"/>
  <c r="E504" i="1"/>
  <c r="E505" i="1"/>
  <c r="E506" i="1"/>
  <c r="E86" i="1"/>
  <c r="E507" i="1"/>
  <c r="E508" i="1"/>
  <c r="E509" i="1"/>
  <c r="E510" i="1"/>
  <c r="E511" i="1"/>
  <c r="E87" i="1"/>
  <c r="E512" i="1"/>
  <c r="E513" i="1"/>
  <c r="E514" i="1"/>
  <c r="E515" i="1"/>
  <c r="E88" i="1"/>
  <c r="E516" i="1"/>
  <c r="E517" i="1"/>
  <c r="E518" i="1"/>
  <c r="E519" i="1"/>
  <c r="E520" i="1"/>
  <c r="E89" i="1"/>
  <c r="E521" i="1"/>
  <c r="E522" i="1"/>
  <c r="E90" i="1"/>
  <c r="E523" i="1"/>
  <c r="E91" i="1"/>
  <c r="E524" i="1"/>
  <c r="E525" i="1"/>
  <c r="E526" i="1"/>
  <c r="E527" i="1"/>
  <c r="E528" i="1"/>
  <c r="E529" i="1"/>
  <c r="E530" i="1"/>
  <c r="E531" i="1"/>
  <c r="E532" i="1"/>
  <c r="E533" i="1"/>
  <c r="E534" i="1"/>
  <c r="E92" i="1"/>
  <c r="E535" i="1"/>
  <c r="E536" i="1"/>
  <c r="E537" i="1"/>
  <c r="E93" i="1"/>
  <c r="E538" i="1"/>
  <c r="E539" i="1"/>
  <c r="E94" i="1"/>
  <c r="E540" i="1"/>
  <c r="E541" i="1"/>
  <c r="E542" i="1"/>
  <c r="E543" i="1"/>
  <c r="E544" i="1"/>
  <c r="E545" i="1"/>
  <c r="E546" i="1"/>
  <c r="E547" i="1"/>
  <c r="E548" i="1"/>
  <c r="E549" i="1"/>
  <c r="E550" i="1"/>
  <c r="E551" i="1"/>
  <c r="E552" i="1"/>
  <c r="E553" i="1"/>
  <c r="E554" i="1"/>
  <c r="E95" i="1"/>
  <c r="E555" i="1"/>
  <c r="E556" i="1"/>
  <c r="E557" i="1"/>
  <c r="E558" i="1"/>
  <c r="E559" i="1"/>
  <c r="E560" i="1"/>
  <c r="E561" i="1"/>
  <c r="E562" i="1"/>
  <c r="E96" i="1"/>
  <c r="E563" i="1"/>
  <c r="E564" i="1"/>
  <c r="E565" i="1"/>
  <c r="E566" i="1"/>
  <c r="E567" i="1"/>
  <c r="E568" i="1"/>
  <c r="E97" i="1"/>
  <c r="E98" i="1"/>
  <c r="E569" i="1"/>
  <c r="E570" i="1"/>
  <c r="E99" i="1"/>
  <c r="E571" i="1"/>
  <c r="E572" i="1"/>
  <c r="E100" i="1"/>
  <c r="E573" i="1"/>
  <c r="E574" i="1"/>
  <c r="E101" i="1"/>
  <c r="E575" i="1"/>
  <c r="E576" i="1"/>
  <c r="E577" i="1"/>
  <c r="E578" i="1"/>
  <c r="E579" i="1"/>
  <c r="E580" i="1"/>
  <c r="E581" i="1"/>
  <c r="E582" i="1"/>
  <c r="E102" i="1"/>
  <c r="E583" i="1"/>
  <c r="E584" i="1"/>
  <c r="E585" i="1"/>
  <c r="E586" i="1"/>
  <c r="E587" i="1"/>
  <c r="E588" i="1"/>
  <c r="E103" i="1"/>
  <c r="E589" i="1"/>
  <c r="E590" i="1"/>
  <c r="E591" i="1"/>
  <c r="E592" i="1"/>
  <c r="E104" i="1"/>
  <c r="E593" i="1"/>
  <c r="E594" i="1"/>
  <c r="E105" i="1"/>
  <c r="E595" i="1"/>
  <c r="E596" i="1"/>
  <c r="E597" i="1"/>
  <c r="E598" i="1"/>
  <c r="E106" i="1"/>
  <c r="E599" i="1"/>
  <c r="E600" i="1"/>
  <c r="E601" i="1"/>
  <c r="E107" i="1"/>
  <c r="E602" i="1"/>
  <c r="E108" i="1"/>
  <c r="E603" i="1"/>
  <c r="E604" i="1"/>
  <c r="E605" i="1"/>
  <c r="E606" i="1"/>
  <c r="E607" i="1"/>
  <c r="E608" i="1"/>
  <c r="E609" i="1"/>
  <c r="E610" i="1"/>
  <c r="E109" i="1"/>
  <c r="E611" i="1"/>
  <c r="E110" i="1"/>
  <c r="E612" i="1"/>
  <c r="E613" i="1"/>
  <c r="E614" i="1"/>
  <c r="E615" i="1"/>
  <c r="E616" i="1"/>
  <c r="E617" i="1"/>
  <c r="E618" i="1"/>
  <c r="E619" i="1"/>
  <c r="E111" i="1"/>
  <c r="E620" i="1"/>
  <c r="E621" i="1"/>
  <c r="E622" i="1"/>
  <c r="E623" i="1"/>
  <c r="E624" i="1"/>
  <c r="E112" i="1"/>
  <c r="E625" i="1"/>
  <c r="E626" i="1"/>
  <c r="E627" i="1"/>
  <c r="E628" i="1"/>
  <c r="E629" i="1"/>
  <c r="E630" i="1"/>
  <c r="E631" i="1"/>
  <c r="E632" i="1"/>
  <c r="E633" i="1"/>
  <c r="E634" i="1"/>
  <c r="E635" i="1"/>
  <c r="E636" i="1"/>
  <c r="E637" i="1"/>
  <c r="E638" i="1"/>
  <c r="E639" i="1"/>
  <c r="E640" i="1"/>
  <c r="E641" i="1"/>
  <c r="E113" i="1"/>
  <c r="E642" i="1"/>
  <c r="E643" i="1"/>
  <c r="E644" i="1"/>
  <c r="E645" i="1"/>
  <c r="E646" i="1"/>
  <c r="E114" i="1"/>
  <c r="E647" i="1"/>
  <c r="E648" i="1"/>
  <c r="E649" i="1"/>
  <c r="E650" i="1"/>
  <c r="E651" i="1"/>
  <c r="E115" i="1"/>
  <c r="E652" i="1"/>
  <c r="E653" i="1"/>
  <c r="E654" i="1"/>
  <c r="E655" i="1"/>
  <c r="E656" i="1"/>
  <c r="E657" i="1"/>
  <c r="E658" i="1"/>
  <c r="E659" i="1"/>
  <c r="E660" i="1"/>
  <c r="E661" i="1"/>
  <c r="E662" i="1"/>
  <c r="E663" i="1"/>
  <c r="E664" i="1"/>
  <c r="E665" i="1"/>
  <c r="E666" i="1"/>
  <c r="E667" i="1"/>
  <c r="E668" i="1"/>
  <c r="E669" i="1"/>
  <c r="E116" i="1"/>
  <c r="E670" i="1"/>
  <c r="E671" i="1"/>
  <c r="E672" i="1"/>
  <c r="E673" i="1"/>
  <c r="E674" i="1"/>
  <c r="E675" i="1"/>
  <c r="E676" i="1"/>
  <c r="E677" i="1"/>
  <c r="E678" i="1"/>
  <c r="E679" i="1"/>
  <c r="E680" i="1"/>
  <c r="E681" i="1"/>
  <c r="E682" i="1"/>
  <c r="E683" i="1"/>
  <c r="E684" i="1"/>
  <c r="E117" i="1"/>
  <c r="E685" i="1"/>
  <c r="E686" i="1"/>
  <c r="E687" i="1"/>
  <c r="E688" i="1"/>
  <c r="E689" i="1"/>
  <c r="E690" i="1"/>
  <c r="E691" i="1"/>
  <c r="E692" i="1"/>
  <c r="E693" i="1"/>
  <c r="E118" i="1"/>
  <c r="E694" i="1"/>
  <c r="E695" i="1"/>
  <c r="E696" i="1"/>
  <c r="E119" i="1"/>
  <c r="E697" i="1"/>
  <c r="E698" i="1"/>
  <c r="E699" i="1"/>
  <c r="E700" i="1"/>
  <c r="E120" i="1"/>
  <c r="E701" i="1"/>
  <c r="E702" i="1"/>
  <c r="E703" i="1"/>
  <c r="E704" i="1"/>
  <c r="E705" i="1"/>
  <c r="E706" i="1"/>
  <c r="E707" i="1"/>
  <c r="E121" i="1"/>
  <c r="E708" i="1"/>
  <c r="E709" i="1"/>
  <c r="E710" i="1"/>
  <c r="E122" i="1"/>
  <c r="E123" i="1"/>
  <c r="E711" i="1"/>
  <c r="E712" i="1"/>
  <c r="E713" i="1"/>
  <c r="E714" i="1"/>
  <c r="E715" i="1"/>
  <c r="E716" i="1"/>
  <c r="E717" i="1"/>
  <c r="E718" i="1"/>
  <c r="E719" i="1"/>
  <c r="E720" i="1"/>
  <c r="E124" i="1"/>
  <c r="E125" i="1"/>
  <c r="E721" i="1"/>
  <c r="E722" i="1"/>
  <c r="E126" i="1"/>
  <c r="E723" i="1"/>
  <c r="E724" i="1"/>
  <c r="E725" i="1"/>
  <c r="E726" i="1"/>
  <c r="E727" i="1"/>
  <c r="E728" i="1"/>
  <c r="E729" i="1"/>
  <c r="E127" i="1"/>
  <c r="E730" i="1"/>
  <c r="E731" i="1"/>
  <c r="E128" i="1"/>
  <c r="E732" i="1"/>
  <c r="E733" i="1"/>
  <c r="E734" i="1"/>
  <c r="E735" i="1"/>
  <c r="E736" i="1"/>
  <c r="E737" i="1"/>
  <c r="E738" i="1"/>
  <c r="E739" i="1"/>
  <c r="E740" i="1"/>
  <c r="E741" i="1"/>
  <c r="E129" i="1"/>
  <c r="E742" i="1"/>
  <c r="E743" i="1"/>
  <c r="E744" i="1"/>
  <c r="E745" i="1"/>
  <c r="E746" i="1"/>
  <c r="E747" i="1"/>
  <c r="E748" i="1"/>
  <c r="E749" i="1"/>
  <c r="E750" i="1"/>
  <c r="E751" i="1"/>
  <c r="E752" i="1"/>
  <c r="E753" i="1"/>
  <c r="E754" i="1"/>
  <c r="E755" i="1"/>
  <c r="E756" i="1"/>
  <c r="E757" i="1"/>
  <c r="E758" i="1"/>
  <c r="E759" i="1"/>
  <c r="E760" i="1"/>
  <c r="E761" i="1"/>
  <c r="E762" i="1"/>
  <c r="E763" i="1"/>
  <c r="E764" i="1"/>
  <c r="E765" i="1"/>
  <c r="E130" i="1"/>
  <c r="E766" i="1"/>
  <c r="E767" i="1"/>
  <c r="E131" i="1"/>
  <c r="E768" i="1"/>
  <c r="E132" i="1"/>
  <c r="E769" i="1"/>
  <c r="E770" i="1"/>
  <c r="E771" i="1"/>
  <c r="E772" i="1"/>
  <c r="E773" i="1"/>
  <c r="E774" i="1"/>
  <c r="E775" i="1"/>
  <c r="E133" i="1"/>
  <c r="E776" i="1"/>
  <c r="E777" i="1"/>
  <c r="E778" i="1"/>
  <c r="E779" i="1"/>
  <c r="E780" i="1"/>
  <c r="E781" i="1"/>
  <c r="E782" i="1"/>
  <c r="E783" i="1"/>
  <c r="E784" i="1"/>
  <c r="E785" i="1"/>
  <c r="E134" i="1"/>
  <c r="E135" i="1"/>
  <c r="E786" i="1"/>
  <c r="E787" i="1"/>
  <c r="E788" i="1"/>
  <c r="E789" i="1"/>
  <c r="E136" i="1"/>
  <c r="E790" i="1"/>
  <c r="E791" i="1"/>
  <c r="E792" i="1"/>
  <c r="E793" i="1"/>
  <c r="E794" i="1"/>
  <c r="E137" i="1"/>
  <c r="E138" i="1"/>
  <c r="E795" i="1"/>
  <c r="E796" i="1"/>
  <c r="E139" i="1"/>
  <c r="E797" i="1"/>
  <c r="E798" i="1"/>
  <c r="E799" i="1"/>
  <c r="E800" i="1"/>
  <c r="E801" i="1"/>
  <c r="E802" i="1"/>
  <c r="E803" i="1"/>
  <c r="E804" i="1"/>
  <c r="E805" i="1"/>
  <c r="E806" i="1"/>
  <c r="E140" i="1"/>
  <c r="E807" i="1"/>
  <c r="E808" i="1"/>
  <c r="E809" i="1"/>
  <c r="E810" i="1"/>
  <c r="E811" i="1"/>
  <c r="E812" i="1"/>
  <c r="E813" i="1"/>
  <c r="E814" i="1"/>
  <c r="E815" i="1"/>
  <c r="E816" i="1"/>
  <c r="E141" i="1"/>
  <c r="E817" i="1"/>
  <c r="E818" i="1"/>
  <c r="E819" i="1"/>
  <c r="E820" i="1"/>
  <c r="E821" i="1"/>
  <c r="E822" i="1"/>
  <c r="E142" i="1"/>
  <c r="E823" i="1"/>
  <c r="E824" i="1"/>
  <c r="E825" i="1"/>
  <c r="E826" i="1"/>
  <c r="E827" i="1"/>
  <c r="E828" i="1"/>
  <c r="E829" i="1"/>
  <c r="E830" i="1"/>
  <c r="E831" i="1"/>
  <c r="E143" i="1"/>
  <c r="E832" i="1"/>
  <c r="E833" i="1"/>
  <c r="E834" i="1"/>
  <c r="E144" i="1"/>
  <c r="E145" i="1"/>
  <c r="E146" i="1"/>
  <c r="E835" i="1"/>
  <c r="E836" i="1"/>
  <c r="E837" i="1"/>
  <c r="E838" i="1"/>
  <c r="E839" i="1"/>
  <c r="E840" i="1"/>
  <c r="E841" i="1"/>
  <c r="E842" i="1"/>
  <c r="E147" i="1"/>
  <c r="E843" i="1"/>
  <c r="E844" i="1"/>
  <c r="E845" i="1"/>
  <c r="E148" i="1"/>
  <c r="E846" i="1"/>
  <c r="E847" i="1"/>
  <c r="E848" i="1"/>
  <c r="E849" i="1"/>
  <c r="E850" i="1"/>
  <c r="E851" i="1"/>
  <c r="E852" i="1"/>
  <c r="E853" i="1"/>
  <c r="E149" i="1"/>
  <c r="E854" i="1"/>
  <c r="E855" i="1"/>
  <c r="E150" i="1"/>
  <c r="E856" i="1"/>
  <c r="E857" i="1"/>
  <c r="E858" i="1"/>
  <c r="E151" i="1"/>
  <c r="E859" i="1"/>
  <c r="E152" i="1"/>
  <c r="E153" i="1"/>
  <c r="E860" i="1"/>
  <c r="E861" i="1"/>
  <c r="E862" i="1"/>
  <c r="E863" i="1"/>
  <c r="E154" i="1"/>
  <c r="E155" i="1"/>
  <c r="E864" i="1"/>
  <c r="E865" i="1"/>
  <c r="E866" i="1"/>
  <c r="E867" i="1"/>
  <c r="E868" i="1"/>
  <c r="E869" i="1"/>
  <c r="E870" i="1"/>
  <c r="E871" i="1"/>
  <c r="E872" i="1"/>
  <c r="E873" i="1"/>
  <c r="E874" i="1"/>
  <c r="E875" i="1"/>
  <c r="E876" i="1"/>
  <c r="E877" i="1"/>
  <c r="E156" i="1"/>
  <c r="E157" i="1"/>
  <c r="E878" i="1"/>
  <c r="E879" i="1"/>
  <c r="E880" i="1"/>
  <c r="E881" i="1"/>
  <c r="E882" i="1"/>
  <c r="E883" i="1"/>
  <c r="E884" i="1"/>
  <c r="E885" i="1"/>
  <c r="E886" i="1"/>
  <c r="E887" i="1"/>
  <c r="E888" i="1"/>
  <c r="E889" i="1"/>
  <c r="E890" i="1"/>
  <c r="E891" i="1"/>
  <c r="E158" i="1"/>
  <c r="E892" i="1"/>
  <c r="E893" i="1"/>
  <c r="E894" i="1"/>
  <c r="E159" i="1"/>
  <c r="E895" i="1"/>
  <c r="E896" i="1"/>
  <c r="E160" i="1"/>
  <c r="E161" i="1"/>
  <c r="E897" i="1"/>
  <c r="E898" i="1"/>
  <c r="E899" i="1"/>
  <c r="E900" i="1"/>
  <c r="E901" i="1"/>
  <c r="E162" i="1"/>
  <c r="E902" i="1"/>
  <c r="E903" i="1"/>
  <c r="E904" i="1"/>
  <c r="E905" i="1"/>
  <c r="E906" i="1"/>
  <c r="E907" i="1"/>
  <c r="E908" i="1"/>
  <c r="E909" i="1"/>
  <c r="E910" i="1"/>
  <c r="E911" i="1"/>
  <c r="E912" i="1"/>
  <c r="E913" i="1"/>
  <c r="E914" i="1"/>
  <c r="E915" i="1"/>
  <c r="E163" i="1"/>
  <c r="E916" i="1"/>
  <c r="E164" i="1"/>
  <c r="E917" i="1"/>
  <c r="E918" i="1"/>
  <c r="E919" i="1"/>
  <c r="E920" i="1"/>
  <c r="E165"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166"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167" i="1"/>
  <c r="E168" i="1"/>
  <c r="E989" i="1"/>
  <c r="E169" i="1"/>
  <c r="E990" i="1"/>
  <c r="E170" i="1"/>
  <c r="E171" i="1"/>
  <c r="E991" i="1"/>
  <c r="E992" i="1"/>
  <c r="E993" i="1"/>
  <c r="E994" i="1"/>
  <c r="E995" i="1"/>
  <c r="E172" i="1"/>
  <c r="E996" i="1"/>
  <c r="E997" i="1"/>
  <c r="E998" i="1"/>
  <c r="E173" i="1"/>
  <c r="E999" i="1"/>
  <c r="E1000" i="1"/>
  <c r="E1001" i="1"/>
  <c r="E1002" i="1"/>
  <c r="E1003" i="1"/>
  <c r="E1004" i="1"/>
  <c r="E1005" i="1"/>
  <c r="E1006" i="1"/>
  <c r="E1007" i="1"/>
  <c r="E1008" i="1"/>
  <c r="E1009" i="1"/>
  <c r="E1010" i="1"/>
  <c r="E1011" i="1"/>
  <c r="E174" i="1"/>
  <c r="E1012" i="1"/>
  <c r="E1013" i="1"/>
  <c r="E1014" i="1"/>
  <c r="E1015" i="1"/>
  <c r="E175" i="1"/>
  <c r="E1016" i="1"/>
  <c r="E1017" i="1"/>
  <c r="E1018" i="1"/>
  <c r="E1019" i="1"/>
  <c r="E1020" i="1"/>
  <c r="E1021" i="1"/>
  <c r="E1022" i="1"/>
  <c r="E1023" i="1"/>
  <c r="E1024" i="1"/>
  <c r="E1025" i="1"/>
  <c r="E1026" i="1"/>
  <c r="E1027" i="1"/>
  <c r="E1028" i="1"/>
  <c r="E1029" i="1"/>
  <c r="E1030" i="1"/>
  <c r="E1031" i="1"/>
  <c r="E176" i="1"/>
  <c r="E1032" i="1"/>
  <c r="E1033" i="1"/>
  <c r="E177" i="1"/>
  <c r="E1034" i="1"/>
  <c r="E1035" i="1"/>
  <c r="E1036" i="1"/>
  <c r="E1037" i="1"/>
  <c r="E1038" i="1"/>
  <c r="E1039" i="1"/>
  <c r="E1040" i="1"/>
  <c r="E1041" i="1"/>
  <c r="E1042" i="1"/>
  <c r="E1043" i="1"/>
  <c r="E1044" i="1"/>
  <c r="E1045" i="1"/>
  <c r="E1046" i="1"/>
  <c r="E178" i="1"/>
  <c r="E1047" i="1"/>
  <c r="E1048" i="1"/>
  <c r="E1049" i="1"/>
  <c r="E1050" i="1"/>
  <c r="E1051" i="1"/>
  <c r="E1052" i="1"/>
  <c r="E1053" i="1"/>
  <c r="E1054" i="1"/>
  <c r="E1055" i="1"/>
  <c r="E179" i="1"/>
  <c r="E1056" i="1"/>
  <c r="E180" i="1"/>
  <c r="E1057" i="1"/>
  <c r="E1058" i="1"/>
  <c r="E1059" i="1"/>
  <c r="E1060" i="1"/>
  <c r="E1061" i="1"/>
  <c r="E1062" i="1"/>
  <c r="E1063" i="1"/>
  <c r="E1064" i="1"/>
  <c r="E1065" i="1"/>
  <c r="E181" i="1"/>
  <c r="E1066" i="1"/>
  <c r="E1067" i="1"/>
  <c r="E1068" i="1"/>
  <c r="E1069" i="1"/>
  <c r="E1070" i="1"/>
  <c r="E1071" i="1"/>
  <c r="E1072" i="1"/>
  <c r="E1073" i="1"/>
  <c r="E1074" i="1"/>
  <c r="E1075" i="1"/>
  <c r="E1076" i="1"/>
  <c r="E1077" i="1"/>
  <c r="E1078" i="1"/>
  <c r="E1079" i="1"/>
  <c r="E1080" i="1"/>
  <c r="E1081" i="1"/>
  <c r="E1082" i="1"/>
  <c r="E1083" i="1"/>
  <c r="E182" i="1"/>
  <c r="E1084" i="1"/>
  <c r="E1085" i="1"/>
  <c r="E1086" i="1"/>
  <c r="E183" i="1"/>
  <c r="E1087" i="1"/>
  <c r="E1088" i="1"/>
  <c r="E1089" i="1"/>
  <c r="E1090" i="1"/>
  <c r="E1091" i="1"/>
  <c r="E1092" i="1"/>
  <c r="E1093" i="1"/>
  <c r="E1094" i="1"/>
  <c r="E1095" i="1"/>
  <c r="E184" i="1"/>
  <c r="E1096" i="1"/>
  <c r="E1097" i="1"/>
  <c r="E1098" i="1"/>
  <c r="E1099" i="1"/>
  <c r="E1100" i="1"/>
  <c r="E1101" i="1"/>
  <c r="E1102" i="1"/>
  <c r="E185" i="1"/>
  <c r="E1103" i="1"/>
  <c r="E186" i="1"/>
  <c r="E187" i="1"/>
  <c r="E1104" i="1"/>
  <c r="E188" i="1"/>
  <c r="E1105" i="1"/>
  <c r="E1106" i="1"/>
  <c r="E1107" i="1"/>
  <c r="E1108" i="1"/>
  <c r="E1109" i="1"/>
  <c r="E189" i="1"/>
  <c r="E1110" i="1"/>
  <c r="E1111" i="1"/>
  <c r="E1112" i="1"/>
  <c r="E1113" i="1"/>
  <c r="E1114" i="1"/>
  <c r="E1115" i="1"/>
  <c r="E190" i="1"/>
  <c r="E1116" i="1"/>
  <c r="E1117" i="1"/>
  <c r="E1118" i="1"/>
  <c r="E1119" i="1"/>
  <c r="E1120" i="1"/>
  <c r="E191" i="1"/>
  <c r="E1121" i="1"/>
  <c r="E1122" i="1"/>
  <c r="E192" i="1"/>
  <c r="E1123" i="1"/>
  <c r="E1124" i="1"/>
  <c r="E1125" i="1"/>
  <c r="E1126" i="1"/>
  <c r="E1127" i="1"/>
  <c r="E1128" i="1"/>
  <c r="E1129" i="1"/>
  <c r="E1130" i="1"/>
  <c r="E1131" i="1"/>
  <c r="E1132" i="1"/>
  <c r="E1133" i="1"/>
  <c r="E1134" i="1"/>
  <c r="E1135" i="1"/>
  <c r="E193" i="1"/>
  <c r="E194" i="1"/>
  <c r="E1136" i="1"/>
  <c r="E1137" i="1"/>
  <c r="E1138" i="1"/>
  <c r="E1139" i="1"/>
  <c r="E195" i="1"/>
  <c r="E1140" i="1"/>
  <c r="E1141" i="1"/>
  <c r="E1142" i="1"/>
  <c r="E1143" i="1"/>
  <c r="E196" i="1"/>
  <c r="E1144" i="1"/>
  <c r="E1145" i="1"/>
  <c r="E1146" i="1"/>
  <c r="E1147" i="1"/>
  <c r="E1148" i="1"/>
  <c r="E1149" i="1"/>
  <c r="E1150" i="1"/>
  <c r="E1151" i="1"/>
  <c r="E1152" i="1"/>
  <c r="E1153" i="1"/>
  <c r="E1154" i="1"/>
  <c r="E1155" i="1"/>
  <c r="E1156" i="1"/>
  <c r="E1157" i="1"/>
  <c r="E197" i="1"/>
  <c r="E1158" i="1"/>
  <c r="E1159" i="1"/>
  <c r="E1160" i="1"/>
  <c r="E1161" i="1"/>
  <c r="E1162" i="1"/>
  <c r="E1163" i="1"/>
  <c r="E198" i="1"/>
  <c r="E1164" i="1"/>
  <c r="E1165" i="1"/>
  <c r="E1166" i="1"/>
  <c r="E1167" i="1"/>
  <c r="E1168" i="1"/>
  <c r="E1169" i="1"/>
  <c r="E1170" i="1"/>
  <c r="E1171" i="1"/>
  <c r="E1172" i="1"/>
  <c r="E1173" i="1"/>
  <c r="E1174" i="1"/>
  <c r="E1175" i="1"/>
  <c r="E1176" i="1"/>
  <c r="E199" i="1"/>
  <c r="E1177" i="1"/>
  <c r="E1178" i="1"/>
  <c r="E1179" i="1"/>
  <c r="E1180" i="1"/>
  <c r="E1181" i="1"/>
  <c r="E1182" i="1"/>
  <c r="E1183" i="1"/>
  <c r="E200" i="1"/>
  <c r="E1184" i="1"/>
  <c r="E1185" i="1"/>
  <c r="E1186" i="1"/>
  <c r="E1187" i="1"/>
  <c r="E201" i="1"/>
  <c r="E1188" i="1"/>
  <c r="E202" i="1"/>
  <c r="E1189" i="1"/>
  <c r="E1190" i="1"/>
  <c r="E1191" i="1"/>
  <c r="E1192" i="1"/>
  <c r="E1193" i="1"/>
  <c r="E1194" i="1"/>
  <c r="E1195" i="1"/>
  <c r="E203" i="1"/>
  <c r="E1196" i="1"/>
  <c r="E1197" i="1"/>
  <c r="E1198" i="1"/>
  <c r="E1199" i="1"/>
  <c r="E1200" i="1"/>
  <c r="E1201" i="1"/>
  <c r="E1202" i="1"/>
  <c r="E1203" i="1"/>
  <c r="E1204" i="1"/>
  <c r="E1205" i="1"/>
  <c r="E204" i="1"/>
  <c r="E1206" i="1"/>
  <c r="E1207" i="1"/>
  <c r="E1208" i="1"/>
  <c r="E1209" i="1"/>
  <c r="E1210" i="1"/>
  <c r="E1211" i="1"/>
  <c r="E1212" i="1"/>
  <c r="E1213" i="1"/>
  <c r="E205" i="1"/>
  <c r="E1214" i="1"/>
  <c r="E1215" i="1"/>
  <c r="E1216" i="1"/>
  <c r="E1217" i="1"/>
  <c r="E206" i="1"/>
  <c r="E207" i="1"/>
  <c r="E1218" i="1"/>
  <c r="E1219" i="1"/>
  <c r="E1220" i="1"/>
  <c r="E1221" i="1"/>
  <c r="E1222" i="1"/>
  <c r="E1223" i="1"/>
  <c r="E1224" i="1"/>
  <c r="E208" i="1"/>
  <c r="E1225" i="1"/>
  <c r="E1226" i="1"/>
  <c r="E209" i="1"/>
  <c r="E210" i="1"/>
  <c r="E211" i="1"/>
  <c r="E1227" i="1"/>
  <c r="E1228" i="1"/>
  <c r="E1229" i="1"/>
  <c r="E1230" i="1"/>
  <c r="E1231" i="1"/>
  <c r="E1232" i="1"/>
  <c r="E1233" i="1"/>
  <c r="E1234" i="1"/>
  <c r="E1235" i="1"/>
  <c r="E212" i="1"/>
  <c r="E1236" i="1"/>
  <c r="E1237" i="1"/>
  <c r="E1238" i="1"/>
  <c r="E1239" i="1"/>
  <c r="E1240" i="1"/>
  <c r="E1241" i="1"/>
  <c r="E1242" i="1"/>
  <c r="E1243" i="1"/>
  <c r="E1244" i="1"/>
  <c r="E1245" i="1"/>
  <c r="E1246" i="1"/>
  <c r="E213" i="1"/>
  <c r="E1247" i="1"/>
  <c r="E214" i="1"/>
  <c r="E1248" i="1"/>
  <c r="E1249" i="1"/>
  <c r="E1250" i="1"/>
  <c r="E1251" i="1"/>
  <c r="E1252" i="1"/>
  <c r="E1253" i="1"/>
  <c r="E1254" i="1"/>
  <c r="E1255" i="1"/>
  <c r="E1256" i="1"/>
  <c r="E1257" i="1"/>
  <c r="E1258" i="1"/>
  <c r="E215" i="1"/>
  <c r="E1259" i="1"/>
  <c r="E1260" i="1"/>
  <c r="E1261" i="1"/>
  <c r="E1262" i="1"/>
  <c r="E1263" i="1"/>
  <c r="E1264" i="1"/>
  <c r="E216" i="1"/>
  <c r="E1265" i="1"/>
  <c r="E1266" i="1"/>
  <c r="E1267" i="1"/>
  <c r="E1268" i="1"/>
  <c r="E1269" i="1"/>
  <c r="E1270" i="1"/>
  <c r="E1271" i="1"/>
  <c r="E1272" i="1"/>
  <c r="E217" i="1"/>
  <c r="E1273" i="1"/>
  <c r="E1274" i="1"/>
  <c r="E1275" i="1"/>
  <c r="E1276" i="1"/>
  <c r="E1277" i="1"/>
  <c r="E218" i="1"/>
  <c r="E1278" i="1"/>
  <c r="E219" i="1"/>
  <c r="E1279" i="1"/>
  <c r="E1280" i="1"/>
  <c r="E1281" i="1"/>
  <c r="E1282" i="1"/>
  <c r="E1283" i="1"/>
  <c r="E1284" i="1"/>
  <c r="E1285" i="1"/>
  <c r="E1286" i="1"/>
  <c r="E1287" i="1"/>
  <c r="E1288" i="1"/>
  <c r="E1289" i="1"/>
  <c r="E1290" i="1"/>
  <c r="E220" i="1"/>
  <c r="E1291" i="1"/>
  <c r="E221" i="1"/>
  <c r="E1292" i="1"/>
  <c r="E1293" i="1"/>
  <c r="E1294" i="1"/>
  <c r="E1295" i="1"/>
  <c r="E1296" i="1"/>
  <c r="E1297" i="1"/>
  <c r="E1298" i="1"/>
  <c r="E1299" i="1"/>
  <c r="E1300" i="1"/>
  <c r="E1301" i="1"/>
  <c r="E1302" i="1"/>
  <c r="E1303" i="1"/>
  <c r="E1304" i="1"/>
  <c r="E1305" i="1"/>
  <c r="E1306" i="1"/>
  <c r="E1307" i="1"/>
  <c r="E1308" i="1"/>
  <c r="E1309" i="1"/>
  <c r="E1310" i="1"/>
  <c r="E222" i="1"/>
  <c r="E1311" i="1"/>
  <c r="E1312" i="1"/>
  <c r="E1313" i="1"/>
  <c r="E1314" i="1"/>
  <c r="E1315" i="1"/>
  <c r="E1316" i="1"/>
  <c r="E1317" i="1"/>
  <c r="E1318" i="1"/>
  <c r="E223" i="1"/>
  <c r="E224" i="1"/>
  <c r="E1319" i="1"/>
  <c r="E1320" i="1"/>
  <c r="E1321" i="1"/>
  <c r="E1322" i="1"/>
  <c r="E1323" i="1"/>
  <c r="E1324" i="1"/>
  <c r="E1325" i="1"/>
  <c r="E1326" i="1"/>
  <c r="E1327" i="1"/>
  <c r="E1328" i="1"/>
  <c r="E1329" i="1"/>
  <c r="E1330" i="1"/>
  <c r="E1331" i="1"/>
  <c r="E1332" i="1"/>
  <c r="E1333" i="1"/>
  <c r="E1334" i="1"/>
  <c r="E225" i="1"/>
  <c r="E1335" i="1"/>
  <c r="E1336" i="1"/>
  <c r="E1337" i="1"/>
  <c r="E1338" i="1"/>
  <c r="E1339" i="1"/>
  <c r="E1340" i="1"/>
  <c r="E1341" i="1"/>
  <c r="E226" i="1"/>
  <c r="E1342" i="1"/>
  <c r="E1343" i="1"/>
  <c r="E1344" i="1"/>
  <c r="E1345" i="1"/>
  <c r="E227" i="1"/>
  <c r="E1346" i="1"/>
  <c r="E1347" i="1"/>
  <c r="E1348" i="1"/>
  <c r="E1349" i="1"/>
  <c r="E1350" i="1"/>
  <c r="E1351" i="1"/>
  <c r="E1352" i="1"/>
  <c r="E1353" i="1"/>
  <c r="E1354" i="1"/>
  <c r="E1355" i="1"/>
  <c r="E1356" i="1"/>
  <c r="E228" i="1"/>
  <c r="E1357" i="1"/>
  <c r="E1358" i="1"/>
  <c r="E229"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230" i="1"/>
  <c r="E1405" i="1"/>
  <c r="E1406" i="1"/>
  <c r="E1407" i="1"/>
  <c r="E1408" i="1"/>
  <c r="E1409" i="1"/>
  <c r="E231" i="1"/>
  <c r="E232" i="1"/>
  <c r="E1410" i="1"/>
  <c r="E1411" i="1"/>
  <c r="E1412" i="1"/>
  <c r="E1413" i="1"/>
  <c r="E1414" i="1"/>
  <c r="E1415" i="1"/>
  <c r="E1416" i="1"/>
  <c r="E1417" i="1"/>
  <c r="E1418" i="1"/>
  <c r="E1419" i="1"/>
  <c r="E1420" i="1"/>
  <c r="E1421" i="1"/>
  <c r="E1422" i="1"/>
  <c r="E1423" i="1"/>
  <c r="E1424" i="1"/>
  <c r="E1425" i="1"/>
  <c r="E1426" i="1"/>
  <c r="E233"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234" i="1"/>
  <c r="E1452" i="1"/>
  <c r="E235" i="1"/>
  <c r="E1453" i="1"/>
  <c r="E236" i="1"/>
  <c r="E1454" i="1"/>
  <c r="E1455" i="1"/>
  <c r="E1456" i="1"/>
  <c r="E237" i="1"/>
  <c r="E1457" i="1"/>
  <c r="E1458" i="1"/>
  <c r="E238" i="1"/>
  <c r="E1459" i="1"/>
  <c r="E1460" i="1"/>
  <c r="E1461" i="1"/>
  <c r="E1462" i="1"/>
  <c r="E239" i="1"/>
  <c r="E1463" i="1"/>
  <c r="E1464" i="1"/>
  <c r="E1465" i="1"/>
  <c r="E1466" i="1"/>
  <c r="E240" i="1"/>
  <c r="E1467" i="1"/>
  <c r="E1468" i="1"/>
  <c r="E1469" i="1"/>
  <c r="E1470" i="1"/>
  <c r="E1471" i="1"/>
  <c r="E1472" i="1"/>
  <c r="E241" i="1"/>
  <c r="E2" i="1"/>
  <c r="AH242" i="1"/>
  <c r="AH243" i="1"/>
  <c r="AH3" i="1"/>
  <c r="AH4" i="1"/>
  <c r="AH5" i="1"/>
  <c r="AH6" i="1"/>
  <c r="AH244" i="1"/>
  <c r="AH245" i="1"/>
  <c r="AH246" i="1"/>
  <c r="AH247" i="1"/>
  <c r="AH7" i="1"/>
  <c r="AH248" i="1"/>
  <c r="AH249" i="1"/>
  <c r="AH8" i="1"/>
  <c r="AH9" i="1"/>
  <c r="AH10" i="1"/>
  <c r="AH11" i="1"/>
  <c r="AH250" i="1"/>
  <c r="AH251" i="1"/>
  <c r="AH252" i="1"/>
  <c r="AH12" i="1"/>
  <c r="AH13" i="1"/>
  <c r="AH253" i="1"/>
  <c r="AH254" i="1"/>
  <c r="AH255" i="1"/>
  <c r="AH256" i="1"/>
  <c r="AH257" i="1"/>
  <c r="AH258" i="1"/>
  <c r="AH14" i="1"/>
  <c r="AH259" i="1"/>
  <c r="AH15" i="1"/>
  <c r="AH260" i="1"/>
  <c r="AH261" i="1"/>
  <c r="AH262" i="1"/>
  <c r="AH16" i="1"/>
  <c r="AH263" i="1"/>
  <c r="AH264" i="1"/>
  <c r="AH265" i="1"/>
  <c r="AH266" i="1"/>
  <c r="AH267" i="1"/>
  <c r="AH17" i="1"/>
  <c r="AH18" i="1"/>
  <c r="AH19" i="1"/>
  <c r="AH268" i="1"/>
  <c r="AH269" i="1"/>
  <c r="AH270" i="1"/>
  <c r="AH271" i="1"/>
  <c r="AH272" i="1"/>
  <c r="AH273" i="1"/>
  <c r="AH20" i="1"/>
  <c r="AH21" i="1"/>
  <c r="AH22" i="1"/>
  <c r="AH23" i="1"/>
  <c r="AH274" i="1"/>
  <c r="AH275" i="1"/>
  <c r="AH24" i="1"/>
  <c r="AH276" i="1"/>
  <c r="AH277" i="1"/>
  <c r="AH278" i="1"/>
  <c r="AH279" i="1"/>
  <c r="AH280" i="1"/>
  <c r="AH25" i="1"/>
  <c r="AH281" i="1"/>
  <c r="AH282" i="1"/>
  <c r="AH283" i="1"/>
  <c r="AH26" i="1"/>
  <c r="AH27" i="1"/>
  <c r="AH284" i="1"/>
  <c r="AH285" i="1"/>
  <c r="AH286" i="1"/>
  <c r="AH287" i="1"/>
  <c r="AH288" i="1"/>
  <c r="AH289" i="1"/>
  <c r="AH290" i="1"/>
  <c r="AH291" i="1"/>
  <c r="AH292" i="1"/>
  <c r="AH293" i="1"/>
  <c r="AH294" i="1"/>
  <c r="AH295" i="1"/>
  <c r="AH296" i="1"/>
  <c r="AH28" i="1"/>
  <c r="AH297" i="1"/>
  <c r="AH298" i="1"/>
  <c r="AH29" i="1"/>
  <c r="AH299" i="1"/>
  <c r="AH300" i="1"/>
  <c r="AH301" i="1"/>
  <c r="AH302" i="1"/>
  <c r="AH303" i="1"/>
  <c r="AH304" i="1"/>
  <c r="AH30" i="1"/>
  <c r="AH305" i="1"/>
  <c r="AH306" i="1"/>
  <c r="AH307" i="1"/>
  <c r="AH308" i="1"/>
  <c r="AH309" i="1"/>
  <c r="AH31" i="1"/>
  <c r="AH310" i="1"/>
  <c r="AH311" i="1"/>
  <c r="AH312" i="1"/>
  <c r="AH32" i="1"/>
  <c r="AH313" i="1"/>
  <c r="AH314" i="1"/>
  <c r="AH315" i="1"/>
  <c r="AH316" i="1"/>
  <c r="AH317" i="1"/>
  <c r="AH33" i="1"/>
  <c r="AH34" i="1"/>
  <c r="AH318" i="1"/>
  <c r="AH35" i="1"/>
  <c r="AH319" i="1"/>
  <c r="AH320" i="1"/>
  <c r="AH321" i="1"/>
  <c r="AH322" i="1"/>
  <c r="AH323" i="1"/>
  <c r="AH324" i="1"/>
  <c r="AH325" i="1"/>
  <c r="AH326" i="1"/>
  <c r="AH327" i="1"/>
  <c r="AH328" i="1"/>
  <c r="AH329" i="1"/>
  <c r="AH36" i="1"/>
  <c r="AH330" i="1"/>
  <c r="AH331" i="1"/>
  <c r="AH332" i="1"/>
  <c r="AH37" i="1"/>
  <c r="AH333" i="1"/>
  <c r="AH334" i="1"/>
  <c r="AH38" i="1"/>
  <c r="AH335" i="1"/>
  <c r="AH336" i="1"/>
  <c r="AH337" i="1"/>
  <c r="AH338" i="1"/>
  <c r="AH339" i="1"/>
  <c r="AH340" i="1"/>
  <c r="AH341" i="1"/>
  <c r="AH342" i="1"/>
  <c r="AH39" i="1"/>
  <c r="AH40" i="1"/>
  <c r="AH41" i="1"/>
  <c r="AH343" i="1"/>
  <c r="AH344" i="1"/>
  <c r="AH345" i="1"/>
  <c r="AH346" i="1"/>
  <c r="AH42" i="1"/>
  <c r="AH347" i="1"/>
  <c r="AH348" i="1"/>
  <c r="AH43" i="1"/>
  <c r="AH349" i="1"/>
  <c r="AH350" i="1"/>
  <c r="AH351" i="1"/>
  <c r="AH44" i="1"/>
  <c r="AH45" i="1"/>
  <c r="AH352" i="1"/>
  <c r="AH353" i="1"/>
  <c r="AH354" i="1"/>
  <c r="AH355" i="1"/>
  <c r="AH356" i="1"/>
  <c r="AH357" i="1"/>
  <c r="AH358" i="1"/>
  <c r="AH359" i="1"/>
  <c r="AH360" i="1"/>
  <c r="AH361" i="1"/>
  <c r="AH362" i="1"/>
  <c r="AH363" i="1"/>
  <c r="AH364" i="1"/>
  <c r="AH365" i="1"/>
  <c r="AH366" i="1"/>
  <c r="AH46" i="1"/>
  <c r="AH367" i="1"/>
  <c r="AH368" i="1"/>
  <c r="AH369" i="1"/>
  <c r="AH47" i="1"/>
  <c r="AH370" i="1"/>
  <c r="AH371" i="1"/>
  <c r="AH372" i="1"/>
  <c r="AH373" i="1"/>
  <c r="AH374" i="1"/>
  <c r="AH375" i="1"/>
  <c r="AH376" i="1"/>
  <c r="AH377" i="1"/>
  <c r="AH378" i="1"/>
  <c r="AH379" i="1"/>
  <c r="AH380" i="1"/>
  <c r="AH381" i="1"/>
  <c r="AH382" i="1"/>
  <c r="AH383" i="1"/>
  <c r="AH384" i="1"/>
  <c r="AH385" i="1"/>
  <c r="AH48" i="1"/>
  <c r="AH49" i="1"/>
  <c r="AH50" i="1"/>
  <c r="AH386" i="1"/>
  <c r="AH51" i="1"/>
  <c r="AH387" i="1"/>
  <c r="AH388" i="1"/>
  <c r="AH389" i="1"/>
  <c r="AH390" i="1"/>
  <c r="AH391" i="1"/>
  <c r="AH52" i="1"/>
  <c r="AH392" i="1"/>
  <c r="AH393" i="1"/>
  <c r="AH53" i="1"/>
  <c r="AH394" i="1"/>
  <c r="AH395" i="1"/>
  <c r="AH396" i="1"/>
  <c r="AH54" i="1"/>
  <c r="AH397" i="1"/>
  <c r="AH398" i="1"/>
  <c r="AH399" i="1"/>
  <c r="AH400" i="1"/>
  <c r="AH55" i="1"/>
  <c r="AH401" i="1"/>
  <c r="AH402" i="1"/>
  <c r="AH56" i="1"/>
  <c r="AH403" i="1"/>
  <c r="AH404" i="1"/>
  <c r="AH405" i="1"/>
  <c r="AH406" i="1"/>
  <c r="AH407" i="1"/>
  <c r="AH408" i="1"/>
  <c r="AH409" i="1"/>
  <c r="AH410" i="1"/>
  <c r="AH411" i="1"/>
  <c r="AH57" i="1"/>
  <c r="AH412" i="1"/>
  <c r="AH413" i="1"/>
  <c r="AH414" i="1"/>
  <c r="AH415" i="1"/>
  <c r="AH58" i="1"/>
  <c r="AH59" i="1"/>
  <c r="AH416" i="1"/>
  <c r="AH60" i="1"/>
  <c r="AH417" i="1"/>
  <c r="AH418" i="1"/>
  <c r="AH419" i="1"/>
  <c r="AH420" i="1"/>
  <c r="AH421" i="1"/>
  <c r="AH61" i="1"/>
  <c r="AH422" i="1"/>
  <c r="AH423" i="1"/>
  <c r="AH424" i="1"/>
  <c r="AH425" i="1"/>
  <c r="AH426" i="1"/>
  <c r="AH427" i="1"/>
  <c r="AH428" i="1"/>
  <c r="AH429" i="1"/>
  <c r="AH62" i="1"/>
  <c r="AH430" i="1"/>
  <c r="AH431" i="1"/>
  <c r="AH432" i="1"/>
  <c r="AH433" i="1"/>
  <c r="AH434" i="1"/>
  <c r="AH435" i="1"/>
  <c r="AH436" i="1"/>
  <c r="AH437" i="1"/>
  <c r="AH438" i="1"/>
  <c r="AH63" i="1"/>
  <c r="AH439" i="1"/>
  <c r="AH440" i="1"/>
  <c r="AH64" i="1"/>
  <c r="AH441" i="1"/>
  <c r="AH442" i="1"/>
  <c r="AH65" i="1"/>
  <c r="AH443" i="1"/>
  <c r="AH444" i="1"/>
  <c r="AH445" i="1"/>
  <c r="AH66" i="1"/>
  <c r="AH446" i="1"/>
  <c r="AH447" i="1"/>
  <c r="AH448" i="1"/>
  <c r="AH449" i="1"/>
  <c r="AH450" i="1"/>
  <c r="AH451" i="1"/>
  <c r="AH67" i="1"/>
  <c r="AH68" i="1"/>
  <c r="AH452" i="1"/>
  <c r="AH453" i="1"/>
  <c r="AH69" i="1"/>
  <c r="AH454" i="1"/>
  <c r="AH455" i="1"/>
  <c r="AH456" i="1"/>
  <c r="AH457" i="1"/>
  <c r="AH458" i="1"/>
  <c r="AH459" i="1"/>
  <c r="AH460" i="1"/>
  <c r="AH461" i="1"/>
  <c r="AH462" i="1"/>
  <c r="AH463" i="1"/>
  <c r="AH70" i="1"/>
  <c r="AH71" i="1"/>
  <c r="AH464" i="1"/>
  <c r="AH72" i="1"/>
  <c r="AH465" i="1"/>
  <c r="AH73" i="1"/>
  <c r="AH466" i="1"/>
  <c r="AH467" i="1"/>
  <c r="AH468" i="1"/>
  <c r="AH469" i="1"/>
  <c r="AH74" i="1"/>
  <c r="AH470" i="1"/>
  <c r="AH75" i="1"/>
  <c r="AH471" i="1"/>
  <c r="AH472" i="1"/>
  <c r="AH473" i="1"/>
  <c r="AH474" i="1"/>
  <c r="AH475" i="1"/>
  <c r="AH476" i="1"/>
  <c r="AH477" i="1"/>
  <c r="AH76" i="1"/>
  <c r="AH478" i="1"/>
  <c r="AH77" i="1"/>
  <c r="AH78" i="1"/>
  <c r="AH479" i="1"/>
  <c r="AH480" i="1"/>
  <c r="AH481" i="1"/>
  <c r="AH79" i="1"/>
  <c r="AH482" i="1"/>
  <c r="AH80" i="1"/>
  <c r="AH483" i="1"/>
  <c r="AH484" i="1"/>
  <c r="AH81" i="1"/>
  <c r="AH82" i="1"/>
  <c r="AH485" i="1"/>
  <c r="AH486" i="1"/>
  <c r="AH487" i="1"/>
  <c r="AH83" i="1"/>
  <c r="AH488" i="1"/>
  <c r="AH489" i="1"/>
  <c r="AH490" i="1"/>
  <c r="AH491" i="1"/>
  <c r="AH492" i="1"/>
  <c r="AH493" i="1"/>
  <c r="AH84" i="1"/>
  <c r="AH85" i="1"/>
  <c r="AH494" i="1"/>
  <c r="AH495" i="1"/>
  <c r="AH496" i="1"/>
  <c r="AH497" i="1"/>
  <c r="AH498" i="1"/>
  <c r="AH499" i="1"/>
  <c r="AH500" i="1"/>
  <c r="AH501" i="1"/>
  <c r="AH502" i="1"/>
  <c r="AH503" i="1"/>
  <c r="AH504" i="1"/>
  <c r="AH505" i="1"/>
  <c r="AH506" i="1"/>
  <c r="AH86" i="1"/>
  <c r="AH507" i="1"/>
  <c r="AH508" i="1"/>
  <c r="AH509" i="1"/>
  <c r="AH510" i="1"/>
  <c r="AH511" i="1"/>
  <c r="AH87" i="1"/>
  <c r="AH512" i="1"/>
  <c r="AH513" i="1"/>
  <c r="AH514" i="1"/>
  <c r="AH515" i="1"/>
  <c r="AH88" i="1"/>
  <c r="AH516" i="1"/>
  <c r="AH517" i="1"/>
  <c r="AH518" i="1"/>
  <c r="AH519" i="1"/>
  <c r="AH520" i="1"/>
  <c r="AH89" i="1"/>
  <c r="AH521" i="1"/>
  <c r="AH522" i="1"/>
  <c r="AH90" i="1"/>
  <c r="AH523" i="1"/>
  <c r="AH91" i="1"/>
  <c r="AH524" i="1"/>
  <c r="AH525" i="1"/>
  <c r="AH526" i="1"/>
  <c r="AH527" i="1"/>
  <c r="AH528" i="1"/>
  <c r="AH529" i="1"/>
  <c r="AH530" i="1"/>
  <c r="AH531" i="1"/>
  <c r="AH532" i="1"/>
  <c r="AH533" i="1"/>
  <c r="AH534" i="1"/>
  <c r="AH92" i="1"/>
  <c r="AH535" i="1"/>
  <c r="AH536" i="1"/>
  <c r="AH537" i="1"/>
  <c r="AH93" i="1"/>
  <c r="AH538" i="1"/>
  <c r="AH539" i="1"/>
  <c r="AH94" i="1"/>
  <c r="AH540" i="1"/>
  <c r="AH541" i="1"/>
  <c r="AH542" i="1"/>
  <c r="AH543" i="1"/>
  <c r="AH544" i="1"/>
  <c r="AH545" i="1"/>
  <c r="AH546" i="1"/>
  <c r="AH547" i="1"/>
  <c r="AH548" i="1"/>
  <c r="AH549" i="1"/>
  <c r="AH550" i="1"/>
  <c r="AH551" i="1"/>
  <c r="AH552" i="1"/>
  <c r="AH553" i="1"/>
  <c r="AH554" i="1"/>
  <c r="AH95" i="1"/>
  <c r="AH555" i="1"/>
  <c r="AH556" i="1"/>
  <c r="AH557" i="1"/>
  <c r="AH558" i="1"/>
  <c r="AH559" i="1"/>
  <c r="AH560" i="1"/>
  <c r="AH561" i="1"/>
  <c r="AH562" i="1"/>
  <c r="AH96" i="1"/>
  <c r="AH563" i="1"/>
  <c r="AH564" i="1"/>
  <c r="AH565" i="1"/>
  <c r="AH566" i="1"/>
  <c r="AH567" i="1"/>
  <c r="AH568" i="1"/>
  <c r="AH97" i="1"/>
  <c r="AH98" i="1"/>
  <c r="AH569" i="1"/>
  <c r="AH570" i="1"/>
  <c r="AH99" i="1"/>
  <c r="AH571" i="1"/>
  <c r="AH572" i="1"/>
  <c r="AH100" i="1"/>
  <c r="AH573" i="1"/>
  <c r="AH574" i="1"/>
  <c r="AH101" i="1"/>
  <c r="AH575" i="1"/>
  <c r="AH576" i="1"/>
  <c r="AH577" i="1"/>
  <c r="AH578" i="1"/>
  <c r="AH579" i="1"/>
  <c r="AH580" i="1"/>
  <c r="AH581" i="1"/>
  <c r="AH582" i="1"/>
  <c r="AH102" i="1"/>
  <c r="AH583" i="1"/>
  <c r="AH584" i="1"/>
  <c r="AH585" i="1"/>
  <c r="AH586" i="1"/>
  <c r="AH587" i="1"/>
  <c r="AH588" i="1"/>
  <c r="AH103" i="1"/>
  <c r="AH589" i="1"/>
  <c r="AH590" i="1"/>
  <c r="AH591" i="1"/>
  <c r="AH592" i="1"/>
  <c r="AH104" i="1"/>
  <c r="AH593" i="1"/>
  <c r="AH594" i="1"/>
  <c r="AH105" i="1"/>
  <c r="AH595" i="1"/>
  <c r="AH596" i="1"/>
  <c r="AH597" i="1"/>
  <c r="AH598" i="1"/>
  <c r="AH106" i="1"/>
  <c r="AH599" i="1"/>
  <c r="AH600" i="1"/>
  <c r="AH601" i="1"/>
  <c r="AH107" i="1"/>
  <c r="AH602" i="1"/>
  <c r="AH108" i="1"/>
  <c r="AH603" i="1"/>
  <c r="AH604" i="1"/>
  <c r="AH605" i="1"/>
  <c r="AH606" i="1"/>
  <c r="AH607" i="1"/>
  <c r="AH608" i="1"/>
  <c r="AH609" i="1"/>
  <c r="AH610" i="1"/>
  <c r="AH109" i="1"/>
  <c r="AH611" i="1"/>
  <c r="AH110" i="1"/>
  <c r="AH612" i="1"/>
  <c r="AH613" i="1"/>
  <c r="AH614" i="1"/>
  <c r="AH615" i="1"/>
  <c r="AH616" i="1"/>
  <c r="AH617" i="1"/>
  <c r="AH618" i="1"/>
  <c r="AH619" i="1"/>
  <c r="AH111" i="1"/>
  <c r="AH620" i="1"/>
  <c r="AH621" i="1"/>
  <c r="AH622" i="1"/>
  <c r="AH623" i="1"/>
  <c r="AH624" i="1"/>
  <c r="AH112" i="1"/>
  <c r="AH625" i="1"/>
  <c r="AH626" i="1"/>
  <c r="AH627" i="1"/>
  <c r="AH628" i="1"/>
  <c r="AH629" i="1"/>
  <c r="AH630" i="1"/>
  <c r="AH631" i="1"/>
  <c r="AH632" i="1"/>
  <c r="AH633" i="1"/>
  <c r="AH634" i="1"/>
  <c r="AH635" i="1"/>
  <c r="AH636" i="1"/>
  <c r="AH637" i="1"/>
  <c r="AH638" i="1"/>
  <c r="AH639" i="1"/>
  <c r="AH640" i="1"/>
  <c r="AH641" i="1"/>
  <c r="AH113" i="1"/>
  <c r="AH642" i="1"/>
  <c r="AH643" i="1"/>
  <c r="AH644" i="1"/>
  <c r="AH645" i="1"/>
  <c r="AH646" i="1"/>
  <c r="AH114" i="1"/>
  <c r="AH647" i="1"/>
  <c r="AH648" i="1"/>
  <c r="AH649" i="1"/>
  <c r="AH650" i="1"/>
  <c r="AH651" i="1"/>
  <c r="AH115" i="1"/>
  <c r="AH652" i="1"/>
  <c r="AH653" i="1"/>
  <c r="AH654" i="1"/>
  <c r="AH655" i="1"/>
  <c r="AH656" i="1"/>
  <c r="AH657" i="1"/>
  <c r="AH658" i="1"/>
  <c r="AH659" i="1"/>
  <c r="AH660" i="1"/>
  <c r="AH661" i="1"/>
  <c r="AH662" i="1"/>
  <c r="AH663" i="1"/>
  <c r="AH664" i="1"/>
  <c r="AH665" i="1"/>
  <c r="AH666" i="1"/>
  <c r="AH667" i="1"/>
  <c r="AH668" i="1"/>
  <c r="AH669" i="1"/>
  <c r="AH116" i="1"/>
  <c r="AH670" i="1"/>
  <c r="AH671" i="1"/>
  <c r="AH672" i="1"/>
  <c r="AH673" i="1"/>
  <c r="AH674" i="1"/>
  <c r="AH675" i="1"/>
  <c r="AH676" i="1"/>
  <c r="AH677" i="1"/>
  <c r="AH678" i="1"/>
  <c r="AH679" i="1"/>
  <c r="AH680" i="1"/>
  <c r="AH681" i="1"/>
  <c r="AH682" i="1"/>
  <c r="AH683" i="1"/>
  <c r="AH684" i="1"/>
  <c r="AH117" i="1"/>
  <c r="AH685" i="1"/>
  <c r="AH686" i="1"/>
  <c r="AH687" i="1"/>
  <c r="AH688" i="1"/>
  <c r="AH689" i="1"/>
  <c r="AH690" i="1"/>
  <c r="AH691" i="1"/>
  <c r="AH692" i="1"/>
  <c r="AH693" i="1"/>
  <c r="AH118" i="1"/>
  <c r="AH694" i="1"/>
  <c r="AH695" i="1"/>
  <c r="AH696" i="1"/>
  <c r="AH119" i="1"/>
  <c r="AH697" i="1"/>
  <c r="AH698" i="1"/>
  <c r="AH699" i="1"/>
  <c r="AH700" i="1"/>
  <c r="AH120" i="1"/>
  <c r="AH701" i="1"/>
  <c r="AH702" i="1"/>
  <c r="AH703" i="1"/>
  <c r="AH704" i="1"/>
  <c r="AH705" i="1"/>
  <c r="AH706" i="1"/>
  <c r="AH707" i="1"/>
  <c r="AH121" i="1"/>
  <c r="AH708" i="1"/>
  <c r="AH709" i="1"/>
  <c r="AH710" i="1"/>
  <c r="AH122" i="1"/>
  <c r="AH123" i="1"/>
  <c r="AH711" i="1"/>
  <c r="AH712" i="1"/>
  <c r="AH713" i="1"/>
  <c r="AH714" i="1"/>
  <c r="AH715" i="1"/>
  <c r="AH716" i="1"/>
  <c r="AH717" i="1"/>
  <c r="AH718" i="1"/>
  <c r="AH719" i="1"/>
  <c r="AH720" i="1"/>
  <c r="AH124" i="1"/>
  <c r="AH125" i="1"/>
  <c r="AH721" i="1"/>
  <c r="AH722" i="1"/>
  <c r="AH126" i="1"/>
  <c r="AH723" i="1"/>
  <c r="AH724" i="1"/>
  <c r="AH725" i="1"/>
  <c r="AH726" i="1"/>
  <c r="AH727" i="1"/>
  <c r="AH728" i="1"/>
  <c r="AH729" i="1"/>
  <c r="AH127" i="1"/>
  <c r="AH730" i="1"/>
  <c r="AH731" i="1"/>
  <c r="AH128" i="1"/>
  <c r="AH732" i="1"/>
  <c r="AH733" i="1"/>
  <c r="AH734" i="1"/>
  <c r="AH735" i="1"/>
  <c r="AH736" i="1"/>
  <c r="AH737" i="1"/>
  <c r="AH738" i="1"/>
  <c r="AH739" i="1"/>
  <c r="AH740" i="1"/>
  <c r="AH741" i="1"/>
  <c r="AH129"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130" i="1"/>
  <c r="AH766" i="1"/>
  <c r="AH767" i="1"/>
  <c r="AH131" i="1"/>
  <c r="AH768" i="1"/>
  <c r="AH132" i="1"/>
  <c r="AH769" i="1"/>
  <c r="AH770" i="1"/>
  <c r="AH771" i="1"/>
  <c r="AH772" i="1"/>
  <c r="AH773" i="1"/>
  <c r="AH774" i="1"/>
  <c r="AH775" i="1"/>
  <c r="AH133" i="1"/>
  <c r="AH776" i="1"/>
  <c r="AH777" i="1"/>
  <c r="AH778" i="1"/>
  <c r="AH779" i="1"/>
  <c r="AH780" i="1"/>
  <c r="AH781" i="1"/>
  <c r="AH782" i="1"/>
  <c r="AH783" i="1"/>
  <c r="AH784" i="1"/>
  <c r="AH785" i="1"/>
  <c r="AH134" i="1"/>
  <c r="AH135" i="1"/>
  <c r="AH786" i="1"/>
  <c r="AH787" i="1"/>
  <c r="AH788" i="1"/>
  <c r="AH789" i="1"/>
  <c r="AH136" i="1"/>
  <c r="AH790" i="1"/>
  <c r="AH791" i="1"/>
  <c r="AH792" i="1"/>
  <c r="AH793" i="1"/>
  <c r="AH794" i="1"/>
  <c r="AH137" i="1"/>
  <c r="AH138" i="1"/>
  <c r="AH795" i="1"/>
  <c r="AH796" i="1"/>
  <c r="AH139" i="1"/>
  <c r="AH797" i="1"/>
  <c r="AH798" i="1"/>
  <c r="AH799" i="1"/>
  <c r="AH800" i="1"/>
  <c r="AH801" i="1"/>
  <c r="AH802" i="1"/>
  <c r="AH803" i="1"/>
  <c r="AH804" i="1"/>
  <c r="AH805" i="1"/>
  <c r="AH806" i="1"/>
  <c r="AH140" i="1"/>
  <c r="AH807" i="1"/>
  <c r="AH808" i="1"/>
  <c r="AH809" i="1"/>
  <c r="AH810" i="1"/>
  <c r="AH811" i="1"/>
  <c r="AH812" i="1"/>
  <c r="AH813" i="1"/>
  <c r="AH814" i="1"/>
  <c r="AH815" i="1"/>
  <c r="AH816" i="1"/>
  <c r="AH141" i="1"/>
  <c r="AH817" i="1"/>
  <c r="AH818" i="1"/>
  <c r="AH819" i="1"/>
  <c r="AH820" i="1"/>
  <c r="AH821" i="1"/>
  <c r="AH822" i="1"/>
  <c r="AH142" i="1"/>
  <c r="AH823" i="1"/>
  <c r="AH824" i="1"/>
  <c r="AH825" i="1"/>
  <c r="AH826" i="1"/>
  <c r="AH827" i="1"/>
  <c r="AH828" i="1"/>
  <c r="AH829" i="1"/>
  <c r="AH830" i="1"/>
  <c r="AH831" i="1"/>
  <c r="AH143" i="1"/>
  <c r="AH832" i="1"/>
  <c r="AH833" i="1"/>
  <c r="AH834" i="1"/>
  <c r="AH144" i="1"/>
  <c r="AH145" i="1"/>
  <c r="AH146" i="1"/>
  <c r="AH835" i="1"/>
  <c r="AH836" i="1"/>
  <c r="AH837" i="1"/>
  <c r="AH838" i="1"/>
  <c r="AH839" i="1"/>
  <c r="AH840" i="1"/>
  <c r="AH841" i="1"/>
  <c r="AH842" i="1"/>
  <c r="AH147" i="1"/>
  <c r="AH843" i="1"/>
  <c r="AH844" i="1"/>
  <c r="AH845" i="1"/>
  <c r="AH148" i="1"/>
  <c r="AH846" i="1"/>
  <c r="AH847" i="1"/>
  <c r="AH848" i="1"/>
  <c r="AH849" i="1"/>
  <c r="AH850" i="1"/>
  <c r="AH851" i="1"/>
  <c r="AH852" i="1"/>
  <c r="AH853" i="1"/>
  <c r="AH149" i="1"/>
  <c r="AH854" i="1"/>
  <c r="AH855" i="1"/>
  <c r="AH150" i="1"/>
  <c r="AH856" i="1"/>
  <c r="AH857" i="1"/>
  <c r="AH858" i="1"/>
  <c r="AH151" i="1"/>
  <c r="AH859" i="1"/>
  <c r="AH152" i="1"/>
  <c r="AH153" i="1"/>
  <c r="AH860" i="1"/>
  <c r="AH861" i="1"/>
  <c r="AH862" i="1"/>
  <c r="AH863" i="1"/>
  <c r="AH154" i="1"/>
  <c r="AH155" i="1"/>
  <c r="AH864" i="1"/>
  <c r="AH865" i="1"/>
  <c r="AH866" i="1"/>
  <c r="AH867" i="1"/>
  <c r="AH868" i="1"/>
  <c r="AH869" i="1"/>
  <c r="AH870" i="1"/>
  <c r="AH871" i="1"/>
  <c r="AH872" i="1"/>
  <c r="AH873" i="1"/>
  <c r="AH874" i="1"/>
  <c r="AH875" i="1"/>
  <c r="AH876" i="1"/>
  <c r="AH877" i="1"/>
  <c r="AH156" i="1"/>
  <c r="AH157" i="1"/>
  <c r="AH878" i="1"/>
  <c r="AH879" i="1"/>
  <c r="AH880" i="1"/>
  <c r="AH881" i="1"/>
  <c r="AH882" i="1"/>
  <c r="AH883" i="1"/>
  <c r="AH884" i="1"/>
  <c r="AH885" i="1"/>
  <c r="AH886" i="1"/>
  <c r="AH887" i="1"/>
  <c r="AH888" i="1"/>
  <c r="AH889" i="1"/>
  <c r="AH890" i="1"/>
  <c r="AH891" i="1"/>
  <c r="AH158" i="1"/>
  <c r="AH892" i="1"/>
  <c r="AH893" i="1"/>
  <c r="AH894" i="1"/>
  <c r="AH159" i="1"/>
  <c r="AH895" i="1"/>
  <c r="AH896" i="1"/>
  <c r="AH160" i="1"/>
  <c r="AH161" i="1"/>
  <c r="AH897" i="1"/>
  <c r="AH898" i="1"/>
  <c r="AH899" i="1"/>
  <c r="AH900" i="1"/>
  <c r="AH901" i="1"/>
  <c r="AH162" i="1"/>
  <c r="AH902" i="1"/>
  <c r="AH903" i="1"/>
  <c r="AH904" i="1"/>
  <c r="AH905" i="1"/>
  <c r="AH906" i="1"/>
  <c r="AH907" i="1"/>
  <c r="AH908" i="1"/>
  <c r="AH909" i="1"/>
  <c r="AH910" i="1"/>
  <c r="AH911" i="1"/>
  <c r="AH912" i="1"/>
  <c r="AH913" i="1"/>
  <c r="AH914" i="1"/>
  <c r="AH915" i="1"/>
  <c r="AH163" i="1"/>
  <c r="AH916" i="1"/>
  <c r="AH164" i="1"/>
  <c r="AH917" i="1"/>
  <c r="AH918" i="1"/>
  <c r="AH919" i="1"/>
  <c r="AH920" i="1"/>
  <c r="AH165"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166"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167" i="1"/>
  <c r="AH168" i="1"/>
  <c r="AH989" i="1"/>
  <c r="AH169" i="1"/>
  <c r="AH990" i="1"/>
  <c r="AH170" i="1"/>
  <c r="AH171" i="1"/>
  <c r="AH991" i="1"/>
  <c r="AH992" i="1"/>
  <c r="AH993" i="1"/>
  <c r="AH994" i="1"/>
  <c r="AH995" i="1"/>
  <c r="AH172" i="1"/>
  <c r="AH996" i="1"/>
  <c r="AH997" i="1"/>
  <c r="AH998" i="1"/>
  <c r="AH173" i="1"/>
  <c r="AH999" i="1"/>
  <c r="AH1000" i="1"/>
  <c r="AH1001" i="1"/>
  <c r="AH1002" i="1"/>
  <c r="AH1003" i="1"/>
  <c r="AH1004" i="1"/>
  <c r="AH1005" i="1"/>
  <c r="AH1006" i="1"/>
  <c r="AH1007" i="1"/>
  <c r="AH1008" i="1"/>
  <c r="AH1009" i="1"/>
  <c r="AH1010" i="1"/>
  <c r="AH1011" i="1"/>
  <c r="AH174" i="1"/>
  <c r="AH1012" i="1"/>
  <c r="AH1013" i="1"/>
  <c r="AH1014" i="1"/>
  <c r="AH1015" i="1"/>
  <c r="AH175" i="1"/>
  <c r="AH1016" i="1"/>
  <c r="AH1017" i="1"/>
  <c r="AH1018" i="1"/>
  <c r="AH1019" i="1"/>
  <c r="AH1020" i="1"/>
  <c r="AH1021" i="1"/>
  <c r="AH1022" i="1"/>
  <c r="AH1023" i="1"/>
  <c r="AH1024" i="1"/>
  <c r="AH1025" i="1"/>
  <c r="AH1026" i="1"/>
  <c r="AH1027" i="1"/>
  <c r="AH1028" i="1"/>
  <c r="AH1029" i="1"/>
  <c r="AH1030" i="1"/>
  <c r="AH1031" i="1"/>
  <c r="AH176" i="1"/>
  <c r="AH1032" i="1"/>
  <c r="AH1033" i="1"/>
  <c r="AH177" i="1"/>
  <c r="AH1034" i="1"/>
  <c r="AH1035" i="1"/>
  <c r="AH1036" i="1"/>
  <c r="AH1037" i="1"/>
  <c r="AH1038" i="1"/>
  <c r="AH1039" i="1"/>
  <c r="AH1040" i="1"/>
  <c r="AH1041" i="1"/>
  <c r="AH1042" i="1"/>
  <c r="AH1043" i="1"/>
  <c r="AH1044" i="1"/>
  <c r="AH1045" i="1"/>
  <c r="AH1046" i="1"/>
  <c r="AH178" i="1"/>
  <c r="AH1047" i="1"/>
  <c r="AH1048" i="1"/>
  <c r="AH1049" i="1"/>
  <c r="AH1050" i="1"/>
  <c r="AH1051" i="1"/>
  <c r="AH1052" i="1"/>
  <c r="AH1053" i="1"/>
  <c r="AH1054" i="1"/>
  <c r="AH1055" i="1"/>
  <c r="AH179" i="1"/>
  <c r="AH1056" i="1"/>
  <c r="AH180" i="1"/>
  <c r="AH1057" i="1"/>
  <c r="AH1058" i="1"/>
  <c r="AH1059" i="1"/>
  <c r="AH1060" i="1"/>
  <c r="AH1061" i="1"/>
  <c r="AH1062" i="1"/>
  <c r="AH1063" i="1"/>
  <c r="AH1064" i="1"/>
  <c r="AH1065" i="1"/>
  <c r="AH181" i="1"/>
  <c r="AH1066" i="1"/>
  <c r="AH1067" i="1"/>
  <c r="AH1068" i="1"/>
  <c r="AH1069" i="1"/>
  <c r="AH1070" i="1"/>
  <c r="AH1071" i="1"/>
  <c r="AH1072" i="1"/>
  <c r="AH1073" i="1"/>
  <c r="AH1074" i="1"/>
  <c r="AH1075" i="1"/>
  <c r="AH1076" i="1"/>
  <c r="AH1077" i="1"/>
  <c r="AH1078" i="1"/>
  <c r="AH1079" i="1"/>
  <c r="AH1080" i="1"/>
  <c r="AH1081" i="1"/>
  <c r="AH1082" i="1"/>
  <c r="AH1083" i="1"/>
  <c r="AH182" i="1"/>
  <c r="AH1084" i="1"/>
  <c r="AH1085" i="1"/>
  <c r="AH1086" i="1"/>
  <c r="AH183" i="1"/>
  <c r="AH1087" i="1"/>
  <c r="AH1088" i="1"/>
  <c r="AH1089" i="1"/>
  <c r="AH1090" i="1"/>
  <c r="AH1091" i="1"/>
  <c r="AH1092" i="1"/>
  <c r="AH1093" i="1"/>
  <c r="AH1094" i="1"/>
  <c r="AH1095" i="1"/>
  <c r="AH184" i="1"/>
  <c r="AH1096" i="1"/>
  <c r="AH1097" i="1"/>
  <c r="AH1098" i="1"/>
  <c r="AH1099" i="1"/>
  <c r="AH1100" i="1"/>
  <c r="AH1101" i="1"/>
  <c r="AH1102" i="1"/>
  <c r="AH185" i="1"/>
  <c r="AH1103" i="1"/>
  <c r="AH186" i="1"/>
  <c r="AH187" i="1"/>
  <c r="AH1104" i="1"/>
  <c r="AH188" i="1"/>
  <c r="AH1105" i="1"/>
  <c r="AH1106" i="1"/>
  <c r="AH1107" i="1"/>
  <c r="AH1108" i="1"/>
  <c r="AH1109" i="1"/>
  <c r="AH189" i="1"/>
  <c r="AH1110" i="1"/>
  <c r="AH1111" i="1"/>
  <c r="AH1112" i="1"/>
  <c r="AH1113" i="1"/>
  <c r="AH1114" i="1"/>
  <c r="AH1115" i="1"/>
  <c r="AH190" i="1"/>
  <c r="AH1116" i="1"/>
  <c r="AH1117" i="1"/>
  <c r="AH1118" i="1"/>
  <c r="AH1119" i="1"/>
  <c r="AH1120" i="1"/>
  <c r="AH191" i="1"/>
  <c r="AH1121" i="1"/>
  <c r="AH1122" i="1"/>
  <c r="AH192" i="1"/>
  <c r="AH1123" i="1"/>
  <c r="AH1124" i="1"/>
  <c r="AH1125" i="1"/>
  <c r="AH1126" i="1"/>
  <c r="AH1127" i="1"/>
  <c r="AH1128" i="1"/>
  <c r="AH1129" i="1"/>
  <c r="AH1130" i="1"/>
  <c r="AH1131" i="1"/>
  <c r="AH1132" i="1"/>
  <c r="AH1133" i="1"/>
  <c r="AH1134" i="1"/>
  <c r="AH1135" i="1"/>
  <c r="AH193" i="1"/>
  <c r="AH194" i="1"/>
  <c r="AH1136" i="1"/>
  <c r="AH1137" i="1"/>
  <c r="AH1138" i="1"/>
  <c r="AH1139" i="1"/>
  <c r="AH195" i="1"/>
  <c r="AH1140" i="1"/>
  <c r="AH1141" i="1"/>
  <c r="AH1142" i="1"/>
  <c r="AH1143" i="1"/>
  <c r="AH196" i="1"/>
  <c r="AH1144" i="1"/>
  <c r="AH1145" i="1"/>
  <c r="AH1146" i="1"/>
  <c r="AH1147" i="1"/>
  <c r="AH1148" i="1"/>
  <c r="AH1149" i="1"/>
  <c r="AH1150" i="1"/>
  <c r="AH1151" i="1"/>
  <c r="AH1152" i="1"/>
  <c r="AH1153" i="1"/>
  <c r="AH1154" i="1"/>
  <c r="AH1155" i="1"/>
  <c r="AH1156" i="1"/>
  <c r="AH1157" i="1"/>
  <c r="AH197" i="1"/>
  <c r="AH1158" i="1"/>
  <c r="AH1159" i="1"/>
  <c r="AH1160" i="1"/>
  <c r="AH1161" i="1"/>
  <c r="AH1162" i="1"/>
  <c r="AH1163" i="1"/>
  <c r="AH198" i="1"/>
  <c r="AH1164" i="1"/>
  <c r="AH1165" i="1"/>
  <c r="AH1166" i="1"/>
  <c r="AH1167" i="1"/>
  <c r="AH1168" i="1"/>
  <c r="AH1169" i="1"/>
  <c r="AH1170" i="1"/>
  <c r="AH1171" i="1"/>
  <c r="AH1172" i="1"/>
  <c r="AH1173" i="1"/>
  <c r="AH1174" i="1"/>
  <c r="AH1175" i="1"/>
  <c r="AH1176" i="1"/>
  <c r="AH199" i="1"/>
  <c r="AH1177" i="1"/>
  <c r="AH1178" i="1"/>
  <c r="AH1179" i="1"/>
  <c r="AH1180" i="1"/>
  <c r="AH1181" i="1"/>
  <c r="AH1182" i="1"/>
  <c r="AH1183" i="1"/>
  <c r="AH200" i="1"/>
  <c r="AH1184" i="1"/>
  <c r="AH1185" i="1"/>
  <c r="AH1186" i="1"/>
  <c r="AH1187" i="1"/>
  <c r="AH201" i="1"/>
  <c r="AH1188" i="1"/>
  <c r="AH202" i="1"/>
  <c r="AH1189" i="1"/>
  <c r="AH1190" i="1"/>
  <c r="AH1191" i="1"/>
  <c r="AH1192" i="1"/>
  <c r="AH1193" i="1"/>
  <c r="AH1194" i="1"/>
  <c r="AH1195" i="1"/>
  <c r="AH203" i="1"/>
  <c r="AH1196" i="1"/>
  <c r="AH1197" i="1"/>
  <c r="AH1198" i="1"/>
  <c r="AH1199" i="1"/>
  <c r="AH1200" i="1"/>
  <c r="AH1201" i="1"/>
  <c r="AH1202" i="1"/>
  <c r="AH1203" i="1"/>
  <c r="AH1204" i="1"/>
  <c r="AH1205" i="1"/>
  <c r="AH204" i="1"/>
  <c r="AH1206" i="1"/>
  <c r="AH1207" i="1"/>
  <c r="AH1208" i="1"/>
  <c r="AH1209" i="1"/>
  <c r="AH1210" i="1"/>
  <c r="AH1211" i="1"/>
  <c r="AH1212" i="1"/>
  <c r="AH1213" i="1"/>
  <c r="AH205" i="1"/>
  <c r="AH1214" i="1"/>
  <c r="AH1215" i="1"/>
  <c r="AH1216" i="1"/>
  <c r="AH1217" i="1"/>
  <c r="AH206" i="1"/>
  <c r="AH207" i="1"/>
  <c r="AH1218" i="1"/>
  <c r="AH1219" i="1"/>
  <c r="AH1220" i="1"/>
  <c r="AH1221" i="1"/>
  <c r="AH1222" i="1"/>
  <c r="AH1223" i="1"/>
  <c r="AH1224" i="1"/>
  <c r="AH208" i="1"/>
  <c r="AH1225" i="1"/>
  <c r="AH1226" i="1"/>
  <c r="AH209" i="1"/>
  <c r="AH210" i="1"/>
  <c r="AH211" i="1"/>
  <c r="AH1227" i="1"/>
  <c r="AH1228" i="1"/>
  <c r="AH1229" i="1"/>
  <c r="AH1230" i="1"/>
  <c r="AH1231" i="1"/>
  <c r="AH1232" i="1"/>
  <c r="AH1233" i="1"/>
  <c r="AH1234" i="1"/>
  <c r="AH1235" i="1"/>
  <c r="AH212" i="1"/>
  <c r="AH1236" i="1"/>
  <c r="AH1237" i="1"/>
  <c r="AH1238" i="1"/>
  <c r="AH1239" i="1"/>
  <c r="AH1240" i="1"/>
  <c r="AH1241" i="1"/>
  <c r="AH1242" i="1"/>
  <c r="AH1243" i="1"/>
  <c r="AH1244" i="1"/>
  <c r="AH1245" i="1"/>
  <c r="AH1246" i="1"/>
  <c r="AH213" i="1"/>
  <c r="AH1247" i="1"/>
  <c r="AH214" i="1"/>
  <c r="AH1248" i="1"/>
  <c r="AH1249" i="1"/>
  <c r="AH1250" i="1"/>
  <c r="AH1251" i="1"/>
  <c r="AH1252" i="1"/>
  <c r="AH1253" i="1"/>
  <c r="AH1254" i="1"/>
  <c r="AH1255" i="1"/>
  <c r="AH1256" i="1"/>
  <c r="AH1257" i="1"/>
  <c r="AH1258" i="1"/>
  <c r="AH215" i="1"/>
  <c r="AH1259" i="1"/>
  <c r="AH1260" i="1"/>
  <c r="AH1261" i="1"/>
  <c r="AH1262" i="1"/>
  <c r="AH1263" i="1"/>
  <c r="AH1264" i="1"/>
  <c r="AH216" i="1"/>
  <c r="AH1265" i="1"/>
  <c r="AH1266" i="1"/>
  <c r="AH1267" i="1"/>
  <c r="AH1268" i="1"/>
  <c r="AH1269" i="1"/>
  <c r="AH1270" i="1"/>
  <c r="AH1271" i="1"/>
  <c r="AH1272" i="1"/>
  <c r="AH217" i="1"/>
  <c r="AH1273" i="1"/>
  <c r="AH1274" i="1"/>
  <c r="AH1275" i="1"/>
  <c r="AH1276" i="1"/>
  <c r="AH1277" i="1"/>
  <c r="AH218" i="1"/>
  <c r="AH1278" i="1"/>
  <c r="AH219" i="1"/>
  <c r="AH1279" i="1"/>
  <c r="AH1280" i="1"/>
  <c r="AH1281" i="1"/>
  <c r="AH1282" i="1"/>
  <c r="AH1283" i="1"/>
  <c r="AH1284" i="1"/>
  <c r="AH1285" i="1"/>
  <c r="AH1286" i="1"/>
  <c r="AH1287" i="1"/>
  <c r="AH1288" i="1"/>
  <c r="AH1289" i="1"/>
  <c r="AH1290" i="1"/>
  <c r="AH220" i="1"/>
  <c r="AH1291" i="1"/>
  <c r="AH221" i="1"/>
  <c r="AH1292" i="1"/>
  <c r="AH1293" i="1"/>
  <c r="AH1294" i="1"/>
  <c r="AH1295" i="1"/>
  <c r="AH1296" i="1"/>
  <c r="AH1297" i="1"/>
  <c r="AH1298" i="1"/>
  <c r="AH1299" i="1"/>
  <c r="AH1300" i="1"/>
  <c r="AH1301" i="1"/>
  <c r="AH1302" i="1"/>
  <c r="AH1303" i="1"/>
  <c r="AH1304" i="1"/>
  <c r="AH1305" i="1"/>
  <c r="AH1306" i="1"/>
  <c r="AH1307" i="1"/>
  <c r="AH1308" i="1"/>
  <c r="AH1309" i="1"/>
  <c r="AH1310" i="1"/>
  <c r="AH222" i="1"/>
  <c r="AH1311" i="1"/>
  <c r="AH1312" i="1"/>
  <c r="AH1313" i="1"/>
  <c r="AH1314" i="1"/>
  <c r="AH1315" i="1"/>
  <c r="AH1316" i="1"/>
  <c r="AH1317" i="1"/>
  <c r="AH1318" i="1"/>
  <c r="AH223" i="1"/>
  <c r="AH224" i="1"/>
  <c r="AH1319" i="1"/>
  <c r="AH1320" i="1"/>
  <c r="AH1321" i="1"/>
  <c r="AH1322" i="1"/>
  <c r="AH1323" i="1"/>
  <c r="AH1324" i="1"/>
  <c r="AH1325" i="1"/>
  <c r="AH1326" i="1"/>
  <c r="AH1327" i="1"/>
  <c r="AH1328" i="1"/>
  <c r="AH1329" i="1"/>
  <c r="AH1330" i="1"/>
  <c r="AH1331" i="1"/>
  <c r="AH1332" i="1"/>
  <c r="AH1333" i="1"/>
  <c r="AH1334" i="1"/>
  <c r="AH225" i="1"/>
  <c r="AH1335" i="1"/>
  <c r="AH1336" i="1"/>
  <c r="AH1337" i="1"/>
  <c r="AH1338" i="1"/>
  <c r="AH1339" i="1"/>
  <c r="AH1340" i="1"/>
  <c r="AH1341" i="1"/>
  <c r="AH226" i="1"/>
  <c r="AH1342" i="1"/>
  <c r="AH1343" i="1"/>
  <c r="AH1344" i="1"/>
  <c r="AH1345" i="1"/>
  <c r="AH227" i="1"/>
  <c r="AH1346" i="1"/>
  <c r="AH1347" i="1"/>
  <c r="AH1348" i="1"/>
  <c r="AH1349" i="1"/>
  <c r="AH1350" i="1"/>
  <c r="AH1351" i="1"/>
  <c r="AH1352" i="1"/>
  <c r="AH1353" i="1"/>
  <c r="AH1354" i="1"/>
  <c r="AH1355" i="1"/>
  <c r="AH1356" i="1"/>
  <c r="AH228" i="1"/>
  <c r="AH1357" i="1"/>
  <c r="AH1358" i="1"/>
  <c r="AH229"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230" i="1"/>
  <c r="AH1405" i="1"/>
  <c r="AH1406" i="1"/>
  <c r="AH1407" i="1"/>
  <c r="AH1408" i="1"/>
  <c r="AH1409" i="1"/>
  <c r="AH231" i="1"/>
  <c r="AH232" i="1"/>
  <c r="AH1410" i="1"/>
  <c r="AH1411" i="1"/>
  <c r="AH1412" i="1"/>
  <c r="AH1413" i="1"/>
  <c r="AH1414" i="1"/>
  <c r="AH1415" i="1"/>
  <c r="AH1416" i="1"/>
  <c r="AH1417" i="1"/>
  <c r="AH1418" i="1"/>
  <c r="AH1419" i="1"/>
  <c r="AH1420" i="1"/>
  <c r="AH1421" i="1"/>
  <c r="AH1422" i="1"/>
  <c r="AH1423" i="1"/>
  <c r="AH1424" i="1"/>
  <c r="AH1425" i="1"/>
  <c r="AH1426" i="1"/>
  <c r="AH233"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234" i="1"/>
  <c r="AH1452" i="1"/>
  <c r="AH235" i="1"/>
  <c r="AH1453" i="1"/>
  <c r="AH236" i="1"/>
  <c r="AH1454" i="1"/>
  <c r="AH1455" i="1"/>
  <c r="AH1456" i="1"/>
  <c r="AH237" i="1"/>
  <c r="AH1457" i="1"/>
  <c r="AH1458" i="1"/>
  <c r="AH238" i="1"/>
  <c r="AH1459" i="1"/>
  <c r="AH1460" i="1"/>
  <c r="AH1461" i="1"/>
  <c r="AH1462" i="1"/>
  <c r="AH239" i="1"/>
  <c r="AH1463" i="1"/>
  <c r="AH1464" i="1"/>
  <c r="AH1465" i="1"/>
  <c r="AH1466" i="1"/>
  <c r="AH240" i="1"/>
  <c r="AH1467" i="1"/>
  <c r="AH1468" i="1"/>
  <c r="AH1469" i="1"/>
  <c r="AH1470" i="1"/>
  <c r="AH1471" i="1"/>
  <c r="AH1472" i="1"/>
  <c r="AH2" i="1"/>
  <c r="AG242" i="1"/>
  <c r="AG243" i="1"/>
  <c r="AG3" i="1"/>
  <c r="AG4" i="1"/>
  <c r="AG5" i="1"/>
  <c r="AG6" i="1"/>
  <c r="AG244" i="1"/>
  <c r="AG245" i="1"/>
  <c r="AG246" i="1"/>
  <c r="AG247" i="1"/>
  <c r="AG7" i="1"/>
  <c r="AG248" i="1"/>
  <c r="AG249" i="1"/>
  <c r="AG8" i="1"/>
  <c r="AG9" i="1"/>
  <c r="AG10" i="1"/>
  <c r="AG11" i="1"/>
  <c r="AG250" i="1"/>
  <c r="AG251" i="1"/>
  <c r="AG252" i="1"/>
  <c r="AG12" i="1"/>
  <c r="AG13" i="1"/>
  <c r="AG253" i="1"/>
  <c r="AG254" i="1"/>
  <c r="AG255" i="1"/>
  <c r="AG256" i="1"/>
  <c r="AG257" i="1"/>
  <c r="AG258" i="1"/>
  <c r="AG14" i="1"/>
  <c r="AG259" i="1"/>
  <c r="AG15" i="1"/>
  <c r="AG260" i="1"/>
  <c r="AG261" i="1"/>
  <c r="AG262" i="1"/>
  <c r="AG16" i="1"/>
  <c r="AG263" i="1"/>
  <c r="AG264" i="1"/>
  <c r="AG265" i="1"/>
  <c r="AG266" i="1"/>
  <c r="AG267" i="1"/>
  <c r="AG17" i="1"/>
  <c r="AG18" i="1"/>
  <c r="AG19" i="1"/>
  <c r="AG268" i="1"/>
  <c r="AG269" i="1"/>
  <c r="AG270" i="1"/>
  <c r="AG271" i="1"/>
  <c r="AG272" i="1"/>
  <c r="AG273" i="1"/>
  <c r="AG20" i="1"/>
  <c r="AG21" i="1"/>
  <c r="AG22" i="1"/>
  <c r="AG23" i="1"/>
  <c r="AG274" i="1"/>
  <c r="AG275" i="1"/>
  <c r="AG24" i="1"/>
  <c r="AG276" i="1"/>
  <c r="AG277" i="1"/>
  <c r="AG278" i="1"/>
  <c r="AG279" i="1"/>
  <c r="AG280" i="1"/>
  <c r="AG25" i="1"/>
  <c r="AG281" i="1"/>
  <c r="AG282" i="1"/>
  <c r="AG283" i="1"/>
  <c r="AG26" i="1"/>
  <c r="AG27" i="1"/>
  <c r="AG284" i="1"/>
  <c r="AG285" i="1"/>
  <c r="AG286" i="1"/>
  <c r="AG287" i="1"/>
  <c r="AG288" i="1"/>
  <c r="AG289" i="1"/>
  <c r="AG290" i="1"/>
  <c r="AG291" i="1"/>
  <c r="AG292" i="1"/>
  <c r="AG293" i="1"/>
  <c r="AG294" i="1"/>
  <c r="AG295" i="1"/>
  <c r="AG296" i="1"/>
  <c r="AG28" i="1"/>
  <c r="AG297" i="1"/>
  <c r="AG298" i="1"/>
  <c r="AG29" i="1"/>
  <c r="AG299" i="1"/>
  <c r="AG300" i="1"/>
  <c r="AG301" i="1"/>
  <c r="AG302" i="1"/>
  <c r="AG303" i="1"/>
  <c r="AG304" i="1"/>
  <c r="AG30" i="1"/>
  <c r="AG305" i="1"/>
  <c r="AG306" i="1"/>
  <c r="AG307" i="1"/>
  <c r="AG308" i="1"/>
  <c r="AG309" i="1"/>
  <c r="AG31" i="1"/>
  <c r="AG310" i="1"/>
  <c r="AG311" i="1"/>
  <c r="AG312" i="1"/>
  <c r="AG32" i="1"/>
  <c r="AG313" i="1"/>
  <c r="AG314" i="1"/>
  <c r="AG315" i="1"/>
  <c r="AG316" i="1"/>
  <c r="AG317" i="1"/>
  <c r="AG33" i="1"/>
  <c r="AG34" i="1"/>
  <c r="AG318" i="1"/>
  <c r="AG35" i="1"/>
  <c r="AG319" i="1"/>
  <c r="AG320" i="1"/>
  <c r="AG321" i="1"/>
  <c r="AG322" i="1"/>
  <c r="AG323" i="1"/>
  <c r="AG324" i="1"/>
  <c r="AG325" i="1"/>
  <c r="AG326" i="1"/>
  <c r="AG327" i="1"/>
  <c r="AG328" i="1"/>
  <c r="AG329" i="1"/>
  <c r="AG36" i="1"/>
  <c r="AG330" i="1"/>
  <c r="AG331" i="1"/>
  <c r="AG332" i="1"/>
  <c r="AG37" i="1"/>
  <c r="AG333" i="1"/>
  <c r="AG334" i="1"/>
  <c r="AG38" i="1"/>
  <c r="AG335" i="1"/>
  <c r="AG336" i="1"/>
  <c r="AG337" i="1"/>
  <c r="AG338" i="1"/>
  <c r="AG339" i="1"/>
  <c r="AG340" i="1"/>
  <c r="AG341" i="1"/>
  <c r="AG342" i="1"/>
  <c r="AG39" i="1"/>
  <c r="AG40" i="1"/>
  <c r="AG41" i="1"/>
  <c r="AG343" i="1"/>
  <c r="AG344" i="1"/>
  <c r="AG345" i="1"/>
  <c r="AG346" i="1"/>
  <c r="AG42" i="1"/>
  <c r="AG347" i="1"/>
  <c r="AG348" i="1"/>
  <c r="AG43" i="1"/>
  <c r="AG349" i="1"/>
  <c r="AG350" i="1"/>
  <c r="AG351" i="1"/>
  <c r="AG44" i="1"/>
  <c r="AG45" i="1"/>
  <c r="AG352" i="1"/>
  <c r="AG353" i="1"/>
  <c r="AG354" i="1"/>
  <c r="AG355" i="1"/>
  <c r="AG356" i="1"/>
  <c r="AG357" i="1"/>
  <c r="AG358" i="1"/>
  <c r="AG359" i="1"/>
  <c r="AG360" i="1"/>
  <c r="AG361" i="1"/>
  <c r="AG362" i="1"/>
  <c r="AG363" i="1"/>
  <c r="AG364" i="1"/>
  <c r="AG365" i="1"/>
  <c r="AG366" i="1"/>
  <c r="AG46" i="1"/>
  <c r="AG367" i="1"/>
  <c r="AG368" i="1"/>
  <c r="AG369" i="1"/>
  <c r="AG47" i="1"/>
  <c r="AG370" i="1"/>
  <c r="AG371" i="1"/>
  <c r="AG372" i="1"/>
  <c r="AG373" i="1"/>
  <c r="AG374" i="1"/>
  <c r="AG375" i="1"/>
  <c r="AG376" i="1"/>
  <c r="AG377" i="1"/>
  <c r="AG378" i="1"/>
  <c r="AG379" i="1"/>
  <c r="AG380" i="1"/>
  <c r="AG381" i="1"/>
  <c r="AG382" i="1"/>
  <c r="AG383" i="1"/>
  <c r="AG384" i="1"/>
  <c r="AG385" i="1"/>
  <c r="AG48" i="1"/>
  <c r="AG49" i="1"/>
  <c r="AG50" i="1"/>
  <c r="AG386" i="1"/>
  <c r="AG51" i="1"/>
  <c r="AG387" i="1"/>
  <c r="AG388" i="1"/>
  <c r="AG389" i="1"/>
  <c r="AG390" i="1"/>
  <c r="AG391" i="1"/>
  <c r="AG52" i="1"/>
  <c r="AG392" i="1"/>
  <c r="AG393" i="1"/>
  <c r="AG53" i="1"/>
  <c r="AG394" i="1"/>
  <c r="AG395" i="1"/>
  <c r="AG396" i="1"/>
  <c r="AG54" i="1"/>
  <c r="AG397" i="1"/>
  <c r="AG398" i="1"/>
  <c r="AG399" i="1"/>
  <c r="AG400" i="1"/>
  <c r="AG55" i="1"/>
  <c r="AG401" i="1"/>
  <c r="AG402" i="1"/>
  <c r="AG56" i="1"/>
  <c r="AG403" i="1"/>
  <c r="AG404" i="1"/>
  <c r="AG405" i="1"/>
  <c r="AG406" i="1"/>
  <c r="AG407" i="1"/>
  <c r="AG408" i="1"/>
  <c r="AG409" i="1"/>
  <c r="AG410" i="1"/>
  <c r="AG411" i="1"/>
  <c r="AG57" i="1"/>
  <c r="AG412" i="1"/>
  <c r="AG413" i="1"/>
  <c r="AG414" i="1"/>
  <c r="AG415" i="1"/>
  <c r="AG58" i="1"/>
  <c r="AG59" i="1"/>
  <c r="AG416" i="1"/>
  <c r="AG60" i="1"/>
  <c r="AG417" i="1"/>
  <c r="AG418" i="1"/>
  <c r="AG419" i="1"/>
  <c r="AG420" i="1"/>
  <c r="AG421" i="1"/>
  <c r="AG61" i="1"/>
  <c r="AG422" i="1"/>
  <c r="AG423" i="1"/>
  <c r="AG424" i="1"/>
  <c r="AG425" i="1"/>
  <c r="AG426" i="1"/>
  <c r="AG427" i="1"/>
  <c r="AG428" i="1"/>
  <c r="AG429" i="1"/>
  <c r="AG62" i="1"/>
  <c r="AG430" i="1"/>
  <c r="AG431" i="1"/>
  <c r="AG432" i="1"/>
  <c r="AG433" i="1"/>
  <c r="AG434" i="1"/>
  <c r="AG435" i="1"/>
  <c r="AG436" i="1"/>
  <c r="AG437" i="1"/>
  <c r="AG438" i="1"/>
  <c r="AG63" i="1"/>
  <c r="AG439" i="1"/>
  <c r="AG440" i="1"/>
  <c r="AG64" i="1"/>
  <c r="AG441" i="1"/>
  <c r="AG442" i="1"/>
  <c r="AG65" i="1"/>
  <c r="AG443" i="1"/>
  <c r="AG444" i="1"/>
  <c r="AG445" i="1"/>
  <c r="AG66" i="1"/>
  <c r="AG446" i="1"/>
  <c r="AG447" i="1"/>
  <c r="AG448" i="1"/>
  <c r="AG449" i="1"/>
  <c r="AG450" i="1"/>
  <c r="AG451" i="1"/>
  <c r="AG67" i="1"/>
  <c r="AG68" i="1"/>
  <c r="AG452" i="1"/>
  <c r="AG453" i="1"/>
  <c r="AG69" i="1"/>
  <c r="AG454" i="1"/>
  <c r="AG455" i="1"/>
  <c r="AG456" i="1"/>
  <c r="AG457" i="1"/>
  <c r="AG458" i="1"/>
  <c r="AG459" i="1"/>
  <c r="AG460" i="1"/>
  <c r="AG461" i="1"/>
  <c r="AG462" i="1"/>
  <c r="AG463" i="1"/>
  <c r="AG70" i="1"/>
  <c r="AG71" i="1"/>
  <c r="AG464" i="1"/>
  <c r="AG72" i="1"/>
  <c r="AG465" i="1"/>
  <c r="AG73" i="1"/>
  <c r="AG466" i="1"/>
  <c r="AG467" i="1"/>
  <c r="AG468" i="1"/>
  <c r="AG469" i="1"/>
  <c r="AG74" i="1"/>
  <c r="AG470" i="1"/>
  <c r="AG75" i="1"/>
  <c r="AG471" i="1"/>
  <c r="AG472" i="1"/>
  <c r="AG473" i="1"/>
  <c r="AG474" i="1"/>
  <c r="AG475" i="1"/>
  <c r="AG476" i="1"/>
  <c r="AG477" i="1"/>
  <c r="AG76" i="1"/>
  <c r="AG478" i="1"/>
  <c r="AG77" i="1"/>
  <c r="AG78" i="1"/>
  <c r="AG479" i="1"/>
  <c r="AG480" i="1"/>
  <c r="AG481" i="1"/>
  <c r="AG79" i="1"/>
  <c r="AG482" i="1"/>
  <c r="AG80" i="1"/>
  <c r="AG483" i="1"/>
  <c r="AG484" i="1"/>
  <c r="AG81" i="1"/>
  <c r="AG82" i="1"/>
  <c r="AG485" i="1"/>
  <c r="AG486" i="1"/>
  <c r="AG487" i="1"/>
  <c r="AG83" i="1"/>
  <c r="AG488" i="1"/>
  <c r="AG489" i="1"/>
  <c r="AG490" i="1"/>
  <c r="AG491" i="1"/>
  <c r="AG492" i="1"/>
  <c r="AG493" i="1"/>
  <c r="AG84" i="1"/>
  <c r="AG85" i="1"/>
  <c r="AG494" i="1"/>
  <c r="AG495" i="1"/>
  <c r="AG496" i="1"/>
  <c r="AG497" i="1"/>
  <c r="AG498" i="1"/>
  <c r="AG499" i="1"/>
  <c r="AG500" i="1"/>
  <c r="AG501" i="1"/>
  <c r="AG502" i="1"/>
  <c r="AG503" i="1"/>
  <c r="AG504" i="1"/>
  <c r="AG505" i="1"/>
  <c r="AG506" i="1"/>
  <c r="AG86" i="1"/>
  <c r="AG507" i="1"/>
  <c r="AG508" i="1"/>
  <c r="AG509" i="1"/>
  <c r="AG510" i="1"/>
  <c r="AG511" i="1"/>
  <c r="AG87" i="1"/>
  <c r="AG512" i="1"/>
  <c r="AG513" i="1"/>
  <c r="AG514" i="1"/>
  <c r="AG515" i="1"/>
  <c r="AG88" i="1"/>
  <c r="AG516" i="1"/>
  <c r="AG517" i="1"/>
  <c r="AG518" i="1"/>
  <c r="AG519" i="1"/>
  <c r="AG520" i="1"/>
  <c r="AG89" i="1"/>
  <c r="AG521" i="1"/>
  <c r="AG522" i="1"/>
  <c r="AG90" i="1"/>
  <c r="AG523" i="1"/>
  <c r="AG91" i="1"/>
  <c r="AG524" i="1"/>
  <c r="AG525" i="1"/>
  <c r="AG526" i="1"/>
  <c r="AG527" i="1"/>
  <c r="AG528" i="1"/>
  <c r="AG529" i="1"/>
  <c r="AG530" i="1"/>
  <c r="AG531" i="1"/>
  <c r="AG532" i="1"/>
  <c r="AG533" i="1"/>
  <c r="AG534" i="1"/>
  <c r="AG92" i="1"/>
  <c r="AG535" i="1"/>
  <c r="AG536" i="1"/>
  <c r="AG537" i="1"/>
  <c r="AG93" i="1"/>
  <c r="AG538" i="1"/>
  <c r="AG539" i="1"/>
  <c r="AG94" i="1"/>
  <c r="AG540" i="1"/>
  <c r="AG541" i="1"/>
  <c r="AG542" i="1"/>
  <c r="AG543" i="1"/>
  <c r="AG544" i="1"/>
  <c r="AG545" i="1"/>
  <c r="AG546" i="1"/>
  <c r="AG547" i="1"/>
  <c r="AG548" i="1"/>
  <c r="AG549" i="1"/>
  <c r="AG550" i="1"/>
  <c r="AG551" i="1"/>
  <c r="AG552" i="1"/>
  <c r="AG553" i="1"/>
  <c r="AG554" i="1"/>
  <c r="AG95" i="1"/>
  <c r="AG555" i="1"/>
  <c r="AG556" i="1"/>
  <c r="AG557" i="1"/>
  <c r="AG558" i="1"/>
  <c r="AG559" i="1"/>
  <c r="AG560" i="1"/>
  <c r="AG561" i="1"/>
  <c r="AG562" i="1"/>
  <c r="AG96" i="1"/>
  <c r="AG563" i="1"/>
  <c r="AG564" i="1"/>
  <c r="AG565" i="1"/>
  <c r="AG566" i="1"/>
  <c r="AG567" i="1"/>
  <c r="AG568" i="1"/>
  <c r="AG97" i="1"/>
  <c r="AG98" i="1"/>
  <c r="AG569" i="1"/>
  <c r="AG570" i="1"/>
  <c r="AG99" i="1"/>
  <c r="AG571" i="1"/>
  <c r="AG572" i="1"/>
  <c r="AG100" i="1"/>
  <c r="AG573" i="1"/>
  <c r="AG574" i="1"/>
  <c r="AG101" i="1"/>
  <c r="AG575" i="1"/>
  <c r="AG576" i="1"/>
  <c r="AG577" i="1"/>
  <c r="AG578" i="1"/>
  <c r="AG579" i="1"/>
  <c r="AG580" i="1"/>
  <c r="AG581" i="1"/>
  <c r="AG582" i="1"/>
  <c r="AG102" i="1"/>
  <c r="AG583" i="1"/>
  <c r="AG584" i="1"/>
  <c r="AG585" i="1"/>
  <c r="AG586" i="1"/>
  <c r="AG587" i="1"/>
  <c r="AG588" i="1"/>
  <c r="AG103" i="1"/>
  <c r="AG589" i="1"/>
  <c r="AG590" i="1"/>
  <c r="AG591" i="1"/>
  <c r="AG592" i="1"/>
  <c r="AG104" i="1"/>
  <c r="AG593" i="1"/>
  <c r="AG594" i="1"/>
  <c r="AG105" i="1"/>
  <c r="AG595" i="1"/>
  <c r="AG596" i="1"/>
  <c r="AG597" i="1"/>
  <c r="AG598" i="1"/>
  <c r="AG106" i="1"/>
  <c r="AG599" i="1"/>
  <c r="AG600" i="1"/>
  <c r="AG601" i="1"/>
  <c r="AG107" i="1"/>
  <c r="AG602" i="1"/>
  <c r="AG108" i="1"/>
  <c r="AG603" i="1"/>
  <c r="AG604" i="1"/>
  <c r="AG605" i="1"/>
  <c r="AG606" i="1"/>
  <c r="AG607" i="1"/>
  <c r="AG608" i="1"/>
  <c r="AG609" i="1"/>
  <c r="AG610" i="1"/>
  <c r="AG109" i="1"/>
  <c r="AG611" i="1"/>
  <c r="AG110" i="1"/>
  <c r="AG612" i="1"/>
  <c r="AG613" i="1"/>
  <c r="AG614" i="1"/>
  <c r="AG615" i="1"/>
  <c r="AG616" i="1"/>
  <c r="AG617" i="1"/>
  <c r="AG618" i="1"/>
  <c r="AG619" i="1"/>
  <c r="AG111" i="1"/>
  <c r="AG620" i="1"/>
  <c r="AG621" i="1"/>
  <c r="AG622" i="1"/>
  <c r="AG623" i="1"/>
  <c r="AG624" i="1"/>
  <c r="AG112" i="1"/>
  <c r="AG625" i="1"/>
  <c r="AG626" i="1"/>
  <c r="AG627" i="1"/>
  <c r="AG628" i="1"/>
  <c r="AG629" i="1"/>
  <c r="AG630" i="1"/>
  <c r="AG631" i="1"/>
  <c r="AG632" i="1"/>
  <c r="AG633" i="1"/>
  <c r="AG634" i="1"/>
  <c r="AG635" i="1"/>
  <c r="AG636" i="1"/>
  <c r="AG637" i="1"/>
  <c r="AG638" i="1"/>
  <c r="AG639" i="1"/>
  <c r="AG640" i="1"/>
  <c r="AG641" i="1"/>
  <c r="AG113" i="1"/>
  <c r="AG642" i="1"/>
  <c r="AG643" i="1"/>
  <c r="AG644" i="1"/>
  <c r="AG645" i="1"/>
  <c r="AG646" i="1"/>
  <c r="AG114" i="1"/>
  <c r="AG647" i="1"/>
  <c r="AG648" i="1"/>
  <c r="AG649" i="1"/>
  <c r="AG650" i="1"/>
  <c r="AG651" i="1"/>
  <c r="AG115" i="1"/>
  <c r="AG652" i="1"/>
  <c r="AG653" i="1"/>
  <c r="AG654" i="1"/>
  <c r="AG655" i="1"/>
  <c r="AG656" i="1"/>
  <c r="AG657" i="1"/>
  <c r="AG658" i="1"/>
  <c r="AG659" i="1"/>
  <c r="AG660" i="1"/>
  <c r="AG661" i="1"/>
  <c r="AG662" i="1"/>
  <c r="AG663" i="1"/>
  <c r="AG664" i="1"/>
  <c r="AG665" i="1"/>
  <c r="AG666" i="1"/>
  <c r="AG667" i="1"/>
  <c r="AG668" i="1"/>
  <c r="AG669" i="1"/>
  <c r="AG116" i="1"/>
  <c r="AG670" i="1"/>
  <c r="AG671" i="1"/>
  <c r="AG672" i="1"/>
  <c r="AG673" i="1"/>
  <c r="AG674" i="1"/>
  <c r="AG675" i="1"/>
  <c r="AG676" i="1"/>
  <c r="AG677" i="1"/>
  <c r="AG678" i="1"/>
  <c r="AG679" i="1"/>
  <c r="AG680" i="1"/>
  <c r="AG681" i="1"/>
  <c r="AG682" i="1"/>
  <c r="AG683" i="1"/>
  <c r="AG684" i="1"/>
  <c r="AG117" i="1"/>
  <c r="AG685" i="1"/>
  <c r="AG686" i="1"/>
  <c r="AG687" i="1"/>
  <c r="AG688" i="1"/>
  <c r="AG689" i="1"/>
  <c r="AG690" i="1"/>
  <c r="AG691" i="1"/>
  <c r="AG692" i="1"/>
  <c r="AG693" i="1"/>
  <c r="AG118" i="1"/>
  <c r="AG694" i="1"/>
  <c r="AG695" i="1"/>
  <c r="AG696" i="1"/>
  <c r="AG119" i="1"/>
  <c r="AG697" i="1"/>
  <c r="AG698" i="1"/>
  <c r="AG699" i="1"/>
  <c r="AG700" i="1"/>
  <c r="AG120" i="1"/>
  <c r="AG701" i="1"/>
  <c r="AG702" i="1"/>
  <c r="AG703" i="1"/>
  <c r="AG704" i="1"/>
  <c r="AG705" i="1"/>
  <c r="AG706" i="1"/>
  <c r="AG707" i="1"/>
  <c r="AG121" i="1"/>
  <c r="AG708" i="1"/>
  <c r="AG709" i="1"/>
  <c r="AG710" i="1"/>
  <c r="AG122" i="1"/>
  <c r="AG123" i="1"/>
  <c r="AG711" i="1"/>
  <c r="AG712" i="1"/>
  <c r="AG713" i="1"/>
  <c r="AG714" i="1"/>
  <c r="AG715" i="1"/>
  <c r="AG716" i="1"/>
  <c r="AG717" i="1"/>
  <c r="AG718" i="1"/>
  <c r="AG719" i="1"/>
  <c r="AG720" i="1"/>
  <c r="AG124" i="1"/>
  <c r="AG125" i="1"/>
  <c r="AG721" i="1"/>
  <c r="AG722" i="1"/>
  <c r="AG126" i="1"/>
  <c r="AG723" i="1"/>
  <c r="AG724" i="1"/>
  <c r="AG725" i="1"/>
  <c r="AG726" i="1"/>
  <c r="AG727" i="1"/>
  <c r="AG728" i="1"/>
  <c r="AG729" i="1"/>
  <c r="AG127" i="1"/>
  <c r="AG730" i="1"/>
  <c r="AG731" i="1"/>
  <c r="AG128" i="1"/>
  <c r="AG732" i="1"/>
  <c r="AG733" i="1"/>
  <c r="AG734" i="1"/>
  <c r="AG735" i="1"/>
  <c r="AG736" i="1"/>
  <c r="AG737" i="1"/>
  <c r="AG738" i="1"/>
  <c r="AG739" i="1"/>
  <c r="AG740" i="1"/>
  <c r="AG741" i="1"/>
  <c r="AG129"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130" i="1"/>
  <c r="AG766" i="1"/>
  <c r="AG767" i="1"/>
  <c r="AG131" i="1"/>
  <c r="AG768" i="1"/>
  <c r="AG132" i="1"/>
  <c r="AG769" i="1"/>
  <c r="AG770" i="1"/>
  <c r="AG771" i="1"/>
  <c r="AG772" i="1"/>
  <c r="AG773" i="1"/>
  <c r="AG774" i="1"/>
  <c r="AG775" i="1"/>
  <c r="AG133" i="1"/>
  <c r="AG776" i="1"/>
  <c r="AG777" i="1"/>
  <c r="AG778" i="1"/>
  <c r="AG779" i="1"/>
  <c r="AG780" i="1"/>
  <c r="AG781" i="1"/>
  <c r="AG782" i="1"/>
  <c r="AG783" i="1"/>
  <c r="AG784" i="1"/>
  <c r="AG785" i="1"/>
  <c r="AG134" i="1"/>
  <c r="AG135" i="1"/>
  <c r="AG786" i="1"/>
  <c r="AG787" i="1"/>
  <c r="AG788" i="1"/>
  <c r="AG789" i="1"/>
  <c r="AG136" i="1"/>
  <c r="AG790" i="1"/>
  <c r="AG791" i="1"/>
  <c r="AG792" i="1"/>
  <c r="AG793" i="1"/>
  <c r="AG794" i="1"/>
  <c r="AG137" i="1"/>
  <c r="AG138" i="1"/>
  <c r="AG795" i="1"/>
  <c r="AG796" i="1"/>
  <c r="AG139" i="1"/>
  <c r="AG797" i="1"/>
  <c r="AG798" i="1"/>
  <c r="AG799" i="1"/>
  <c r="AG800" i="1"/>
  <c r="AG801" i="1"/>
  <c r="AG802" i="1"/>
  <c r="AG803" i="1"/>
  <c r="AG804" i="1"/>
  <c r="AG805" i="1"/>
  <c r="AG806" i="1"/>
  <c r="AG140" i="1"/>
  <c r="AG807" i="1"/>
  <c r="AG808" i="1"/>
  <c r="AG809" i="1"/>
  <c r="AG810" i="1"/>
  <c r="AG811" i="1"/>
  <c r="AG812" i="1"/>
  <c r="AG813" i="1"/>
  <c r="AG814" i="1"/>
  <c r="AG815" i="1"/>
  <c r="AG816" i="1"/>
  <c r="AG141" i="1"/>
  <c r="AG817" i="1"/>
  <c r="AG818" i="1"/>
  <c r="AG819" i="1"/>
  <c r="AG820" i="1"/>
  <c r="AG821" i="1"/>
  <c r="AG822" i="1"/>
  <c r="AG142" i="1"/>
  <c r="AG823" i="1"/>
  <c r="AG824" i="1"/>
  <c r="AG825" i="1"/>
  <c r="AG826" i="1"/>
  <c r="AG827" i="1"/>
  <c r="AG828" i="1"/>
  <c r="AG829" i="1"/>
  <c r="AG830" i="1"/>
  <c r="AG831" i="1"/>
  <c r="AG143" i="1"/>
  <c r="AG832" i="1"/>
  <c r="AG833" i="1"/>
  <c r="AG834" i="1"/>
  <c r="AG144" i="1"/>
  <c r="AG145" i="1"/>
  <c r="AG146" i="1"/>
  <c r="AG835" i="1"/>
  <c r="AG836" i="1"/>
  <c r="AG837" i="1"/>
  <c r="AG838" i="1"/>
  <c r="AG839" i="1"/>
  <c r="AG840" i="1"/>
  <c r="AG841" i="1"/>
  <c r="AG842" i="1"/>
  <c r="AG147" i="1"/>
  <c r="AG843" i="1"/>
  <c r="AG844" i="1"/>
  <c r="AG845" i="1"/>
  <c r="AG148" i="1"/>
  <c r="AG846" i="1"/>
  <c r="AG847" i="1"/>
  <c r="AG848" i="1"/>
  <c r="AG849" i="1"/>
  <c r="AG850" i="1"/>
  <c r="AG851" i="1"/>
  <c r="AG852" i="1"/>
  <c r="AG853" i="1"/>
  <c r="AG149" i="1"/>
  <c r="AG854" i="1"/>
  <c r="AG855" i="1"/>
  <c r="AG150" i="1"/>
  <c r="AG856" i="1"/>
  <c r="AG857" i="1"/>
  <c r="AG858" i="1"/>
  <c r="AG151" i="1"/>
  <c r="AG859" i="1"/>
  <c r="AG152" i="1"/>
  <c r="AG153" i="1"/>
  <c r="AG860" i="1"/>
  <c r="AG861" i="1"/>
  <c r="AG862" i="1"/>
  <c r="AG863" i="1"/>
  <c r="AG154" i="1"/>
  <c r="AG155" i="1"/>
  <c r="AG864" i="1"/>
  <c r="AG865" i="1"/>
  <c r="AG866" i="1"/>
  <c r="AG867" i="1"/>
  <c r="AG868" i="1"/>
  <c r="AG869" i="1"/>
  <c r="AG870" i="1"/>
  <c r="AG871" i="1"/>
  <c r="AG872" i="1"/>
  <c r="AG873" i="1"/>
  <c r="AG874" i="1"/>
  <c r="AG875" i="1"/>
  <c r="AG876" i="1"/>
  <c r="AG877" i="1"/>
  <c r="AG156" i="1"/>
  <c r="AG157" i="1"/>
  <c r="AG878" i="1"/>
  <c r="AG879" i="1"/>
  <c r="AG880" i="1"/>
  <c r="AG881" i="1"/>
  <c r="AG882" i="1"/>
  <c r="AG883" i="1"/>
  <c r="AG884" i="1"/>
  <c r="AG885" i="1"/>
  <c r="AG886" i="1"/>
  <c r="AG887" i="1"/>
  <c r="AG888" i="1"/>
  <c r="AG889" i="1"/>
  <c r="AG890" i="1"/>
  <c r="AG891" i="1"/>
  <c r="AG158" i="1"/>
  <c r="AG892" i="1"/>
  <c r="AG893" i="1"/>
  <c r="AG894" i="1"/>
  <c r="AG159" i="1"/>
  <c r="AG895" i="1"/>
  <c r="AG896" i="1"/>
  <c r="AG160" i="1"/>
  <c r="AG161" i="1"/>
  <c r="AG897" i="1"/>
  <c r="AG898" i="1"/>
  <c r="AG899" i="1"/>
  <c r="AG900" i="1"/>
  <c r="AG901" i="1"/>
  <c r="AG162" i="1"/>
  <c r="AG902" i="1"/>
  <c r="AG903" i="1"/>
  <c r="AG904" i="1"/>
  <c r="AG905" i="1"/>
  <c r="AG906" i="1"/>
  <c r="AG907" i="1"/>
  <c r="AG908" i="1"/>
  <c r="AG909" i="1"/>
  <c r="AG910" i="1"/>
  <c r="AG911" i="1"/>
  <c r="AG912" i="1"/>
  <c r="AG913" i="1"/>
  <c r="AG914" i="1"/>
  <c r="AG915" i="1"/>
  <c r="AG163" i="1"/>
  <c r="AG916" i="1"/>
  <c r="AG164" i="1"/>
  <c r="AG917" i="1"/>
  <c r="AG918" i="1"/>
  <c r="AG919" i="1"/>
  <c r="AG920" i="1"/>
  <c r="AG165"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166"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167" i="1"/>
  <c r="AG168" i="1"/>
  <c r="AG989" i="1"/>
  <c r="AG169" i="1"/>
  <c r="AG990" i="1"/>
  <c r="AG170" i="1"/>
  <c r="AG171" i="1"/>
  <c r="AG991" i="1"/>
  <c r="AG992" i="1"/>
  <c r="AG993" i="1"/>
  <c r="AG994" i="1"/>
  <c r="AG995" i="1"/>
  <c r="AG172" i="1"/>
  <c r="AG996" i="1"/>
  <c r="AG997" i="1"/>
  <c r="AG998" i="1"/>
  <c r="AG173" i="1"/>
  <c r="AG999" i="1"/>
  <c r="AG1000" i="1"/>
  <c r="AG1001" i="1"/>
  <c r="AG1002" i="1"/>
  <c r="AG1003" i="1"/>
  <c r="AG1004" i="1"/>
  <c r="AG1005" i="1"/>
  <c r="AG1006" i="1"/>
  <c r="AG1007" i="1"/>
  <c r="AG1008" i="1"/>
  <c r="AG1009" i="1"/>
  <c r="AG1010" i="1"/>
  <c r="AG1011" i="1"/>
  <c r="AG174" i="1"/>
  <c r="AG1012" i="1"/>
  <c r="AG1013" i="1"/>
  <c r="AG1014" i="1"/>
  <c r="AG1015" i="1"/>
  <c r="AG175" i="1"/>
  <c r="AG1016" i="1"/>
  <c r="AG1017" i="1"/>
  <c r="AG1018" i="1"/>
  <c r="AG1019" i="1"/>
  <c r="AG1020" i="1"/>
  <c r="AG1021" i="1"/>
  <c r="AG1022" i="1"/>
  <c r="AG1023" i="1"/>
  <c r="AG1024" i="1"/>
  <c r="AG1025" i="1"/>
  <c r="AG1026" i="1"/>
  <c r="AG1027" i="1"/>
  <c r="AG1028" i="1"/>
  <c r="AG1029" i="1"/>
  <c r="AG1030" i="1"/>
  <c r="AG1031" i="1"/>
  <c r="AG176" i="1"/>
  <c r="AG1032" i="1"/>
  <c r="AG1033" i="1"/>
  <c r="AG177" i="1"/>
  <c r="AG1034" i="1"/>
  <c r="AG1035" i="1"/>
  <c r="AG1036" i="1"/>
  <c r="AG1037" i="1"/>
  <c r="AG1038" i="1"/>
  <c r="AG1039" i="1"/>
  <c r="AG1040" i="1"/>
  <c r="AG1041" i="1"/>
  <c r="AG1042" i="1"/>
  <c r="AG1043" i="1"/>
  <c r="AG1044" i="1"/>
  <c r="AG1045" i="1"/>
  <c r="AG1046" i="1"/>
  <c r="AG178" i="1"/>
  <c r="AG1047" i="1"/>
  <c r="AG1048" i="1"/>
  <c r="AG1049" i="1"/>
  <c r="AG1050" i="1"/>
  <c r="AG1051" i="1"/>
  <c r="AG1052" i="1"/>
  <c r="AG1053" i="1"/>
  <c r="AG1054" i="1"/>
  <c r="AG1055" i="1"/>
  <c r="AG179" i="1"/>
  <c r="AG1056" i="1"/>
  <c r="AG180" i="1"/>
  <c r="AG1057" i="1"/>
  <c r="AG1058" i="1"/>
  <c r="AG1059" i="1"/>
  <c r="AG1060" i="1"/>
  <c r="AG1061" i="1"/>
  <c r="AG1062" i="1"/>
  <c r="AG1063" i="1"/>
  <c r="AG1064" i="1"/>
  <c r="AG1065" i="1"/>
  <c r="AG181" i="1"/>
  <c r="AG1066" i="1"/>
  <c r="AG1067" i="1"/>
  <c r="AG1068" i="1"/>
  <c r="AG1069" i="1"/>
  <c r="AG1070" i="1"/>
  <c r="AG1071" i="1"/>
  <c r="AG1072" i="1"/>
  <c r="AG1073" i="1"/>
  <c r="AG1074" i="1"/>
  <c r="AG1075" i="1"/>
  <c r="AG1076" i="1"/>
  <c r="AG1077" i="1"/>
  <c r="AG1078" i="1"/>
  <c r="AG1079" i="1"/>
  <c r="AG1080" i="1"/>
  <c r="AG1081" i="1"/>
  <c r="AG1082" i="1"/>
  <c r="AG1083" i="1"/>
  <c r="AG182" i="1"/>
  <c r="AG1084" i="1"/>
  <c r="AG1085" i="1"/>
  <c r="AG1086" i="1"/>
  <c r="AG183" i="1"/>
  <c r="AG1087" i="1"/>
  <c r="AG1088" i="1"/>
  <c r="AG1089" i="1"/>
  <c r="AG1090" i="1"/>
  <c r="AG1091" i="1"/>
  <c r="AG1092" i="1"/>
  <c r="AG1093" i="1"/>
  <c r="AG1094" i="1"/>
  <c r="AG1095" i="1"/>
  <c r="AG184" i="1"/>
  <c r="AG1096" i="1"/>
  <c r="AG1097" i="1"/>
  <c r="AG1098" i="1"/>
  <c r="AG1099" i="1"/>
  <c r="AG1100" i="1"/>
  <c r="AG1101" i="1"/>
  <c r="AG1102" i="1"/>
  <c r="AG185" i="1"/>
  <c r="AG1103" i="1"/>
  <c r="AG186" i="1"/>
  <c r="AG187" i="1"/>
  <c r="AG1104" i="1"/>
  <c r="AG188" i="1"/>
  <c r="AG1105" i="1"/>
  <c r="AG1106" i="1"/>
  <c r="AG1107" i="1"/>
  <c r="AG1108" i="1"/>
  <c r="AG1109" i="1"/>
  <c r="AG189" i="1"/>
  <c r="AG1110" i="1"/>
  <c r="AG1111" i="1"/>
  <c r="AG1112" i="1"/>
  <c r="AG1113" i="1"/>
  <c r="AG1114" i="1"/>
  <c r="AG1115" i="1"/>
  <c r="AG190" i="1"/>
  <c r="AG1116" i="1"/>
  <c r="AG1117" i="1"/>
  <c r="AG1118" i="1"/>
  <c r="AG1119" i="1"/>
  <c r="AG1120" i="1"/>
  <c r="AG191" i="1"/>
  <c r="AG1121" i="1"/>
  <c r="AG1122" i="1"/>
  <c r="AG192" i="1"/>
  <c r="AG1123" i="1"/>
  <c r="AG1124" i="1"/>
  <c r="AG1125" i="1"/>
  <c r="AG1126" i="1"/>
  <c r="AG1127" i="1"/>
  <c r="AG1128" i="1"/>
  <c r="AG1129" i="1"/>
  <c r="AG1130" i="1"/>
  <c r="AG1131" i="1"/>
  <c r="AG1132" i="1"/>
  <c r="AG1133" i="1"/>
  <c r="AG1134" i="1"/>
  <c r="AG1135" i="1"/>
  <c r="AG193" i="1"/>
  <c r="AG194" i="1"/>
  <c r="AG1136" i="1"/>
  <c r="AG1137" i="1"/>
  <c r="AG1138" i="1"/>
  <c r="AG1139" i="1"/>
  <c r="AG195" i="1"/>
  <c r="AG1140" i="1"/>
  <c r="AG1141" i="1"/>
  <c r="AG1142" i="1"/>
  <c r="AG1143" i="1"/>
  <c r="AG196" i="1"/>
  <c r="AG1144" i="1"/>
  <c r="AG1145" i="1"/>
  <c r="AG1146" i="1"/>
  <c r="AG1147" i="1"/>
  <c r="AG1148" i="1"/>
  <c r="AG1149" i="1"/>
  <c r="AG1150" i="1"/>
  <c r="AG1151" i="1"/>
  <c r="AG1152" i="1"/>
  <c r="AG1153" i="1"/>
  <c r="AG1154" i="1"/>
  <c r="AG1155" i="1"/>
  <c r="AG1156" i="1"/>
  <c r="AG1157" i="1"/>
  <c r="AG197" i="1"/>
  <c r="AG1158" i="1"/>
  <c r="AG1159" i="1"/>
  <c r="AG1160" i="1"/>
  <c r="AG1161" i="1"/>
  <c r="AG1162" i="1"/>
  <c r="AG1163" i="1"/>
  <c r="AG198" i="1"/>
  <c r="AG1164" i="1"/>
  <c r="AG1165" i="1"/>
  <c r="AG1166" i="1"/>
  <c r="AG1167" i="1"/>
  <c r="AG1168" i="1"/>
  <c r="AG1169" i="1"/>
  <c r="AG1170" i="1"/>
  <c r="AG1171" i="1"/>
  <c r="AG1172" i="1"/>
  <c r="AG1173" i="1"/>
  <c r="AG1174" i="1"/>
  <c r="AG1175" i="1"/>
  <c r="AG1176" i="1"/>
  <c r="AG199" i="1"/>
  <c r="AG1177" i="1"/>
  <c r="AG1178" i="1"/>
  <c r="AG1179" i="1"/>
  <c r="AG1180" i="1"/>
  <c r="AG1181" i="1"/>
  <c r="AG1182" i="1"/>
  <c r="AG1183" i="1"/>
  <c r="AG200" i="1"/>
  <c r="AG1184" i="1"/>
  <c r="AG1185" i="1"/>
  <c r="AG1186" i="1"/>
  <c r="AG1187" i="1"/>
  <c r="AG201" i="1"/>
  <c r="AG1188" i="1"/>
  <c r="AG202" i="1"/>
  <c r="AG1189" i="1"/>
  <c r="AG1190" i="1"/>
  <c r="AG1191" i="1"/>
  <c r="AG1192" i="1"/>
  <c r="AG1193" i="1"/>
  <c r="AG1194" i="1"/>
  <c r="AG1195" i="1"/>
  <c r="AG203" i="1"/>
  <c r="AG1196" i="1"/>
  <c r="AG1197" i="1"/>
  <c r="AG1198" i="1"/>
  <c r="AG1199" i="1"/>
  <c r="AG1200" i="1"/>
  <c r="AG1201" i="1"/>
  <c r="AG1202" i="1"/>
  <c r="AG1203" i="1"/>
  <c r="AG1204" i="1"/>
  <c r="AG1205" i="1"/>
  <c r="AG204" i="1"/>
  <c r="AG1206" i="1"/>
  <c r="AG1207" i="1"/>
  <c r="AG1208" i="1"/>
  <c r="AG1209" i="1"/>
  <c r="AG1210" i="1"/>
  <c r="AG1211" i="1"/>
  <c r="AG1212" i="1"/>
  <c r="AG1213" i="1"/>
  <c r="AG205" i="1"/>
  <c r="AG1214" i="1"/>
  <c r="AG1215" i="1"/>
  <c r="AG1216" i="1"/>
  <c r="AG1217" i="1"/>
  <c r="AG206" i="1"/>
  <c r="AG207" i="1"/>
  <c r="AG1218" i="1"/>
  <c r="AG1219" i="1"/>
  <c r="AG1220" i="1"/>
  <c r="AG1221" i="1"/>
  <c r="AG1222" i="1"/>
  <c r="AG1223" i="1"/>
  <c r="AG1224" i="1"/>
  <c r="AG208" i="1"/>
  <c r="AG1225" i="1"/>
  <c r="AG1226" i="1"/>
  <c r="AG209" i="1"/>
  <c r="AG210" i="1"/>
  <c r="AG211" i="1"/>
  <c r="AG1227" i="1"/>
  <c r="AG1228" i="1"/>
  <c r="AG1229" i="1"/>
  <c r="AG1230" i="1"/>
  <c r="AG1231" i="1"/>
  <c r="AG1232" i="1"/>
  <c r="AG1233" i="1"/>
  <c r="AG1234" i="1"/>
  <c r="AG1235" i="1"/>
  <c r="AG212" i="1"/>
  <c r="AG1236" i="1"/>
  <c r="AG1237" i="1"/>
  <c r="AG1238" i="1"/>
  <c r="AG1239" i="1"/>
  <c r="AG1240" i="1"/>
  <c r="AG1241" i="1"/>
  <c r="AG1242" i="1"/>
  <c r="AG1243" i="1"/>
  <c r="AG1244" i="1"/>
  <c r="AG1245" i="1"/>
  <c r="AG1246" i="1"/>
  <c r="AG213" i="1"/>
  <c r="AG1247" i="1"/>
  <c r="AG214" i="1"/>
  <c r="AG1248" i="1"/>
  <c r="AG1249" i="1"/>
  <c r="AG1250" i="1"/>
  <c r="AG1251" i="1"/>
  <c r="AG1252" i="1"/>
  <c r="AG1253" i="1"/>
  <c r="AG1254" i="1"/>
  <c r="AG1255" i="1"/>
  <c r="AG1256" i="1"/>
  <c r="AG1257" i="1"/>
  <c r="AG1258" i="1"/>
  <c r="AG215" i="1"/>
  <c r="AG1259" i="1"/>
  <c r="AG1260" i="1"/>
  <c r="AG1261" i="1"/>
  <c r="AG1262" i="1"/>
  <c r="AG1263" i="1"/>
  <c r="AG1264" i="1"/>
  <c r="AG216" i="1"/>
  <c r="AG1265" i="1"/>
  <c r="AG1266" i="1"/>
  <c r="AG1267" i="1"/>
  <c r="AG1268" i="1"/>
  <c r="AG1269" i="1"/>
  <c r="AG1270" i="1"/>
  <c r="AG1271" i="1"/>
  <c r="AG1272" i="1"/>
  <c r="AG217" i="1"/>
  <c r="AG1273" i="1"/>
  <c r="AG1274" i="1"/>
  <c r="AG1275" i="1"/>
  <c r="AG1276" i="1"/>
  <c r="AG1277" i="1"/>
  <c r="AG218" i="1"/>
  <c r="AG1278" i="1"/>
  <c r="AG219" i="1"/>
  <c r="AG1279" i="1"/>
  <c r="AG1280" i="1"/>
  <c r="AG1281" i="1"/>
  <c r="AG1282" i="1"/>
  <c r="AG1283" i="1"/>
  <c r="AG1284" i="1"/>
  <c r="AG1285" i="1"/>
  <c r="AG1286" i="1"/>
  <c r="AG1287" i="1"/>
  <c r="AG1288" i="1"/>
  <c r="AG1289" i="1"/>
  <c r="AG1290" i="1"/>
  <c r="AG220" i="1"/>
  <c r="AG1291" i="1"/>
  <c r="AG221" i="1"/>
  <c r="AG1292" i="1"/>
  <c r="AG1293" i="1"/>
  <c r="AG1294" i="1"/>
  <c r="AG1295" i="1"/>
  <c r="AG1296" i="1"/>
  <c r="AG1297" i="1"/>
  <c r="AG1298" i="1"/>
  <c r="AG1299" i="1"/>
  <c r="AG1300" i="1"/>
  <c r="AG1301" i="1"/>
  <c r="AG1302" i="1"/>
  <c r="AG1303" i="1"/>
  <c r="AG1304" i="1"/>
  <c r="AG1305" i="1"/>
  <c r="AG1306" i="1"/>
  <c r="AG1307" i="1"/>
  <c r="AG1308" i="1"/>
  <c r="AG1309" i="1"/>
  <c r="AG1310" i="1"/>
  <c r="AG222" i="1"/>
  <c r="AG1311" i="1"/>
  <c r="AG1312" i="1"/>
  <c r="AG1313" i="1"/>
  <c r="AG1314" i="1"/>
  <c r="AG1315" i="1"/>
  <c r="AG1316" i="1"/>
  <c r="AG1317" i="1"/>
  <c r="AG1318" i="1"/>
  <c r="AG223" i="1"/>
  <c r="AG224" i="1"/>
  <c r="AG1319" i="1"/>
  <c r="AG1320" i="1"/>
  <c r="AG1321" i="1"/>
  <c r="AG1322" i="1"/>
  <c r="AG1323" i="1"/>
  <c r="AG1324" i="1"/>
  <c r="AG1325" i="1"/>
  <c r="AG1326" i="1"/>
  <c r="AG1327" i="1"/>
  <c r="AG1328" i="1"/>
  <c r="AG1329" i="1"/>
  <c r="AG1330" i="1"/>
  <c r="AG1331" i="1"/>
  <c r="AG1332" i="1"/>
  <c r="AG1333" i="1"/>
  <c r="AG1334" i="1"/>
  <c r="AG225" i="1"/>
  <c r="AG1335" i="1"/>
  <c r="AG1336" i="1"/>
  <c r="AG1337" i="1"/>
  <c r="AG1338" i="1"/>
  <c r="AG1339" i="1"/>
  <c r="AG1340" i="1"/>
  <c r="AG1341" i="1"/>
  <c r="AG226" i="1"/>
  <c r="AG1342" i="1"/>
  <c r="AG1343" i="1"/>
  <c r="AG1344" i="1"/>
  <c r="AG1345" i="1"/>
  <c r="AG227" i="1"/>
  <c r="AG1346" i="1"/>
  <c r="AG1347" i="1"/>
  <c r="AG1348" i="1"/>
  <c r="AG1349" i="1"/>
  <c r="AG1350" i="1"/>
  <c r="AG1351" i="1"/>
  <c r="AG1352" i="1"/>
  <c r="AG1353" i="1"/>
  <c r="AG1354" i="1"/>
  <c r="AG1355" i="1"/>
  <c r="AG1356" i="1"/>
  <c r="AG228" i="1"/>
  <c r="AG1357" i="1"/>
  <c r="AG1358" i="1"/>
  <c r="AG229"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230" i="1"/>
  <c r="AG1405" i="1"/>
  <c r="AG1406" i="1"/>
  <c r="AG1407" i="1"/>
  <c r="AG1408" i="1"/>
  <c r="AG1409" i="1"/>
  <c r="AG231" i="1"/>
  <c r="AG232" i="1"/>
  <c r="AG1410" i="1"/>
  <c r="AG1411" i="1"/>
  <c r="AG1412" i="1"/>
  <c r="AG1413" i="1"/>
  <c r="AG1414" i="1"/>
  <c r="AG1415" i="1"/>
  <c r="AG1416" i="1"/>
  <c r="AG1417" i="1"/>
  <c r="AG1418" i="1"/>
  <c r="AG1419" i="1"/>
  <c r="AG1420" i="1"/>
  <c r="AG1421" i="1"/>
  <c r="AG1422" i="1"/>
  <c r="AG1423" i="1"/>
  <c r="AG1424" i="1"/>
  <c r="AG1425" i="1"/>
  <c r="AG1426" i="1"/>
  <c r="AG233"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234" i="1"/>
  <c r="AG1452" i="1"/>
  <c r="AG235" i="1"/>
  <c r="AG1453" i="1"/>
  <c r="AG236" i="1"/>
  <c r="AG1454" i="1"/>
  <c r="AG1455" i="1"/>
  <c r="AG1456" i="1"/>
  <c r="AG237" i="1"/>
  <c r="AG1457" i="1"/>
  <c r="AG1458" i="1"/>
  <c r="AG238" i="1"/>
  <c r="AG1459" i="1"/>
  <c r="AG1460" i="1"/>
  <c r="AG1461" i="1"/>
  <c r="AG1462" i="1"/>
  <c r="AG239" i="1"/>
  <c r="AG1463" i="1"/>
  <c r="AG1464" i="1"/>
  <c r="AG1465" i="1"/>
  <c r="AG1466" i="1"/>
  <c r="AG240" i="1"/>
  <c r="AG1467" i="1"/>
  <c r="AG1468" i="1"/>
  <c r="AG1469" i="1"/>
  <c r="AG1470" i="1"/>
  <c r="AG1471" i="1"/>
  <c r="AG1472" i="1"/>
  <c r="AG2" i="1"/>
  <c r="AF242" i="1"/>
  <c r="AF243" i="1"/>
  <c r="AF3" i="1"/>
  <c r="AF4" i="1"/>
  <c r="AF5" i="1"/>
  <c r="AF6" i="1"/>
  <c r="AF244" i="1"/>
  <c r="AF245" i="1"/>
  <c r="AF246" i="1"/>
  <c r="AF247" i="1"/>
  <c r="AF7" i="1"/>
  <c r="AF248" i="1"/>
  <c r="AF249" i="1"/>
  <c r="AF8" i="1"/>
  <c r="AF9" i="1"/>
  <c r="AF10" i="1"/>
  <c r="AF11" i="1"/>
  <c r="AF250" i="1"/>
  <c r="AF251" i="1"/>
  <c r="AF252" i="1"/>
  <c r="AF12" i="1"/>
  <c r="AF13" i="1"/>
  <c r="AF253" i="1"/>
  <c r="AF254" i="1"/>
  <c r="AF255" i="1"/>
  <c r="AF256" i="1"/>
  <c r="AF257" i="1"/>
  <c r="AF258" i="1"/>
  <c r="AF14" i="1"/>
  <c r="AF259" i="1"/>
  <c r="AF15" i="1"/>
  <c r="AF260" i="1"/>
  <c r="AF261" i="1"/>
  <c r="AF262" i="1"/>
  <c r="AF16" i="1"/>
  <c r="AF263" i="1"/>
  <c r="AF264" i="1"/>
  <c r="AF265" i="1"/>
  <c r="AF266" i="1"/>
  <c r="AF267" i="1"/>
  <c r="AF17" i="1"/>
  <c r="AF18" i="1"/>
  <c r="AF19" i="1"/>
  <c r="AF268" i="1"/>
  <c r="AF269" i="1"/>
  <c r="AF270" i="1"/>
  <c r="AF271" i="1"/>
  <c r="AF272" i="1"/>
  <c r="AF273" i="1"/>
  <c r="AF20" i="1"/>
  <c r="AF21" i="1"/>
  <c r="AF22" i="1"/>
  <c r="AF23" i="1"/>
  <c r="AF274" i="1"/>
  <c r="AF275" i="1"/>
  <c r="AF24" i="1"/>
  <c r="AF276" i="1"/>
  <c r="AF277" i="1"/>
  <c r="AF278" i="1"/>
  <c r="AF279" i="1"/>
  <c r="AF280" i="1"/>
  <c r="AF25" i="1"/>
  <c r="AF281" i="1"/>
  <c r="AF282" i="1"/>
  <c r="AF283" i="1"/>
  <c r="AF26" i="1"/>
  <c r="AF27" i="1"/>
  <c r="AF284" i="1"/>
  <c r="AF285" i="1"/>
  <c r="AF286" i="1"/>
  <c r="AF287" i="1"/>
  <c r="AF288" i="1"/>
  <c r="AF289" i="1"/>
  <c r="AF290" i="1"/>
  <c r="AF291" i="1"/>
  <c r="AF292" i="1"/>
  <c r="AF293" i="1"/>
  <c r="AF294" i="1"/>
  <c r="AF295" i="1"/>
  <c r="AF296" i="1"/>
  <c r="AF28" i="1"/>
  <c r="AF297" i="1"/>
  <c r="AF298" i="1"/>
  <c r="AF29" i="1"/>
  <c r="AF299" i="1"/>
  <c r="AF300" i="1"/>
  <c r="AF301" i="1"/>
  <c r="AF302" i="1"/>
  <c r="AF303" i="1"/>
  <c r="AF304" i="1"/>
  <c r="AF30" i="1"/>
  <c r="AF305" i="1"/>
  <c r="AF306" i="1"/>
  <c r="AF307" i="1"/>
  <c r="AF308" i="1"/>
  <c r="AF309" i="1"/>
  <c r="AF31" i="1"/>
  <c r="AF310" i="1"/>
  <c r="AF311" i="1"/>
  <c r="AF312" i="1"/>
  <c r="AF32" i="1"/>
  <c r="AF313" i="1"/>
  <c r="AF314" i="1"/>
  <c r="AF315" i="1"/>
  <c r="AF316" i="1"/>
  <c r="AF317" i="1"/>
  <c r="AF33" i="1"/>
  <c r="AF34" i="1"/>
  <c r="AF318" i="1"/>
  <c r="AF35" i="1"/>
  <c r="AF319" i="1"/>
  <c r="AF320" i="1"/>
  <c r="AF321" i="1"/>
  <c r="AF322" i="1"/>
  <c r="AF323" i="1"/>
  <c r="AF324" i="1"/>
  <c r="AF325" i="1"/>
  <c r="AF326" i="1"/>
  <c r="AF327" i="1"/>
  <c r="AF328" i="1"/>
  <c r="AF329" i="1"/>
  <c r="AF36" i="1"/>
  <c r="AF330" i="1"/>
  <c r="AF331" i="1"/>
  <c r="AF332" i="1"/>
  <c r="AF37" i="1"/>
  <c r="AF333" i="1"/>
  <c r="AF334" i="1"/>
  <c r="AF38" i="1"/>
  <c r="AF335" i="1"/>
  <c r="AF336" i="1"/>
  <c r="AF337" i="1"/>
  <c r="AF338" i="1"/>
  <c r="AF339" i="1"/>
  <c r="AF340" i="1"/>
  <c r="AF341" i="1"/>
  <c r="AF342" i="1"/>
  <c r="AF39" i="1"/>
  <c r="AF40" i="1"/>
  <c r="AF41" i="1"/>
  <c r="AF343" i="1"/>
  <c r="AF344" i="1"/>
  <c r="AF345" i="1"/>
  <c r="AF346" i="1"/>
  <c r="AF42" i="1"/>
  <c r="AF347" i="1"/>
  <c r="AF348" i="1"/>
  <c r="AF43" i="1"/>
  <c r="AF349" i="1"/>
  <c r="AF350" i="1"/>
  <c r="AF351" i="1"/>
  <c r="AF44" i="1"/>
  <c r="AF45" i="1"/>
  <c r="AF352" i="1"/>
  <c r="AF353" i="1"/>
  <c r="AF354" i="1"/>
  <c r="AF355" i="1"/>
  <c r="AF356" i="1"/>
  <c r="AF357" i="1"/>
  <c r="AF358" i="1"/>
  <c r="AF359" i="1"/>
  <c r="AF360" i="1"/>
  <c r="AF361" i="1"/>
  <c r="AF362" i="1"/>
  <c r="AF363" i="1"/>
  <c r="AF364" i="1"/>
  <c r="AF365" i="1"/>
  <c r="AF366" i="1"/>
  <c r="AF46" i="1"/>
  <c r="AF367" i="1"/>
  <c r="AF368" i="1"/>
  <c r="AF369" i="1"/>
  <c r="AF47" i="1"/>
  <c r="AF370" i="1"/>
  <c r="AF371" i="1"/>
  <c r="AF372" i="1"/>
  <c r="AF373" i="1"/>
  <c r="AF374" i="1"/>
  <c r="AF375" i="1"/>
  <c r="AF376" i="1"/>
  <c r="AF377" i="1"/>
  <c r="AF378" i="1"/>
  <c r="AF379" i="1"/>
  <c r="AF380" i="1"/>
  <c r="AF381" i="1"/>
  <c r="AF382" i="1"/>
  <c r="AF383" i="1"/>
  <c r="AF384" i="1"/>
  <c r="AF385" i="1"/>
  <c r="AF48" i="1"/>
  <c r="AF49" i="1"/>
  <c r="AF50" i="1"/>
  <c r="AF386" i="1"/>
  <c r="AF51" i="1"/>
  <c r="AF387" i="1"/>
  <c r="AF388" i="1"/>
  <c r="AF389" i="1"/>
  <c r="AF390" i="1"/>
  <c r="AF391" i="1"/>
  <c r="AF52" i="1"/>
  <c r="AF392" i="1"/>
  <c r="AF393" i="1"/>
  <c r="AF53" i="1"/>
  <c r="AF394" i="1"/>
  <c r="AF395" i="1"/>
  <c r="AF396" i="1"/>
  <c r="AF54" i="1"/>
  <c r="AF397" i="1"/>
  <c r="AF398" i="1"/>
  <c r="AF399" i="1"/>
  <c r="AF400" i="1"/>
  <c r="AF55" i="1"/>
  <c r="AF401" i="1"/>
  <c r="AF402" i="1"/>
  <c r="AF56" i="1"/>
  <c r="AF403" i="1"/>
  <c r="AF404" i="1"/>
  <c r="AF405" i="1"/>
  <c r="AF406" i="1"/>
  <c r="AF407" i="1"/>
  <c r="AF408" i="1"/>
  <c r="AF409" i="1"/>
  <c r="AF410" i="1"/>
  <c r="AF411" i="1"/>
  <c r="AF57" i="1"/>
  <c r="AF412" i="1"/>
  <c r="AF413" i="1"/>
  <c r="AF414" i="1"/>
  <c r="AF415" i="1"/>
  <c r="AF58" i="1"/>
  <c r="AF59" i="1"/>
  <c r="AF416" i="1"/>
  <c r="AF60" i="1"/>
  <c r="AF417" i="1"/>
  <c r="AF418" i="1"/>
  <c r="AF419" i="1"/>
  <c r="AF420" i="1"/>
  <c r="AF421" i="1"/>
  <c r="AF61" i="1"/>
  <c r="AF422" i="1"/>
  <c r="AF423" i="1"/>
  <c r="AF424" i="1"/>
  <c r="AF425" i="1"/>
  <c r="AF426" i="1"/>
  <c r="AF427" i="1"/>
  <c r="AF428" i="1"/>
  <c r="AF429" i="1"/>
  <c r="AF62" i="1"/>
  <c r="AF430" i="1"/>
  <c r="AF431" i="1"/>
  <c r="AF432" i="1"/>
  <c r="AF433" i="1"/>
  <c r="AF434" i="1"/>
  <c r="AF435" i="1"/>
  <c r="AF436" i="1"/>
  <c r="AF437" i="1"/>
  <c r="AF438" i="1"/>
  <c r="AF63" i="1"/>
  <c r="AF439" i="1"/>
  <c r="AF440" i="1"/>
  <c r="AF64" i="1"/>
  <c r="AF441" i="1"/>
  <c r="AF442" i="1"/>
  <c r="AF65" i="1"/>
  <c r="AF443" i="1"/>
  <c r="AF444" i="1"/>
  <c r="AF445" i="1"/>
  <c r="AF66" i="1"/>
  <c r="AF446" i="1"/>
  <c r="AF447" i="1"/>
  <c r="AF448" i="1"/>
  <c r="AF449" i="1"/>
  <c r="AF450" i="1"/>
  <c r="AF451" i="1"/>
  <c r="AF67" i="1"/>
  <c r="AF68" i="1"/>
  <c r="AF452" i="1"/>
  <c r="AF453" i="1"/>
  <c r="AF69" i="1"/>
  <c r="AF454" i="1"/>
  <c r="AF455" i="1"/>
  <c r="AF456" i="1"/>
  <c r="AF457" i="1"/>
  <c r="AF458" i="1"/>
  <c r="AF459" i="1"/>
  <c r="AF460" i="1"/>
  <c r="AF461" i="1"/>
  <c r="AF462" i="1"/>
  <c r="AF463" i="1"/>
  <c r="AF70" i="1"/>
  <c r="AF71" i="1"/>
  <c r="AF464" i="1"/>
  <c r="AF72" i="1"/>
  <c r="AF465" i="1"/>
  <c r="AF73" i="1"/>
  <c r="AF466" i="1"/>
  <c r="AF467" i="1"/>
  <c r="AF468" i="1"/>
  <c r="AF469" i="1"/>
  <c r="AF74" i="1"/>
  <c r="AF470" i="1"/>
  <c r="AF75" i="1"/>
  <c r="AF471" i="1"/>
  <c r="AF472" i="1"/>
  <c r="AF473" i="1"/>
  <c r="AF474" i="1"/>
  <c r="AF475" i="1"/>
  <c r="AF476" i="1"/>
  <c r="AF477" i="1"/>
  <c r="AF76" i="1"/>
  <c r="AF478" i="1"/>
  <c r="AF77" i="1"/>
  <c r="AF78" i="1"/>
  <c r="AF479" i="1"/>
  <c r="AF480" i="1"/>
  <c r="AF481" i="1"/>
  <c r="AF79" i="1"/>
  <c r="AF482" i="1"/>
  <c r="AF80" i="1"/>
  <c r="AF483" i="1"/>
  <c r="AF484" i="1"/>
  <c r="AF81" i="1"/>
  <c r="AF82" i="1"/>
  <c r="AF485" i="1"/>
  <c r="AF486" i="1"/>
  <c r="AF487" i="1"/>
  <c r="AF83" i="1"/>
  <c r="AF488" i="1"/>
  <c r="AF489" i="1"/>
  <c r="AF490" i="1"/>
  <c r="AF491" i="1"/>
  <c r="AF492" i="1"/>
  <c r="AF493" i="1"/>
  <c r="AF84" i="1"/>
  <c r="AF85" i="1"/>
  <c r="AF494" i="1"/>
  <c r="AF495" i="1"/>
  <c r="AF496" i="1"/>
  <c r="AF497" i="1"/>
  <c r="AF498" i="1"/>
  <c r="AF499" i="1"/>
  <c r="AF500" i="1"/>
  <c r="AF501" i="1"/>
  <c r="AF502" i="1"/>
  <c r="AF503" i="1"/>
  <c r="AF504" i="1"/>
  <c r="AF505" i="1"/>
  <c r="AF506" i="1"/>
  <c r="AF86" i="1"/>
  <c r="AF507" i="1"/>
  <c r="AF508" i="1"/>
  <c r="AF509" i="1"/>
  <c r="AF510" i="1"/>
  <c r="AF511" i="1"/>
  <c r="AF87" i="1"/>
  <c r="AF512" i="1"/>
  <c r="AF513" i="1"/>
  <c r="AF514" i="1"/>
  <c r="AF515" i="1"/>
  <c r="AF88" i="1"/>
  <c r="AF516" i="1"/>
  <c r="AF517" i="1"/>
  <c r="AF518" i="1"/>
  <c r="AF519" i="1"/>
  <c r="AF520" i="1"/>
  <c r="AF89" i="1"/>
  <c r="AF521" i="1"/>
  <c r="AF522" i="1"/>
  <c r="AF90" i="1"/>
  <c r="AF523" i="1"/>
  <c r="AF91" i="1"/>
  <c r="AF524" i="1"/>
  <c r="AF525" i="1"/>
  <c r="AF526" i="1"/>
  <c r="AF527" i="1"/>
  <c r="AF528" i="1"/>
  <c r="AF529" i="1"/>
  <c r="AF530" i="1"/>
  <c r="AF531" i="1"/>
  <c r="AF532" i="1"/>
  <c r="AF533" i="1"/>
  <c r="AF534" i="1"/>
  <c r="AF92" i="1"/>
  <c r="AF535" i="1"/>
  <c r="AF536" i="1"/>
  <c r="AF537" i="1"/>
  <c r="AF93" i="1"/>
  <c r="AF538" i="1"/>
  <c r="AF539" i="1"/>
  <c r="AF94" i="1"/>
  <c r="AF540" i="1"/>
  <c r="AF541" i="1"/>
  <c r="AF542" i="1"/>
  <c r="AF543" i="1"/>
  <c r="AF544" i="1"/>
  <c r="AF545" i="1"/>
  <c r="AF546" i="1"/>
  <c r="AF547" i="1"/>
  <c r="AF548" i="1"/>
  <c r="AF549" i="1"/>
  <c r="AF550" i="1"/>
  <c r="AF551" i="1"/>
  <c r="AF552" i="1"/>
  <c r="AF553" i="1"/>
  <c r="AF554" i="1"/>
  <c r="AF95" i="1"/>
  <c r="AF555" i="1"/>
  <c r="AF556" i="1"/>
  <c r="AF557" i="1"/>
  <c r="AF558" i="1"/>
  <c r="AF559" i="1"/>
  <c r="AF560" i="1"/>
  <c r="AF561" i="1"/>
  <c r="AF562" i="1"/>
  <c r="AF96" i="1"/>
  <c r="AF563" i="1"/>
  <c r="AF564" i="1"/>
  <c r="AF565" i="1"/>
  <c r="AF566" i="1"/>
  <c r="AF567" i="1"/>
  <c r="AF568" i="1"/>
  <c r="AF97" i="1"/>
  <c r="AF98" i="1"/>
  <c r="AF569" i="1"/>
  <c r="AF570" i="1"/>
  <c r="AF99" i="1"/>
  <c r="AF571" i="1"/>
  <c r="AF572" i="1"/>
  <c r="AF100" i="1"/>
  <c r="AF573" i="1"/>
  <c r="AF574" i="1"/>
  <c r="AF101" i="1"/>
  <c r="AF575" i="1"/>
  <c r="AF576" i="1"/>
  <c r="AF577" i="1"/>
  <c r="AF578" i="1"/>
  <c r="AF579" i="1"/>
  <c r="AF580" i="1"/>
  <c r="AF581" i="1"/>
  <c r="AF582" i="1"/>
  <c r="AF102" i="1"/>
  <c r="AF583" i="1"/>
  <c r="AF584" i="1"/>
  <c r="AF585" i="1"/>
  <c r="AF586" i="1"/>
  <c r="AF587" i="1"/>
  <c r="AF588" i="1"/>
  <c r="AF103" i="1"/>
  <c r="AF589" i="1"/>
  <c r="AF590" i="1"/>
  <c r="AF591" i="1"/>
  <c r="AF592" i="1"/>
  <c r="AF104" i="1"/>
  <c r="AF593" i="1"/>
  <c r="AF594" i="1"/>
  <c r="AF105" i="1"/>
  <c r="AF595" i="1"/>
  <c r="AF596" i="1"/>
  <c r="AF597" i="1"/>
  <c r="AF598" i="1"/>
  <c r="AF106" i="1"/>
  <c r="AF599" i="1"/>
  <c r="AF600" i="1"/>
  <c r="AF601" i="1"/>
  <c r="AF107" i="1"/>
  <c r="AF602" i="1"/>
  <c r="AF108" i="1"/>
  <c r="AF603" i="1"/>
  <c r="AF604" i="1"/>
  <c r="AF605" i="1"/>
  <c r="AF606" i="1"/>
  <c r="AF607" i="1"/>
  <c r="AF608" i="1"/>
  <c r="AF609" i="1"/>
  <c r="AF610" i="1"/>
  <c r="AF109" i="1"/>
  <c r="AF611" i="1"/>
  <c r="AF110" i="1"/>
  <c r="AF612" i="1"/>
  <c r="AF613" i="1"/>
  <c r="AF614" i="1"/>
  <c r="AF615" i="1"/>
  <c r="AF616" i="1"/>
  <c r="AF617" i="1"/>
  <c r="AF618" i="1"/>
  <c r="AF619" i="1"/>
  <c r="AF111" i="1"/>
  <c r="AF620" i="1"/>
  <c r="AF621" i="1"/>
  <c r="AF622" i="1"/>
  <c r="AF623" i="1"/>
  <c r="AF624" i="1"/>
  <c r="AF112" i="1"/>
  <c r="AF625" i="1"/>
  <c r="AF626" i="1"/>
  <c r="AF627" i="1"/>
  <c r="AF628" i="1"/>
  <c r="AF629" i="1"/>
  <c r="AF630" i="1"/>
  <c r="AF631" i="1"/>
  <c r="AF632" i="1"/>
  <c r="AF633" i="1"/>
  <c r="AF634" i="1"/>
  <c r="AF635" i="1"/>
  <c r="AF636" i="1"/>
  <c r="AF637" i="1"/>
  <c r="AF638" i="1"/>
  <c r="AF639" i="1"/>
  <c r="AF640" i="1"/>
  <c r="AF641" i="1"/>
  <c r="AF113" i="1"/>
  <c r="AF642" i="1"/>
  <c r="AF643" i="1"/>
  <c r="AF644" i="1"/>
  <c r="AF645" i="1"/>
  <c r="AF646" i="1"/>
  <c r="AF114" i="1"/>
  <c r="AF647" i="1"/>
  <c r="AF648" i="1"/>
  <c r="AF649" i="1"/>
  <c r="AF650" i="1"/>
  <c r="AF651" i="1"/>
  <c r="AF115" i="1"/>
  <c r="AF652" i="1"/>
  <c r="AF653" i="1"/>
  <c r="AF654" i="1"/>
  <c r="AF655" i="1"/>
  <c r="AF656" i="1"/>
  <c r="AF657" i="1"/>
  <c r="AF658" i="1"/>
  <c r="AF659" i="1"/>
  <c r="AF660" i="1"/>
  <c r="AF661" i="1"/>
  <c r="AF662" i="1"/>
  <c r="AF663" i="1"/>
  <c r="AF664" i="1"/>
  <c r="AF665" i="1"/>
  <c r="AF666" i="1"/>
  <c r="AF667" i="1"/>
  <c r="AF668" i="1"/>
  <c r="AF669" i="1"/>
  <c r="AF116" i="1"/>
  <c r="AF670" i="1"/>
  <c r="AF671" i="1"/>
  <c r="AF672" i="1"/>
  <c r="AF673" i="1"/>
  <c r="AF674" i="1"/>
  <c r="AF675" i="1"/>
  <c r="AF676" i="1"/>
  <c r="AF677" i="1"/>
  <c r="AF678" i="1"/>
  <c r="AF679" i="1"/>
  <c r="AF680" i="1"/>
  <c r="AF681" i="1"/>
  <c r="AF682" i="1"/>
  <c r="AF683" i="1"/>
  <c r="AF684" i="1"/>
  <c r="AF117" i="1"/>
  <c r="AF685" i="1"/>
  <c r="AF686" i="1"/>
  <c r="AF687" i="1"/>
  <c r="AF688" i="1"/>
  <c r="AF689" i="1"/>
  <c r="AF690" i="1"/>
  <c r="AF691" i="1"/>
  <c r="AF692" i="1"/>
  <c r="AF693" i="1"/>
  <c r="AF118" i="1"/>
  <c r="AF694" i="1"/>
  <c r="AF695" i="1"/>
  <c r="AF696" i="1"/>
  <c r="AF119" i="1"/>
  <c r="AF697" i="1"/>
  <c r="AF698" i="1"/>
  <c r="AF699" i="1"/>
  <c r="AF700" i="1"/>
  <c r="AF120" i="1"/>
  <c r="AF701" i="1"/>
  <c r="AF702" i="1"/>
  <c r="AF703" i="1"/>
  <c r="AF704" i="1"/>
  <c r="AF705" i="1"/>
  <c r="AF706" i="1"/>
  <c r="AF707" i="1"/>
  <c r="AF121" i="1"/>
  <c r="AF708" i="1"/>
  <c r="AF709" i="1"/>
  <c r="AF710" i="1"/>
  <c r="AF122" i="1"/>
  <c r="AF123" i="1"/>
  <c r="AF711" i="1"/>
  <c r="AF712" i="1"/>
  <c r="AF713" i="1"/>
  <c r="AF714" i="1"/>
  <c r="AF715" i="1"/>
  <c r="AF716" i="1"/>
  <c r="AF717" i="1"/>
  <c r="AF718" i="1"/>
  <c r="AF719" i="1"/>
  <c r="AF720" i="1"/>
  <c r="AF124" i="1"/>
  <c r="AF125" i="1"/>
  <c r="AF721" i="1"/>
  <c r="AF722" i="1"/>
  <c r="AF126" i="1"/>
  <c r="AF723" i="1"/>
  <c r="AF724" i="1"/>
  <c r="AF725" i="1"/>
  <c r="AF726" i="1"/>
  <c r="AF727" i="1"/>
  <c r="AF728" i="1"/>
  <c r="AF729" i="1"/>
  <c r="AF127" i="1"/>
  <c r="AF730" i="1"/>
  <c r="AF731" i="1"/>
  <c r="AF128" i="1"/>
  <c r="AF732" i="1"/>
  <c r="AF733" i="1"/>
  <c r="AF734" i="1"/>
  <c r="AF735" i="1"/>
  <c r="AF736" i="1"/>
  <c r="AF737" i="1"/>
  <c r="AF738" i="1"/>
  <c r="AF739" i="1"/>
  <c r="AF740" i="1"/>
  <c r="AF741" i="1"/>
  <c r="AF129"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130" i="1"/>
  <c r="AF766" i="1"/>
  <c r="AF767" i="1"/>
  <c r="AF131" i="1"/>
  <c r="AF768" i="1"/>
  <c r="AF132" i="1"/>
  <c r="AF769" i="1"/>
  <c r="AF770" i="1"/>
  <c r="AF771" i="1"/>
  <c r="AF772" i="1"/>
  <c r="AF773" i="1"/>
  <c r="AF774" i="1"/>
  <c r="AF775" i="1"/>
  <c r="AF133" i="1"/>
  <c r="AF776" i="1"/>
  <c r="AF777" i="1"/>
  <c r="AF778" i="1"/>
  <c r="AF779" i="1"/>
  <c r="AF780" i="1"/>
  <c r="AF781" i="1"/>
  <c r="AF782" i="1"/>
  <c r="AF783" i="1"/>
  <c r="AF784" i="1"/>
  <c r="AF785" i="1"/>
  <c r="AF134" i="1"/>
  <c r="AF135" i="1"/>
  <c r="AF786" i="1"/>
  <c r="AF787" i="1"/>
  <c r="AF788" i="1"/>
  <c r="AF789" i="1"/>
  <c r="AF136" i="1"/>
  <c r="AF790" i="1"/>
  <c r="AF791" i="1"/>
  <c r="AF792" i="1"/>
  <c r="AF793" i="1"/>
  <c r="AF794" i="1"/>
  <c r="AF137" i="1"/>
  <c r="AF138" i="1"/>
  <c r="AF795" i="1"/>
  <c r="AF796" i="1"/>
  <c r="AF139" i="1"/>
  <c r="AF797" i="1"/>
  <c r="AF798" i="1"/>
  <c r="AF799" i="1"/>
  <c r="AF800" i="1"/>
  <c r="AF801" i="1"/>
  <c r="AF802" i="1"/>
  <c r="AF803" i="1"/>
  <c r="AF804" i="1"/>
  <c r="AF805" i="1"/>
  <c r="AF806" i="1"/>
  <c r="AF140" i="1"/>
  <c r="AF807" i="1"/>
  <c r="AF808" i="1"/>
  <c r="AF809" i="1"/>
  <c r="AF810" i="1"/>
  <c r="AF811" i="1"/>
  <c r="AF812" i="1"/>
  <c r="AF813" i="1"/>
  <c r="AF814" i="1"/>
  <c r="AF815" i="1"/>
  <c r="AF816" i="1"/>
  <c r="AF141" i="1"/>
  <c r="AF817" i="1"/>
  <c r="AF818" i="1"/>
  <c r="AF819" i="1"/>
  <c r="AF820" i="1"/>
  <c r="AF821" i="1"/>
  <c r="AF822" i="1"/>
  <c r="AF142" i="1"/>
  <c r="AF823" i="1"/>
  <c r="AF824" i="1"/>
  <c r="AF825" i="1"/>
  <c r="AF826" i="1"/>
  <c r="AF827" i="1"/>
  <c r="AF828" i="1"/>
  <c r="AF829" i="1"/>
  <c r="AF830" i="1"/>
  <c r="AF831" i="1"/>
  <c r="AF143" i="1"/>
  <c r="AF832" i="1"/>
  <c r="AF833" i="1"/>
  <c r="AF834" i="1"/>
  <c r="AF144" i="1"/>
  <c r="AF145" i="1"/>
  <c r="AF146" i="1"/>
  <c r="AF835" i="1"/>
  <c r="AF836" i="1"/>
  <c r="AF837" i="1"/>
  <c r="AF838" i="1"/>
  <c r="AF839" i="1"/>
  <c r="AF840" i="1"/>
  <c r="AF841" i="1"/>
  <c r="AF842" i="1"/>
  <c r="AF147" i="1"/>
  <c r="AF843" i="1"/>
  <c r="AF844" i="1"/>
  <c r="AF845" i="1"/>
  <c r="AF148" i="1"/>
  <c r="AF846" i="1"/>
  <c r="AF847" i="1"/>
  <c r="AF848" i="1"/>
  <c r="AF849" i="1"/>
  <c r="AF850" i="1"/>
  <c r="AF851" i="1"/>
  <c r="AF852" i="1"/>
  <c r="AF853" i="1"/>
  <c r="AF149" i="1"/>
  <c r="AF854" i="1"/>
  <c r="AF855" i="1"/>
  <c r="AF150" i="1"/>
  <c r="AF856" i="1"/>
  <c r="AF857" i="1"/>
  <c r="AF858" i="1"/>
  <c r="AF151" i="1"/>
  <c r="AF859" i="1"/>
  <c r="AF152" i="1"/>
  <c r="AF153" i="1"/>
  <c r="AF860" i="1"/>
  <c r="AF861" i="1"/>
  <c r="AF862" i="1"/>
  <c r="AF863" i="1"/>
  <c r="AF154" i="1"/>
  <c r="AF155" i="1"/>
  <c r="AF864" i="1"/>
  <c r="AF865" i="1"/>
  <c r="AF866" i="1"/>
  <c r="AF867" i="1"/>
  <c r="AF868" i="1"/>
  <c r="AF869" i="1"/>
  <c r="AF870" i="1"/>
  <c r="AF871" i="1"/>
  <c r="AF872" i="1"/>
  <c r="AF873" i="1"/>
  <c r="AF874" i="1"/>
  <c r="AF875" i="1"/>
  <c r="AF876" i="1"/>
  <c r="AF877" i="1"/>
  <c r="AF156" i="1"/>
  <c r="AF157" i="1"/>
  <c r="AF878" i="1"/>
  <c r="AF879" i="1"/>
  <c r="AF880" i="1"/>
  <c r="AF881" i="1"/>
  <c r="AF882" i="1"/>
  <c r="AF883" i="1"/>
  <c r="AF884" i="1"/>
  <c r="AF885" i="1"/>
  <c r="AF886" i="1"/>
  <c r="AF887" i="1"/>
  <c r="AF888" i="1"/>
  <c r="AF889" i="1"/>
  <c r="AF890" i="1"/>
  <c r="AF891" i="1"/>
  <c r="AF158" i="1"/>
  <c r="AF892" i="1"/>
  <c r="AF893" i="1"/>
  <c r="AF894" i="1"/>
  <c r="AF159" i="1"/>
  <c r="AF895" i="1"/>
  <c r="AF896" i="1"/>
  <c r="AF160" i="1"/>
  <c r="AF161" i="1"/>
  <c r="AF897" i="1"/>
  <c r="AF898" i="1"/>
  <c r="AF899" i="1"/>
  <c r="AF900" i="1"/>
  <c r="AF901" i="1"/>
  <c r="AF162" i="1"/>
  <c r="AF902" i="1"/>
  <c r="AF903" i="1"/>
  <c r="AF904" i="1"/>
  <c r="AF905" i="1"/>
  <c r="AF906" i="1"/>
  <c r="AF907" i="1"/>
  <c r="AF908" i="1"/>
  <c r="AF909" i="1"/>
  <c r="AF910" i="1"/>
  <c r="AF911" i="1"/>
  <c r="AF912" i="1"/>
  <c r="AF913" i="1"/>
  <c r="AF914" i="1"/>
  <c r="AF915" i="1"/>
  <c r="AF163" i="1"/>
  <c r="AF916" i="1"/>
  <c r="AF164" i="1"/>
  <c r="AF917" i="1"/>
  <c r="AF918" i="1"/>
  <c r="AF919" i="1"/>
  <c r="AF920" i="1"/>
  <c r="AF165"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166"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167" i="1"/>
  <c r="AF168" i="1"/>
  <c r="AF989" i="1"/>
  <c r="AF169" i="1"/>
  <c r="AF990" i="1"/>
  <c r="AF170" i="1"/>
  <c r="AF171" i="1"/>
  <c r="AF991" i="1"/>
  <c r="AF992" i="1"/>
  <c r="AF993" i="1"/>
  <c r="AF994" i="1"/>
  <c r="AF995" i="1"/>
  <c r="AF172" i="1"/>
  <c r="AF996" i="1"/>
  <c r="AF997" i="1"/>
  <c r="AF998" i="1"/>
  <c r="AF173" i="1"/>
  <c r="AF999" i="1"/>
  <c r="AF1000" i="1"/>
  <c r="AF1001" i="1"/>
  <c r="AF1002" i="1"/>
  <c r="AF1003" i="1"/>
  <c r="AF1004" i="1"/>
  <c r="AF1005" i="1"/>
  <c r="AF1006" i="1"/>
  <c r="AF1007" i="1"/>
  <c r="AF1008" i="1"/>
  <c r="AF1009" i="1"/>
  <c r="AF1010" i="1"/>
  <c r="AF1011" i="1"/>
  <c r="AF174" i="1"/>
  <c r="AF1012" i="1"/>
  <c r="AF1013" i="1"/>
  <c r="AF1014" i="1"/>
  <c r="AF1015" i="1"/>
  <c r="AF175" i="1"/>
  <c r="AF1016" i="1"/>
  <c r="AF1017" i="1"/>
  <c r="AF1018" i="1"/>
  <c r="AF1019" i="1"/>
  <c r="AF1020" i="1"/>
  <c r="AF1021" i="1"/>
  <c r="AF1022" i="1"/>
  <c r="AF1023" i="1"/>
  <c r="AF1024" i="1"/>
  <c r="AF1025" i="1"/>
  <c r="AF1026" i="1"/>
  <c r="AF1027" i="1"/>
  <c r="AF1028" i="1"/>
  <c r="AF1029" i="1"/>
  <c r="AF1030" i="1"/>
  <c r="AF1031" i="1"/>
  <c r="AF176" i="1"/>
  <c r="AF1032" i="1"/>
  <c r="AF1033" i="1"/>
  <c r="AF177" i="1"/>
  <c r="AF1034" i="1"/>
  <c r="AF1035" i="1"/>
  <c r="AF1036" i="1"/>
  <c r="AF1037" i="1"/>
  <c r="AF1038" i="1"/>
  <c r="AF1039" i="1"/>
  <c r="AF1040" i="1"/>
  <c r="AF1041" i="1"/>
  <c r="AF1042" i="1"/>
  <c r="AF1043" i="1"/>
  <c r="AF1044" i="1"/>
  <c r="AF1045" i="1"/>
  <c r="AF1046" i="1"/>
  <c r="AF178" i="1"/>
  <c r="AF1047" i="1"/>
  <c r="AF1048" i="1"/>
  <c r="AF1049" i="1"/>
  <c r="AF1050" i="1"/>
  <c r="AF1051" i="1"/>
  <c r="AF1052" i="1"/>
  <c r="AF1053" i="1"/>
  <c r="AF1054" i="1"/>
  <c r="AF1055" i="1"/>
  <c r="AF179" i="1"/>
  <c r="AF1056" i="1"/>
  <c r="AF180" i="1"/>
  <c r="AF1057" i="1"/>
  <c r="AF1058" i="1"/>
  <c r="AF1059" i="1"/>
  <c r="AF1060" i="1"/>
  <c r="AF1061" i="1"/>
  <c r="AF1062" i="1"/>
  <c r="AF1063" i="1"/>
  <c r="AF1064" i="1"/>
  <c r="AF1065" i="1"/>
  <c r="AF181" i="1"/>
  <c r="AF1066" i="1"/>
  <c r="AF1067" i="1"/>
  <c r="AF1068" i="1"/>
  <c r="AF1069" i="1"/>
  <c r="AF1070" i="1"/>
  <c r="AF1071" i="1"/>
  <c r="AF1072" i="1"/>
  <c r="AF1073" i="1"/>
  <c r="AF1074" i="1"/>
  <c r="AF1075" i="1"/>
  <c r="AF1076" i="1"/>
  <c r="AF1077" i="1"/>
  <c r="AF1078" i="1"/>
  <c r="AF1079" i="1"/>
  <c r="AF1080" i="1"/>
  <c r="AF1081" i="1"/>
  <c r="AF1082" i="1"/>
  <c r="AF1083" i="1"/>
  <c r="AF182" i="1"/>
  <c r="AF1084" i="1"/>
  <c r="AF1085" i="1"/>
  <c r="AF1086" i="1"/>
  <c r="AF183" i="1"/>
  <c r="AF1087" i="1"/>
  <c r="AF1088" i="1"/>
  <c r="AF1089" i="1"/>
  <c r="AF1090" i="1"/>
  <c r="AF1091" i="1"/>
  <c r="AF1092" i="1"/>
  <c r="AF1093" i="1"/>
  <c r="AF1094" i="1"/>
  <c r="AF1095" i="1"/>
  <c r="AF184" i="1"/>
  <c r="AF1096" i="1"/>
  <c r="AF1097" i="1"/>
  <c r="AF1098" i="1"/>
  <c r="AF1099" i="1"/>
  <c r="AF1100" i="1"/>
  <c r="AF1101" i="1"/>
  <c r="AF1102" i="1"/>
  <c r="AF185" i="1"/>
  <c r="AF1103" i="1"/>
  <c r="AF186" i="1"/>
  <c r="AF187" i="1"/>
  <c r="AF1104" i="1"/>
  <c r="AF188" i="1"/>
  <c r="AF1105" i="1"/>
  <c r="AF1106" i="1"/>
  <c r="AF1107" i="1"/>
  <c r="AF1108" i="1"/>
  <c r="AF1109" i="1"/>
  <c r="AF189" i="1"/>
  <c r="AF1110" i="1"/>
  <c r="AF1111" i="1"/>
  <c r="AF1112" i="1"/>
  <c r="AF1113" i="1"/>
  <c r="AF1114" i="1"/>
  <c r="AF1115" i="1"/>
  <c r="AF190" i="1"/>
  <c r="AF1116" i="1"/>
  <c r="AF1117" i="1"/>
  <c r="AF1118" i="1"/>
  <c r="AF1119" i="1"/>
  <c r="AF1120" i="1"/>
  <c r="AF191" i="1"/>
  <c r="AF1121" i="1"/>
  <c r="AF1122" i="1"/>
  <c r="AF192" i="1"/>
  <c r="AF1123" i="1"/>
  <c r="AF1124" i="1"/>
  <c r="AF1125" i="1"/>
  <c r="AF1126" i="1"/>
  <c r="AF1127" i="1"/>
  <c r="AF1128" i="1"/>
  <c r="AF1129" i="1"/>
  <c r="AF1130" i="1"/>
  <c r="AF1131" i="1"/>
  <c r="AF1132" i="1"/>
  <c r="AF1133" i="1"/>
  <c r="AF1134" i="1"/>
  <c r="AF1135" i="1"/>
  <c r="AF193" i="1"/>
  <c r="AF194" i="1"/>
  <c r="AF1136" i="1"/>
  <c r="AF1137" i="1"/>
  <c r="AF1138" i="1"/>
  <c r="AF1139" i="1"/>
  <c r="AF195" i="1"/>
  <c r="AF1140" i="1"/>
  <c r="AF1141" i="1"/>
  <c r="AF1142" i="1"/>
  <c r="AF1143" i="1"/>
  <c r="AF196" i="1"/>
  <c r="AF1144" i="1"/>
  <c r="AF1145" i="1"/>
  <c r="AF1146" i="1"/>
  <c r="AF1147" i="1"/>
  <c r="AF1148" i="1"/>
  <c r="AF1149" i="1"/>
  <c r="AF1150" i="1"/>
  <c r="AF1151" i="1"/>
  <c r="AF1152" i="1"/>
  <c r="AF1153" i="1"/>
  <c r="AF1154" i="1"/>
  <c r="AF1155" i="1"/>
  <c r="AF1156" i="1"/>
  <c r="AF1157" i="1"/>
  <c r="AF197" i="1"/>
  <c r="AF1158" i="1"/>
  <c r="AF1159" i="1"/>
  <c r="AF1160" i="1"/>
  <c r="AF1161" i="1"/>
  <c r="AF1162" i="1"/>
  <c r="AF1163" i="1"/>
  <c r="AF198" i="1"/>
  <c r="AF1164" i="1"/>
  <c r="AF1165" i="1"/>
  <c r="AF1166" i="1"/>
  <c r="AF1167" i="1"/>
  <c r="AF1168" i="1"/>
  <c r="AF1169" i="1"/>
  <c r="AF1170" i="1"/>
  <c r="AF1171" i="1"/>
  <c r="AF1172" i="1"/>
  <c r="AF1173" i="1"/>
  <c r="AF1174" i="1"/>
  <c r="AF1175" i="1"/>
  <c r="AF1176" i="1"/>
  <c r="AF199" i="1"/>
  <c r="AF1177" i="1"/>
  <c r="AF1178" i="1"/>
  <c r="AF1179" i="1"/>
  <c r="AF1180" i="1"/>
  <c r="AF1181" i="1"/>
  <c r="AF1182" i="1"/>
  <c r="AF1183" i="1"/>
  <c r="AF200" i="1"/>
  <c r="AF1184" i="1"/>
  <c r="AF1185" i="1"/>
  <c r="AF1186" i="1"/>
  <c r="AF1187" i="1"/>
  <c r="AF201" i="1"/>
  <c r="AF1188" i="1"/>
  <c r="AF202" i="1"/>
  <c r="AF1189" i="1"/>
  <c r="AF1190" i="1"/>
  <c r="AF1191" i="1"/>
  <c r="AF1192" i="1"/>
  <c r="AF1193" i="1"/>
  <c r="AF1194" i="1"/>
  <c r="AF1195" i="1"/>
  <c r="AF203" i="1"/>
  <c r="AF1196" i="1"/>
  <c r="AF1197" i="1"/>
  <c r="AF1198" i="1"/>
  <c r="AF1199" i="1"/>
  <c r="AF1200" i="1"/>
  <c r="AF1201" i="1"/>
  <c r="AF1202" i="1"/>
  <c r="AF1203" i="1"/>
  <c r="AF1204" i="1"/>
  <c r="AF1205" i="1"/>
  <c r="AF204" i="1"/>
  <c r="AF1206" i="1"/>
  <c r="AF1207" i="1"/>
  <c r="AF1208" i="1"/>
  <c r="AF1209" i="1"/>
  <c r="AF1210" i="1"/>
  <c r="AF1211" i="1"/>
  <c r="AF1212" i="1"/>
  <c r="AF1213" i="1"/>
  <c r="AF205" i="1"/>
  <c r="AF1214" i="1"/>
  <c r="AF1215" i="1"/>
  <c r="AF1216" i="1"/>
  <c r="AF1217" i="1"/>
  <c r="AF206" i="1"/>
  <c r="AF207" i="1"/>
  <c r="AF1218" i="1"/>
  <c r="AF1219" i="1"/>
  <c r="AF1220" i="1"/>
  <c r="AF1221" i="1"/>
  <c r="AF1222" i="1"/>
  <c r="AF1223" i="1"/>
  <c r="AF1224" i="1"/>
  <c r="AF208" i="1"/>
  <c r="AF1225" i="1"/>
  <c r="AF1226" i="1"/>
  <c r="AF209" i="1"/>
  <c r="AF210" i="1"/>
  <c r="AF211" i="1"/>
  <c r="AF1227" i="1"/>
  <c r="AF1228" i="1"/>
  <c r="AF1229" i="1"/>
  <c r="AF1230" i="1"/>
  <c r="AF1231" i="1"/>
  <c r="AF1232" i="1"/>
  <c r="AF1233" i="1"/>
  <c r="AF1234" i="1"/>
  <c r="AF1235" i="1"/>
  <c r="AF212" i="1"/>
  <c r="AF1236" i="1"/>
  <c r="AF1237" i="1"/>
  <c r="AF1238" i="1"/>
  <c r="AF1239" i="1"/>
  <c r="AF1240" i="1"/>
  <c r="AF1241" i="1"/>
  <c r="AF1242" i="1"/>
  <c r="AF1243" i="1"/>
  <c r="AF1244" i="1"/>
  <c r="AF1245" i="1"/>
  <c r="AF1246" i="1"/>
  <c r="AF213" i="1"/>
  <c r="AF1247" i="1"/>
  <c r="AF214" i="1"/>
  <c r="AF1248" i="1"/>
  <c r="AF1249" i="1"/>
  <c r="AF1250" i="1"/>
  <c r="AF1251" i="1"/>
  <c r="AF1252" i="1"/>
  <c r="AF1253" i="1"/>
  <c r="AF1254" i="1"/>
  <c r="AF1255" i="1"/>
  <c r="AF1256" i="1"/>
  <c r="AF1257" i="1"/>
  <c r="AF1258" i="1"/>
  <c r="AF215" i="1"/>
  <c r="AF1259" i="1"/>
  <c r="AF1260" i="1"/>
  <c r="AF1261" i="1"/>
  <c r="AF1262" i="1"/>
  <c r="AF1263" i="1"/>
  <c r="AF1264" i="1"/>
  <c r="AF216" i="1"/>
  <c r="AF1265" i="1"/>
  <c r="AF1266" i="1"/>
  <c r="AF1267" i="1"/>
  <c r="AF1268" i="1"/>
  <c r="AF1269" i="1"/>
  <c r="AF1270" i="1"/>
  <c r="AF1271" i="1"/>
  <c r="AF1272" i="1"/>
  <c r="AF217" i="1"/>
  <c r="AF1273" i="1"/>
  <c r="AF1274" i="1"/>
  <c r="AF1275" i="1"/>
  <c r="AF1276" i="1"/>
  <c r="AF1277" i="1"/>
  <c r="AF218" i="1"/>
  <c r="AF1278" i="1"/>
  <c r="AF219" i="1"/>
  <c r="AF1279" i="1"/>
  <c r="AF1280" i="1"/>
  <c r="AF1281" i="1"/>
  <c r="AF1282" i="1"/>
  <c r="AF1283" i="1"/>
  <c r="AF1284" i="1"/>
  <c r="AF1285" i="1"/>
  <c r="AF1286" i="1"/>
  <c r="AF1287" i="1"/>
  <c r="AF1288" i="1"/>
  <c r="AF1289" i="1"/>
  <c r="AF1290" i="1"/>
  <c r="AF220" i="1"/>
  <c r="AF1291" i="1"/>
  <c r="AF221" i="1"/>
  <c r="AF1292" i="1"/>
  <c r="AF1293" i="1"/>
  <c r="AF1294" i="1"/>
  <c r="AF1295" i="1"/>
  <c r="AF1296" i="1"/>
  <c r="AF1297" i="1"/>
  <c r="AF1298" i="1"/>
  <c r="AF1299" i="1"/>
  <c r="AF1300" i="1"/>
  <c r="AF1301" i="1"/>
  <c r="AF1302" i="1"/>
  <c r="AF1303" i="1"/>
  <c r="AF1304" i="1"/>
  <c r="AF1305" i="1"/>
  <c r="AF1306" i="1"/>
  <c r="AF1307" i="1"/>
  <c r="AF1308" i="1"/>
  <c r="AF1309" i="1"/>
  <c r="AF1310" i="1"/>
  <c r="AF222" i="1"/>
  <c r="AF1311" i="1"/>
  <c r="AF1312" i="1"/>
  <c r="AF1313" i="1"/>
  <c r="AF1314" i="1"/>
  <c r="AF1315" i="1"/>
  <c r="AF1316" i="1"/>
  <c r="AF1317" i="1"/>
  <c r="AF1318" i="1"/>
  <c r="AF223" i="1"/>
  <c r="AF224" i="1"/>
  <c r="AF1319" i="1"/>
  <c r="AF1320" i="1"/>
  <c r="AF1321" i="1"/>
  <c r="AF1322" i="1"/>
  <c r="AF1323" i="1"/>
  <c r="AF1324" i="1"/>
  <c r="AF1325" i="1"/>
  <c r="AF1326" i="1"/>
  <c r="AF1327" i="1"/>
  <c r="AF1328" i="1"/>
  <c r="AF1329" i="1"/>
  <c r="AF1330" i="1"/>
  <c r="AF1331" i="1"/>
  <c r="AF1332" i="1"/>
  <c r="AF1333" i="1"/>
  <c r="AF1334" i="1"/>
  <c r="AF225" i="1"/>
  <c r="AF1335" i="1"/>
  <c r="AF1336" i="1"/>
  <c r="AF1337" i="1"/>
  <c r="AF1338" i="1"/>
  <c r="AF1339" i="1"/>
  <c r="AF1340" i="1"/>
  <c r="AF1341" i="1"/>
  <c r="AF226" i="1"/>
  <c r="AF1342" i="1"/>
  <c r="AF1343" i="1"/>
  <c r="AF1344" i="1"/>
  <c r="AF1345" i="1"/>
  <c r="AF227" i="1"/>
  <c r="AF1346" i="1"/>
  <c r="AF1347" i="1"/>
  <c r="AF1348" i="1"/>
  <c r="AF1349" i="1"/>
  <c r="AF1350" i="1"/>
  <c r="AF1351" i="1"/>
  <c r="AF1352" i="1"/>
  <c r="AF1353" i="1"/>
  <c r="AF1354" i="1"/>
  <c r="AF1355" i="1"/>
  <c r="AF1356" i="1"/>
  <c r="AF228" i="1"/>
  <c r="AF1357" i="1"/>
  <c r="AF1358" i="1"/>
  <c r="AF229"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230" i="1"/>
  <c r="AF1405" i="1"/>
  <c r="AF1406" i="1"/>
  <c r="AF1407" i="1"/>
  <c r="AF1408" i="1"/>
  <c r="AF1409" i="1"/>
  <c r="AF231" i="1"/>
  <c r="AF232" i="1"/>
  <c r="AF1410" i="1"/>
  <c r="AF1411" i="1"/>
  <c r="AF1412" i="1"/>
  <c r="AF1413" i="1"/>
  <c r="AF1414" i="1"/>
  <c r="AF1415" i="1"/>
  <c r="AF1416" i="1"/>
  <c r="AF1417" i="1"/>
  <c r="AF1418" i="1"/>
  <c r="AF1419" i="1"/>
  <c r="AF1420" i="1"/>
  <c r="AF1421" i="1"/>
  <c r="AF1422" i="1"/>
  <c r="AF1423" i="1"/>
  <c r="AF1424" i="1"/>
  <c r="AF1425" i="1"/>
  <c r="AF1426" i="1"/>
  <c r="AF233"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234" i="1"/>
  <c r="AF1452" i="1"/>
  <c r="AF235" i="1"/>
  <c r="AF1453" i="1"/>
  <c r="AF236" i="1"/>
  <c r="AF1454" i="1"/>
  <c r="AF1455" i="1"/>
  <c r="AF1456" i="1"/>
  <c r="AF237" i="1"/>
  <c r="AF1457" i="1"/>
  <c r="AF1458" i="1"/>
  <c r="AF238" i="1"/>
  <c r="AF1459" i="1"/>
  <c r="AF1460" i="1"/>
  <c r="AF1461" i="1"/>
  <c r="AF1462" i="1"/>
  <c r="AF239" i="1"/>
  <c r="AF1463" i="1"/>
  <c r="AF1464" i="1"/>
  <c r="AF1465" i="1"/>
  <c r="AF1466" i="1"/>
  <c r="AF240" i="1"/>
  <c r="AF1467" i="1"/>
  <c r="AF1468" i="1"/>
  <c r="AF1469" i="1"/>
  <c r="AF1470" i="1"/>
  <c r="AF1471" i="1"/>
  <c r="AF1472" i="1"/>
  <c r="AF2" i="1"/>
  <c r="AE242" i="1"/>
  <c r="AE243" i="1"/>
  <c r="AE3" i="1"/>
  <c r="AE4" i="1"/>
  <c r="AE5" i="1"/>
  <c r="AE6" i="1"/>
  <c r="AE244" i="1"/>
  <c r="AE245" i="1"/>
  <c r="AE246" i="1"/>
  <c r="AE247" i="1"/>
  <c r="AE7" i="1"/>
  <c r="AE248" i="1"/>
  <c r="AE249" i="1"/>
  <c r="AE8" i="1"/>
  <c r="AE9" i="1"/>
  <c r="AE10" i="1"/>
  <c r="AE11" i="1"/>
  <c r="AE250" i="1"/>
  <c r="AE251" i="1"/>
  <c r="AE252" i="1"/>
  <c r="AE12" i="1"/>
  <c r="AE13" i="1"/>
  <c r="AE253" i="1"/>
  <c r="AE254" i="1"/>
  <c r="AE255" i="1"/>
  <c r="AE256" i="1"/>
  <c r="AE257" i="1"/>
  <c r="AE258" i="1"/>
  <c r="AE14" i="1"/>
  <c r="AE259" i="1"/>
  <c r="AE15" i="1"/>
  <c r="AE260" i="1"/>
  <c r="AE261" i="1"/>
  <c r="AE262" i="1"/>
  <c r="AE16" i="1"/>
  <c r="AE263" i="1"/>
  <c r="AE264" i="1"/>
  <c r="AE265" i="1"/>
  <c r="AE266" i="1"/>
  <c r="AE267" i="1"/>
  <c r="AE17" i="1"/>
  <c r="AE18" i="1"/>
  <c r="AE19" i="1"/>
  <c r="AE268" i="1"/>
  <c r="AE269" i="1"/>
  <c r="AE270" i="1"/>
  <c r="AE271" i="1"/>
  <c r="AE272" i="1"/>
  <c r="AE273" i="1"/>
  <c r="AE20" i="1"/>
  <c r="AE21" i="1"/>
  <c r="AE22" i="1"/>
  <c r="AE23" i="1"/>
  <c r="AE274" i="1"/>
  <c r="AE275" i="1"/>
  <c r="AE24" i="1"/>
  <c r="AE276" i="1"/>
  <c r="AE277" i="1"/>
  <c r="AE278" i="1"/>
  <c r="AE279" i="1"/>
  <c r="AE280" i="1"/>
  <c r="AE25" i="1"/>
  <c r="AE281" i="1"/>
  <c r="AE282" i="1"/>
  <c r="AE283" i="1"/>
  <c r="AE26" i="1"/>
  <c r="AE27" i="1"/>
  <c r="AE284" i="1"/>
  <c r="AE285" i="1"/>
  <c r="AE286" i="1"/>
  <c r="AE287" i="1"/>
  <c r="AE288" i="1"/>
  <c r="AE289" i="1"/>
  <c r="AE290" i="1"/>
  <c r="AE291" i="1"/>
  <c r="AE292" i="1"/>
  <c r="AE293" i="1"/>
  <c r="AE294" i="1"/>
  <c r="AE295" i="1"/>
  <c r="AE296" i="1"/>
  <c r="AE28" i="1"/>
  <c r="AE297" i="1"/>
  <c r="AE298" i="1"/>
  <c r="AE29" i="1"/>
  <c r="AE299" i="1"/>
  <c r="AE300" i="1"/>
  <c r="AE301" i="1"/>
  <c r="AE302" i="1"/>
  <c r="AE303" i="1"/>
  <c r="AE304" i="1"/>
  <c r="AE30" i="1"/>
  <c r="AE305" i="1"/>
  <c r="AE306" i="1"/>
  <c r="AE307" i="1"/>
  <c r="AE308" i="1"/>
  <c r="AE309" i="1"/>
  <c r="AE31" i="1"/>
  <c r="AE310" i="1"/>
  <c r="AE311" i="1"/>
  <c r="AE312" i="1"/>
  <c r="AE32" i="1"/>
  <c r="AE313" i="1"/>
  <c r="AE314" i="1"/>
  <c r="AE315" i="1"/>
  <c r="AE316" i="1"/>
  <c r="AE317" i="1"/>
  <c r="AE33" i="1"/>
  <c r="AE34" i="1"/>
  <c r="AE318" i="1"/>
  <c r="AE35" i="1"/>
  <c r="AE319" i="1"/>
  <c r="AE320" i="1"/>
  <c r="AE321" i="1"/>
  <c r="AE322" i="1"/>
  <c r="AE323" i="1"/>
  <c r="AE324" i="1"/>
  <c r="AE325" i="1"/>
  <c r="AE326" i="1"/>
  <c r="AE327" i="1"/>
  <c r="AE328" i="1"/>
  <c r="AE329" i="1"/>
  <c r="AE36" i="1"/>
  <c r="AE330" i="1"/>
  <c r="AE331" i="1"/>
  <c r="AE332" i="1"/>
  <c r="AE37" i="1"/>
  <c r="AE333" i="1"/>
  <c r="AE334" i="1"/>
  <c r="AE38" i="1"/>
  <c r="AE335" i="1"/>
  <c r="AE336" i="1"/>
  <c r="AE337" i="1"/>
  <c r="AE338" i="1"/>
  <c r="AE339" i="1"/>
  <c r="AE340" i="1"/>
  <c r="AE341" i="1"/>
  <c r="AE342" i="1"/>
  <c r="AE39" i="1"/>
  <c r="AE40" i="1"/>
  <c r="AE41" i="1"/>
  <c r="AE343" i="1"/>
  <c r="AE344" i="1"/>
  <c r="AE345" i="1"/>
  <c r="AE346" i="1"/>
  <c r="AE42" i="1"/>
  <c r="AE347" i="1"/>
  <c r="AE348" i="1"/>
  <c r="AE43" i="1"/>
  <c r="AE349" i="1"/>
  <c r="AE350" i="1"/>
  <c r="AE351" i="1"/>
  <c r="AE44" i="1"/>
  <c r="AE45" i="1"/>
  <c r="AE352" i="1"/>
  <c r="AE353" i="1"/>
  <c r="AE354" i="1"/>
  <c r="AE355" i="1"/>
  <c r="AE356" i="1"/>
  <c r="AE357" i="1"/>
  <c r="AE358" i="1"/>
  <c r="AE359" i="1"/>
  <c r="AE360" i="1"/>
  <c r="AE361" i="1"/>
  <c r="AE362" i="1"/>
  <c r="AE363" i="1"/>
  <c r="AE364" i="1"/>
  <c r="AE365" i="1"/>
  <c r="AE366" i="1"/>
  <c r="AE46" i="1"/>
  <c r="AE367" i="1"/>
  <c r="AE368" i="1"/>
  <c r="AE369" i="1"/>
  <c r="AE47" i="1"/>
  <c r="AE370" i="1"/>
  <c r="AE371" i="1"/>
  <c r="AE372" i="1"/>
  <c r="AE373" i="1"/>
  <c r="AE374" i="1"/>
  <c r="AE375" i="1"/>
  <c r="AE376" i="1"/>
  <c r="AE377" i="1"/>
  <c r="AE378" i="1"/>
  <c r="AE379" i="1"/>
  <c r="AE380" i="1"/>
  <c r="AE381" i="1"/>
  <c r="AE382" i="1"/>
  <c r="AE383" i="1"/>
  <c r="AE384" i="1"/>
  <c r="AE385" i="1"/>
  <c r="AE48" i="1"/>
  <c r="AE49" i="1"/>
  <c r="AE50" i="1"/>
  <c r="AE386" i="1"/>
  <c r="AE51" i="1"/>
  <c r="AE387" i="1"/>
  <c r="AE388" i="1"/>
  <c r="AE389" i="1"/>
  <c r="AE390" i="1"/>
  <c r="AE391" i="1"/>
  <c r="AE52" i="1"/>
  <c r="AE392" i="1"/>
  <c r="AE393" i="1"/>
  <c r="AE53" i="1"/>
  <c r="AE394" i="1"/>
  <c r="AE395" i="1"/>
  <c r="AE396" i="1"/>
  <c r="AE54" i="1"/>
  <c r="AE397" i="1"/>
  <c r="AE398" i="1"/>
  <c r="AE399" i="1"/>
  <c r="AE400" i="1"/>
  <c r="AE55" i="1"/>
  <c r="AE401" i="1"/>
  <c r="AE402" i="1"/>
  <c r="AE56" i="1"/>
  <c r="AE403" i="1"/>
  <c r="AE404" i="1"/>
  <c r="AE405" i="1"/>
  <c r="AE406" i="1"/>
  <c r="AE407" i="1"/>
  <c r="AE408" i="1"/>
  <c r="AE409" i="1"/>
  <c r="AE410" i="1"/>
  <c r="AE411" i="1"/>
  <c r="AE57" i="1"/>
  <c r="AE412" i="1"/>
  <c r="AE413" i="1"/>
  <c r="AE414" i="1"/>
  <c r="AE415" i="1"/>
  <c r="AE58" i="1"/>
  <c r="AE59" i="1"/>
  <c r="AE416" i="1"/>
  <c r="AE60" i="1"/>
  <c r="AE417" i="1"/>
  <c r="AE418" i="1"/>
  <c r="AE419" i="1"/>
  <c r="AE420" i="1"/>
  <c r="AE421" i="1"/>
  <c r="AE61" i="1"/>
  <c r="AE422" i="1"/>
  <c r="AE423" i="1"/>
  <c r="AE424" i="1"/>
  <c r="AE425" i="1"/>
  <c r="AE426" i="1"/>
  <c r="AE427" i="1"/>
  <c r="AE428" i="1"/>
  <c r="AE429" i="1"/>
  <c r="AE62" i="1"/>
  <c r="AE430" i="1"/>
  <c r="AE431" i="1"/>
  <c r="AE432" i="1"/>
  <c r="AE433" i="1"/>
  <c r="AE434" i="1"/>
  <c r="AE435" i="1"/>
  <c r="AE436" i="1"/>
  <c r="AE437" i="1"/>
  <c r="AE438" i="1"/>
  <c r="AE63" i="1"/>
  <c r="AE439" i="1"/>
  <c r="AE440" i="1"/>
  <c r="AE64" i="1"/>
  <c r="AE441" i="1"/>
  <c r="AE442" i="1"/>
  <c r="AE65" i="1"/>
  <c r="AE443" i="1"/>
  <c r="AE444" i="1"/>
  <c r="AE445" i="1"/>
  <c r="AE66" i="1"/>
  <c r="AE446" i="1"/>
  <c r="AE447" i="1"/>
  <c r="AE448" i="1"/>
  <c r="AE449" i="1"/>
  <c r="AE450" i="1"/>
  <c r="AE451" i="1"/>
  <c r="AE67" i="1"/>
  <c r="AE68" i="1"/>
  <c r="AE452" i="1"/>
  <c r="AE453" i="1"/>
  <c r="AE69" i="1"/>
  <c r="AE454" i="1"/>
  <c r="AE455" i="1"/>
  <c r="AE456" i="1"/>
  <c r="AE457" i="1"/>
  <c r="AE458" i="1"/>
  <c r="AE459" i="1"/>
  <c r="AE460" i="1"/>
  <c r="AE461" i="1"/>
  <c r="AE462" i="1"/>
  <c r="AE463" i="1"/>
  <c r="AE70" i="1"/>
  <c r="AE71" i="1"/>
  <c r="AE464" i="1"/>
  <c r="AE72" i="1"/>
  <c r="AE465" i="1"/>
  <c r="AE73" i="1"/>
  <c r="AE466" i="1"/>
  <c r="AE467" i="1"/>
  <c r="AE468" i="1"/>
  <c r="AE469" i="1"/>
  <c r="AE74" i="1"/>
  <c r="AE470" i="1"/>
  <c r="AE75" i="1"/>
  <c r="AE471" i="1"/>
  <c r="AE472" i="1"/>
  <c r="AE473" i="1"/>
  <c r="AE474" i="1"/>
  <c r="AE475" i="1"/>
  <c r="AE476" i="1"/>
  <c r="AE477" i="1"/>
  <c r="AE76" i="1"/>
  <c r="AE478" i="1"/>
  <c r="AE77" i="1"/>
  <c r="AE78" i="1"/>
  <c r="AE479" i="1"/>
  <c r="AE480" i="1"/>
  <c r="AE481" i="1"/>
  <c r="AE79" i="1"/>
  <c r="AE482" i="1"/>
  <c r="AE80" i="1"/>
  <c r="AE483" i="1"/>
  <c r="AE484" i="1"/>
  <c r="AE81" i="1"/>
  <c r="AE82" i="1"/>
  <c r="AE485" i="1"/>
  <c r="AE486" i="1"/>
  <c r="AE487" i="1"/>
  <c r="AE83" i="1"/>
  <c r="AE488" i="1"/>
  <c r="AE489" i="1"/>
  <c r="AE490" i="1"/>
  <c r="AE491" i="1"/>
  <c r="AE492" i="1"/>
  <c r="AE493" i="1"/>
  <c r="AE84" i="1"/>
  <c r="AE85" i="1"/>
  <c r="AE494" i="1"/>
  <c r="AE495" i="1"/>
  <c r="AE496" i="1"/>
  <c r="AE497" i="1"/>
  <c r="AE498" i="1"/>
  <c r="AE499" i="1"/>
  <c r="AE500" i="1"/>
  <c r="AE501" i="1"/>
  <c r="AE502" i="1"/>
  <c r="AE503" i="1"/>
  <c r="AE504" i="1"/>
  <c r="AE505" i="1"/>
  <c r="AE506" i="1"/>
  <c r="AE86" i="1"/>
  <c r="AE507" i="1"/>
  <c r="AE508" i="1"/>
  <c r="AE509" i="1"/>
  <c r="AE510" i="1"/>
  <c r="AE511" i="1"/>
  <c r="AE87" i="1"/>
  <c r="AE512" i="1"/>
  <c r="AE513" i="1"/>
  <c r="AE514" i="1"/>
  <c r="AE515" i="1"/>
  <c r="AE88" i="1"/>
  <c r="AE516" i="1"/>
  <c r="AE517" i="1"/>
  <c r="AE518" i="1"/>
  <c r="AE519" i="1"/>
  <c r="AE520" i="1"/>
  <c r="AE89" i="1"/>
  <c r="AE521" i="1"/>
  <c r="AE522" i="1"/>
  <c r="AE90" i="1"/>
  <c r="AE523" i="1"/>
  <c r="AE91" i="1"/>
  <c r="AE524" i="1"/>
  <c r="AE525" i="1"/>
  <c r="AE526" i="1"/>
  <c r="AE527" i="1"/>
  <c r="AE528" i="1"/>
  <c r="AE529" i="1"/>
  <c r="AE530" i="1"/>
  <c r="AE531" i="1"/>
  <c r="AE532" i="1"/>
  <c r="AE533" i="1"/>
  <c r="AE534" i="1"/>
  <c r="AE92" i="1"/>
  <c r="AE535" i="1"/>
  <c r="AE536" i="1"/>
  <c r="AE537" i="1"/>
  <c r="AE93" i="1"/>
  <c r="AE538" i="1"/>
  <c r="AE539" i="1"/>
  <c r="AE94" i="1"/>
  <c r="AE540" i="1"/>
  <c r="AE541" i="1"/>
  <c r="AE542" i="1"/>
  <c r="AE543" i="1"/>
  <c r="AE544" i="1"/>
  <c r="AE545" i="1"/>
  <c r="AE546" i="1"/>
  <c r="AE547" i="1"/>
  <c r="AE548" i="1"/>
  <c r="AE549" i="1"/>
  <c r="AE550" i="1"/>
  <c r="AE551" i="1"/>
  <c r="AE552" i="1"/>
  <c r="AE553" i="1"/>
  <c r="AE554" i="1"/>
  <c r="AE95" i="1"/>
  <c r="AE555" i="1"/>
  <c r="AE556" i="1"/>
  <c r="AE557" i="1"/>
  <c r="AE558" i="1"/>
  <c r="AE559" i="1"/>
  <c r="AE560" i="1"/>
  <c r="AE561" i="1"/>
  <c r="AE562" i="1"/>
  <c r="AE96" i="1"/>
  <c r="AE563" i="1"/>
  <c r="AE564" i="1"/>
  <c r="AE565" i="1"/>
  <c r="AE566" i="1"/>
  <c r="AE567" i="1"/>
  <c r="AE568" i="1"/>
  <c r="AE97" i="1"/>
  <c r="AE98" i="1"/>
  <c r="AE569" i="1"/>
  <c r="AE570" i="1"/>
  <c r="AE99" i="1"/>
  <c r="AE571" i="1"/>
  <c r="AE572" i="1"/>
  <c r="AE100" i="1"/>
  <c r="AE573" i="1"/>
  <c r="AE574" i="1"/>
  <c r="AE101" i="1"/>
  <c r="AE575" i="1"/>
  <c r="AE576" i="1"/>
  <c r="AE577" i="1"/>
  <c r="AE578" i="1"/>
  <c r="AE579" i="1"/>
  <c r="AE580" i="1"/>
  <c r="AE581" i="1"/>
  <c r="AE582" i="1"/>
  <c r="AE102" i="1"/>
  <c r="AE583" i="1"/>
  <c r="AE584" i="1"/>
  <c r="AE585" i="1"/>
  <c r="AE586" i="1"/>
  <c r="AE587" i="1"/>
  <c r="AE588" i="1"/>
  <c r="AE103" i="1"/>
  <c r="AE589" i="1"/>
  <c r="AE590" i="1"/>
  <c r="AE591" i="1"/>
  <c r="AE592" i="1"/>
  <c r="AE104" i="1"/>
  <c r="AE593" i="1"/>
  <c r="AE594" i="1"/>
  <c r="AE105" i="1"/>
  <c r="AE595" i="1"/>
  <c r="AE596" i="1"/>
  <c r="AE597" i="1"/>
  <c r="AE598" i="1"/>
  <c r="AE106" i="1"/>
  <c r="AE599" i="1"/>
  <c r="AE600" i="1"/>
  <c r="AE601" i="1"/>
  <c r="AE107" i="1"/>
  <c r="AE602" i="1"/>
  <c r="AE108" i="1"/>
  <c r="AE603" i="1"/>
  <c r="AE604" i="1"/>
  <c r="AE605" i="1"/>
  <c r="AE606" i="1"/>
  <c r="AE607" i="1"/>
  <c r="AE608" i="1"/>
  <c r="AE609" i="1"/>
  <c r="AE610" i="1"/>
  <c r="AE109" i="1"/>
  <c r="AE611" i="1"/>
  <c r="AE110" i="1"/>
  <c r="AE612" i="1"/>
  <c r="AE613" i="1"/>
  <c r="AE614" i="1"/>
  <c r="AE615" i="1"/>
  <c r="AE616" i="1"/>
  <c r="AE617" i="1"/>
  <c r="AE618" i="1"/>
  <c r="AE619" i="1"/>
  <c r="AE111" i="1"/>
  <c r="AE620" i="1"/>
  <c r="AE621" i="1"/>
  <c r="AE622" i="1"/>
  <c r="AE623" i="1"/>
  <c r="AE624" i="1"/>
  <c r="AE112" i="1"/>
  <c r="AE625" i="1"/>
  <c r="AE626" i="1"/>
  <c r="AE627" i="1"/>
  <c r="AE628" i="1"/>
  <c r="AE629" i="1"/>
  <c r="AE630" i="1"/>
  <c r="AE631" i="1"/>
  <c r="AE632" i="1"/>
  <c r="AE633" i="1"/>
  <c r="AE634" i="1"/>
  <c r="AE635" i="1"/>
  <c r="AE636" i="1"/>
  <c r="AE637" i="1"/>
  <c r="AE638" i="1"/>
  <c r="AE639" i="1"/>
  <c r="AE640" i="1"/>
  <c r="AE641" i="1"/>
  <c r="AE113" i="1"/>
  <c r="AE642" i="1"/>
  <c r="AE643" i="1"/>
  <c r="AE644" i="1"/>
  <c r="AE645" i="1"/>
  <c r="AE646" i="1"/>
  <c r="AE114" i="1"/>
  <c r="AE647" i="1"/>
  <c r="AE648" i="1"/>
  <c r="AE649" i="1"/>
  <c r="AE650" i="1"/>
  <c r="AE651" i="1"/>
  <c r="AE115" i="1"/>
  <c r="AE652" i="1"/>
  <c r="AE653" i="1"/>
  <c r="AE654" i="1"/>
  <c r="AE655" i="1"/>
  <c r="AE656" i="1"/>
  <c r="AE657" i="1"/>
  <c r="AE658" i="1"/>
  <c r="AE659" i="1"/>
  <c r="AE660" i="1"/>
  <c r="AE661" i="1"/>
  <c r="AE662" i="1"/>
  <c r="AE663" i="1"/>
  <c r="AE664" i="1"/>
  <c r="AE665" i="1"/>
  <c r="AE666" i="1"/>
  <c r="AE667" i="1"/>
  <c r="AE668" i="1"/>
  <c r="AE669" i="1"/>
  <c r="AE116" i="1"/>
  <c r="AE670" i="1"/>
  <c r="AE671" i="1"/>
  <c r="AE672" i="1"/>
  <c r="AE673" i="1"/>
  <c r="AE674" i="1"/>
  <c r="AE675" i="1"/>
  <c r="AE676" i="1"/>
  <c r="AE677" i="1"/>
  <c r="AE678" i="1"/>
  <c r="AE679" i="1"/>
  <c r="AE680" i="1"/>
  <c r="AE681" i="1"/>
  <c r="AE682" i="1"/>
  <c r="AE683" i="1"/>
  <c r="AE684" i="1"/>
  <c r="AE117" i="1"/>
  <c r="AE685" i="1"/>
  <c r="AE686" i="1"/>
  <c r="AE687" i="1"/>
  <c r="AE688" i="1"/>
  <c r="AE689" i="1"/>
  <c r="AE690" i="1"/>
  <c r="AE691" i="1"/>
  <c r="AE692" i="1"/>
  <c r="AE693" i="1"/>
  <c r="AE118" i="1"/>
  <c r="AE694" i="1"/>
  <c r="AE695" i="1"/>
  <c r="AE696" i="1"/>
  <c r="AE119" i="1"/>
  <c r="AE697" i="1"/>
  <c r="AE698" i="1"/>
  <c r="AE699" i="1"/>
  <c r="AE700" i="1"/>
  <c r="AE120" i="1"/>
  <c r="AE701" i="1"/>
  <c r="AE702" i="1"/>
  <c r="AE703" i="1"/>
  <c r="AE704" i="1"/>
  <c r="AE705" i="1"/>
  <c r="AE706" i="1"/>
  <c r="AE707" i="1"/>
  <c r="AE121" i="1"/>
  <c r="AE708" i="1"/>
  <c r="AE709" i="1"/>
  <c r="AE710" i="1"/>
  <c r="AE122" i="1"/>
  <c r="AE123" i="1"/>
  <c r="AE711" i="1"/>
  <c r="AE712" i="1"/>
  <c r="AE713" i="1"/>
  <c r="AE714" i="1"/>
  <c r="AE715" i="1"/>
  <c r="AE716" i="1"/>
  <c r="AE717" i="1"/>
  <c r="AE718" i="1"/>
  <c r="AE719" i="1"/>
  <c r="AE720" i="1"/>
  <c r="AE124" i="1"/>
  <c r="AE125" i="1"/>
  <c r="AE721" i="1"/>
  <c r="AE722" i="1"/>
  <c r="AE126" i="1"/>
  <c r="AE723" i="1"/>
  <c r="AE724" i="1"/>
  <c r="AE725" i="1"/>
  <c r="AE726" i="1"/>
  <c r="AE727" i="1"/>
  <c r="AE728" i="1"/>
  <c r="AE729" i="1"/>
  <c r="AE127" i="1"/>
  <c r="AE730" i="1"/>
  <c r="AE731" i="1"/>
  <c r="AE128" i="1"/>
  <c r="AE732" i="1"/>
  <c r="AE733" i="1"/>
  <c r="AE734" i="1"/>
  <c r="AE735" i="1"/>
  <c r="AE736" i="1"/>
  <c r="AE737" i="1"/>
  <c r="AE738" i="1"/>
  <c r="AE739" i="1"/>
  <c r="AE740" i="1"/>
  <c r="AE741" i="1"/>
  <c r="AE129"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130" i="1"/>
  <c r="AE766" i="1"/>
  <c r="AE767" i="1"/>
  <c r="AE131" i="1"/>
  <c r="AE768" i="1"/>
  <c r="AE132" i="1"/>
  <c r="AE769" i="1"/>
  <c r="AE770" i="1"/>
  <c r="AE771" i="1"/>
  <c r="AE772" i="1"/>
  <c r="AE773" i="1"/>
  <c r="AE774" i="1"/>
  <c r="AE775" i="1"/>
  <c r="AE133" i="1"/>
  <c r="AE776" i="1"/>
  <c r="AE777" i="1"/>
  <c r="AE778" i="1"/>
  <c r="AE779" i="1"/>
  <c r="AE780" i="1"/>
  <c r="AE781" i="1"/>
  <c r="AE782" i="1"/>
  <c r="AE783" i="1"/>
  <c r="AE784" i="1"/>
  <c r="AE785" i="1"/>
  <c r="AE134" i="1"/>
  <c r="AE135" i="1"/>
  <c r="AE786" i="1"/>
  <c r="AE787" i="1"/>
  <c r="AE788" i="1"/>
  <c r="AE789" i="1"/>
  <c r="AE136" i="1"/>
  <c r="AE790" i="1"/>
  <c r="AE791" i="1"/>
  <c r="AE792" i="1"/>
  <c r="AE793" i="1"/>
  <c r="AE794" i="1"/>
  <c r="AE137" i="1"/>
  <c r="AE138" i="1"/>
  <c r="AE795" i="1"/>
  <c r="AE796" i="1"/>
  <c r="AE139" i="1"/>
  <c r="AE797" i="1"/>
  <c r="AE798" i="1"/>
  <c r="AE799" i="1"/>
  <c r="AE800" i="1"/>
  <c r="AE801" i="1"/>
  <c r="AE802" i="1"/>
  <c r="AE803" i="1"/>
  <c r="AE804" i="1"/>
  <c r="AE805" i="1"/>
  <c r="AE806" i="1"/>
  <c r="AE140" i="1"/>
  <c r="AE807" i="1"/>
  <c r="AE808" i="1"/>
  <c r="AE809" i="1"/>
  <c r="AE810" i="1"/>
  <c r="AE811" i="1"/>
  <c r="AE812" i="1"/>
  <c r="AE813" i="1"/>
  <c r="AE814" i="1"/>
  <c r="AE815" i="1"/>
  <c r="AE816" i="1"/>
  <c r="AE141" i="1"/>
  <c r="AE817" i="1"/>
  <c r="AE818" i="1"/>
  <c r="AE819" i="1"/>
  <c r="AE820" i="1"/>
  <c r="AE821" i="1"/>
  <c r="AE822" i="1"/>
  <c r="AE142" i="1"/>
  <c r="AE823" i="1"/>
  <c r="AE824" i="1"/>
  <c r="AE825" i="1"/>
  <c r="AE826" i="1"/>
  <c r="AE827" i="1"/>
  <c r="AE828" i="1"/>
  <c r="AE829" i="1"/>
  <c r="AE830" i="1"/>
  <c r="AE831" i="1"/>
  <c r="AE143" i="1"/>
  <c r="AE832" i="1"/>
  <c r="AE833" i="1"/>
  <c r="AE834" i="1"/>
  <c r="AE144" i="1"/>
  <c r="AE145" i="1"/>
  <c r="AE146" i="1"/>
  <c r="AE835" i="1"/>
  <c r="AE836" i="1"/>
  <c r="AE837" i="1"/>
  <c r="AE838" i="1"/>
  <c r="AE839" i="1"/>
  <c r="AE840" i="1"/>
  <c r="AE841" i="1"/>
  <c r="AE842" i="1"/>
  <c r="AE147" i="1"/>
  <c r="AE843" i="1"/>
  <c r="AE844" i="1"/>
  <c r="AE845" i="1"/>
  <c r="AE148" i="1"/>
  <c r="AE846" i="1"/>
  <c r="AE847" i="1"/>
  <c r="AE848" i="1"/>
  <c r="AE849" i="1"/>
  <c r="AE850" i="1"/>
  <c r="AE851" i="1"/>
  <c r="AE852" i="1"/>
  <c r="AE853" i="1"/>
  <c r="AE149" i="1"/>
  <c r="AE854" i="1"/>
  <c r="AE855" i="1"/>
  <c r="AE150" i="1"/>
  <c r="AE856" i="1"/>
  <c r="AE857" i="1"/>
  <c r="AE858" i="1"/>
  <c r="AE151" i="1"/>
  <c r="AE859" i="1"/>
  <c r="AE152" i="1"/>
  <c r="AE153" i="1"/>
  <c r="AE860" i="1"/>
  <c r="AE861" i="1"/>
  <c r="AE862" i="1"/>
  <c r="AE863" i="1"/>
  <c r="AE154" i="1"/>
  <c r="AE155" i="1"/>
  <c r="AE864" i="1"/>
  <c r="AE865" i="1"/>
  <c r="AE866" i="1"/>
  <c r="AE867" i="1"/>
  <c r="AE868" i="1"/>
  <c r="AE869" i="1"/>
  <c r="AE870" i="1"/>
  <c r="AE871" i="1"/>
  <c r="AE872" i="1"/>
  <c r="AE873" i="1"/>
  <c r="AE874" i="1"/>
  <c r="AE875" i="1"/>
  <c r="AE876" i="1"/>
  <c r="AE877" i="1"/>
  <c r="AE156" i="1"/>
  <c r="AE157" i="1"/>
  <c r="AE878" i="1"/>
  <c r="AE879" i="1"/>
  <c r="AE880" i="1"/>
  <c r="AE881" i="1"/>
  <c r="AE882" i="1"/>
  <c r="AE883" i="1"/>
  <c r="AE884" i="1"/>
  <c r="AE885" i="1"/>
  <c r="AE886" i="1"/>
  <c r="AE887" i="1"/>
  <c r="AE888" i="1"/>
  <c r="AE889" i="1"/>
  <c r="AE890" i="1"/>
  <c r="AE891" i="1"/>
  <c r="AE158" i="1"/>
  <c r="AE892" i="1"/>
  <c r="AE893" i="1"/>
  <c r="AE894" i="1"/>
  <c r="AE159" i="1"/>
  <c r="AE895" i="1"/>
  <c r="AE896" i="1"/>
  <c r="AE160" i="1"/>
  <c r="AE161" i="1"/>
  <c r="AE897" i="1"/>
  <c r="AE898" i="1"/>
  <c r="AE899" i="1"/>
  <c r="AE900" i="1"/>
  <c r="AE901" i="1"/>
  <c r="AE162" i="1"/>
  <c r="AE902" i="1"/>
  <c r="AE903" i="1"/>
  <c r="AE904" i="1"/>
  <c r="AE905" i="1"/>
  <c r="AE906" i="1"/>
  <c r="AE907" i="1"/>
  <c r="AE908" i="1"/>
  <c r="AE909" i="1"/>
  <c r="AE910" i="1"/>
  <c r="AE911" i="1"/>
  <c r="AE912" i="1"/>
  <c r="AE913" i="1"/>
  <c r="AE914" i="1"/>
  <c r="AE915" i="1"/>
  <c r="AE163" i="1"/>
  <c r="AE916" i="1"/>
  <c r="AE164" i="1"/>
  <c r="AE917" i="1"/>
  <c r="AE918" i="1"/>
  <c r="AE919" i="1"/>
  <c r="AE920" i="1"/>
  <c r="AE165"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166"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167" i="1"/>
  <c r="AE168" i="1"/>
  <c r="AE989" i="1"/>
  <c r="AE169" i="1"/>
  <c r="AE990" i="1"/>
  <c r="AE170" i="1"/>
  <c r="AE171" i="1"/>
  <c r="AE991" i="1"/>
  <c r="AE992" i="1"/>
  <c r="AE993" i="1"/>
  <c r="AE994" i="1"/>
  <c r="AE995" i="1"/>
  <c r="AE172" i="1"/>
  <c r="AE996" i="1"/>
  <c r="AE997" i="1"/>
  <c r="AE998" i="1"/>
  <c r="AE173" i="1"/>
  <c r="AE999" i="1"/>
  <c r="AE1000" i="1"/>
  <c r="AE1001" i="1"/>
  <c r="AE1002" i="1"/>
  <c r="AE1003" i="1"/>
  <c r="AE1004" i="1"/>
  <c r="AE1005" i="1"/>
  <c r="AE1006" i="1"/>
  <c r="AE1007" i="1"/>
  <c r="AE1008" i="1"/>
  <c r="AE1009" i="1"/>
  <c r="AE1010" i="1"/>
  <c r="AE1011" i="1"/>
  <c r="AE174" i="1"/>
  <c r="AE1012" i="1"/>
  <c r="AE1013" i="1"/>
  <c r="AE1014" i="1"/>
  <c r="AE1015" i="1"/>
  <c r="AE175" i="1"/>
  <c r="AE1016" i="1"/>
  <c r="AE1017" i="1"/>
  <c r="AE1018" i="1"/>
  <c r="AE1019" i="1"/>
  <c r="AE1020" i="1"/>
  <c r="AE1021" i="1"/>
  <c r="AE1022" i="1"/>
  <c r="AE1023" i="1"/>
  <c r="AE1024" i="1"/>
  <c r="AE1025" i="1"/>
  <c r="AE1026" i="1"/>
  <c r="AE1027" i="1"/>
  <c r="AE1028" i="1"/>
  <c r="AE1029" i="1"/>
  <c r="AE1030" i="1"/>
  <c r="AE1031" i="1"/>
  <c r="AE176" i="1"/>
  <c r="AE1032" i="1"/>
  <c r="AE1033" i="1"/>
  <c r="AE177" i="1"/>
  <c r="AE1034" i="1"/>
  <c r="AE1035" i="1"/>
  <c r="AE1036" i="1"/>
  <c r="AE1037" i="1"/>
  <c r="AE1038" i="1"/>
  <c r="AE1039" i="1"/>
  <c r="AE1040" i="1"/>
  <c r="AE1041" i="1"/>
  <c r="AE1042" i="1"/>
  <c r="AE1043" i="1"/>
  <c r="AE1044" i="1"/>
  <c r="AE1045" i="1"/>
  <c r="AE1046" i="1"/>
  <c r="AE178" i="1"/>
  <c r="AE1047" i="1"/>
  <c r="AE1048" i="1"/>
  <c r="AE1049" i="1"/>
  <c r="AE1050" i="1"/>
  <c r="AE1051" i="1"/>
  <c r="AE1052" i="1"/>
  <c r="AE1053" i="1"/>
  <c r="AE1054" i="1"/>
  <c r="AE1055" i="1"/>
  <c r="AE179" i="1"/>
  <c r="AE1056" i="1"/>
  <c r="AE180" i="1"/>
  <c r="AE1057" i="1"/>
  <c r="AE1058" i="1"/>
  <c r="AE1059" i="1"/>
  <c r="AE1060" i="1"/>
  <c r="AE1061" i="1"/>
  <c r="AE1062" i="1"/>
  <c r="AE1063" i="1"/>
  <c r="AE1064" i="1"/>
  <c r="AE1065" i="1"/>
  <c r="AE181" i="1"/>
  <c r="AE1066" i="1"/>
  <c r="AE1067" i="1"/>
  <c r="AE1068" i="1"/>
  <c r="AE1069" i="1"/>
  <c r="AE1070" i="1"/>
  <c r="AE1071" i="1"/>
  <c r="AE1072" i="1"/>
  <c r="AE1073" i="1"/>
  <c r="AE1074" i="1"/>
  <c r="AE1075" i="1"/>
  <c r="AE1076" i="1"/>
  <c r="AE1077" i="1"/>
  <c r="AE1078" i="1"/>
  <c r="AE1079" i="1"/>
  <c r="AE1080" i="1"/>
  <c r="AE1081" i="1"/>
  <c r="AE1082" i="1"/>
  <c r="AE1083" i="1"/>
  <c r="AE182" i="1"/>
  <c r="AE1084" i="1"/>
  <c r="AE1085" i="1"/>
  <c r="AE1086" i="1"/>
  <c r="AE183" i="1"/>
  <c r="AE1087" i="1"/>
  <c r="AE1088" i="1"/>
  <c r="AE1089" i="1"/>
  <c r="AE1090" i="1"/>
  <c r="AE1091" i="1"/>
  <c r="AE1092" i="1"/>
  <c r="AE1093" i="1"/>
  <c r="AE1094" i="1"/>
  <c r="AE1095" i="1"/>
  <c r="AE184" i="1"/>
  <c r="AE1096" i="1"/>
  <c r="AE1097" i="1"/>
  <c r="AE1098" i="1"/>
  <c r="AE1099" i="1"/>
  <c r="AE1100" i="1"/>
  <c r="AE1101" i="1"/>
  <c r="AE1102" i="1"/>
  <c r="AE185" i="1"/>
  <c r="AE1103" i="1"/>
  <c r="AE186" i="1"/>
  <c r="AE187" i="1"/>
  <c r="AE1104" i="1"/>
  <c r="AE188" i="1"/>
  <c r="AE1105" i="1"/>
  <c r="AE1106" i="1"/>
  <c r="AE1107" i="1"/>
  <c r="AE1108" i="1"/>
  <c r="AE1109" i="1"/>
  <c r="AE189" i="1"/>
  <c r="AE1110" i="1"/>
  <c r="AE1111" i="1"/>
  <c r="AE1112" i="1"/>
  <c r="AE1113" i="1"/>
  <c r="AE1114" i="1"/>
  <c r="AE1115" i="1"/>
  <c r="AE190" i="1"/>
  <c r="AE1116" i="1"/>
  <c r="AE1117" i="1"/>
  <c r="AE1118" i="1"/>
  <c r="AE1119" i="1"/>
  <c r="AE1120" i="1"/>
  <c r="AE191" i="1"/>
  <c r="AE1121" i="1"/>
  <c r="AE1122" i="1"/>
  <c r="AE192" i="1"/>
  <c r="AE1123" i="1"/>
  <c r="AE1124" i="1"/>
  <c r="AE1125" i="1"/>
  <c r="AE1126" i="1"/>
  <c r="AE1127" i="1"/>
  <c r="AE1128" i="1"/>
  <c r="AE1129" i="1"/>
  <c r="AE1130" i="1"/>
  <c r="AE1131" i="1"/>
  <c r="AE1132" i="1"/>
  <c r="AE1133" i="1"/>
  <c r="AE1134" i="1"/>
  <c r="AE1135" i="1"/>
  <c r="AE193" i="1"/>
  <c r="AE194" i="1"/>
  <c r="AE1136" i="1"/>
  <c r="AE1137" i="1"/>
  <c r="AE1138" i="1"/>
  <c r="AE1139" i="1"/>
  <c r="AE195" i="1"/>
  <c r="AE1140" i="1"/>
  <c r="AE1141" i="1"/>
  <c r="AE1142" i="1"/>
  <c r="AE1143" i="1"/>
  <c r="AE196" i="1"/>
  <c r="AE1144" i="1"/>
  <c r="AE1145" i="1"/>
  <c r="AE1146" i="1"/>
  <c r="AE1147" i="1"/>
  <c r="AE1148" i="1"/>
  <c r="AE1149" i="1"/>
  <c r="AE1150" i="1"/>
  <c r="AE1151" i="1"/>
  <c r="AE1152" i="1"/>
  <c r="AE1153" i="1"/>
  <c r="AE1154" i="1"/>
  <c r="AE1155" i="1"/>
  <c r="AE1156" i="1"/>
  <c r="AE1157" i="1"/>
  <c r="AE197" i="1"/>
  <c r="AE1158" i="1"/>
  <c r="AE1159" i="1"/>
  <c r="AE1160" i="1"/>
  <c r="AE1161" i="1"/>
  <c r="AE1162" i="1"/>
  <c r="AE1163" i="1"/>
  <c r="AE198" i="1"/>
  <c r="AE1164" i="1"/>
  <c r="AE1165" i="1"/>
  <c r="AE1166" i="1"/>
  <c r="AE1167" i="1"/>
  <c r="AE1168" i="1"/>
  <c r="AE1169" i="1"/>
  <c r="AE1170" i="1"/>
  <c r="AE1171" i="1"/>
  <c r="AE1172" i="1"/>
  <c r="AE1173" i="1"/>
  <c r="AE1174" i="1"/>
  <c r="AE1175" i="1"/>
  <c r="AE1176" i="1"/>
  <c r="AE199" i="1"/>
  <c r="AE1177" i="1"/>
  <c r="AE1178" i="1"/>
  <c r="AE1179" i="1"/>
  <c r="AE1180" i="1"/>
  <c r="AE1181" i="1"/>
  <c r="AE1182" i="1"/>
  <c r="AE1183" i="1"/>
  <c r="AE200" i="1"/>
  <c r="AE1184" i="1"/>
  <c r="AE1185" i="1"/>
  <c r="AE1186" i="1"/>
  <c r="AE1187" i="1"/>
  <c r="AE201" i="1"/>
  <c r="AE1188" i="1"/>
  <c r="AE202" i="1"/>
  <c r="AE1189" i="1"/>
  <c r="AE1190" i="1"/>
  <c r="AE1191" i="1"/>
  <c r="AE1192" i="1"/>
  <c r="AE1193" i="1"/>
  <c r="AE1194" i="1"/>
  <c r="AE1195" i="1"/>
  <c r="AE203" i="1"/>
  <c r="AE1196" i="1"/>
  <c r="AE1197" i="1"/>
  <c r="AE1198" i="1"/>
  <c r="AE1199" i="1"/>
  <c r="AE1200" i="1"/>
  <c r="AE1201" i="1"/>
  <c r="AE1202" i="1"/>
  <c r="AE1203" i="1"/>
  <c r="AE1204" i="1"/>
  <c r="AE1205" i="1"/>
  <c r="AE204" i="1"/>
  <c r="AE1206" i="1"/>
  <c r="AE1207" i="1"/>
  <c r="AE1208" i="1"/>
  <c r="AE1209" i="1"/>
  <c r="AE1210" i="1"/>
  <c r="AE1211" i="1"/>
  <c r="AE1212" i="1"/>
  <c r="AE1213" i="1"/>
  <c r="AE205" i="1"/>
  <c r="AE1214" i="1"/>
  <c r="AE1215" i="1"/>
  <c r="AE1216" i="1"/>
  <c r="AE1217" i="1"/>
  <c r="AE206" i="1"/>
  <c r="AE207" i="1"/>
  <c r="AE1218" i="1"/>
  <c r="AE1219" i="1"/>
  <c r="AE1220" i="1"/>
  <c r="AE1221" i="1"/>
  <c r="AE1222" i="1"/>
  <c r="AE1223" i="1"/>
  <c r="AE1224" i="1"/>
  <c r="AE208" i="1"/>
  <c r="AE1225" i="1"/>
  <c r="AE1226" i="1"/>
  <c r="AE209" i="1"/>
  <c r="AE210" i="1"/>
  <c r="AE211" i="1"/>
  <c r="AE1227" i="1"/>
  <c r="AE1228" i="1"/>
  <c r="AE1229" i="1"/>
  <c r="AE1230" i="1"/>
  <c r="AE1231" i="1"/>
  <c r="AE1232" i="1"/>
  <c r="AE1233" i="1"/>
  <c r="AE1234" i="1"/>
  <c r="AE1235" i="1"/>
  <c r="AE212" i="1"/>
  <c r="AE1236" i="1"/>
  <c r="AE1237" i="1"/>
  <c r="AE1238" i="1"/>
  <c r="AE1239" i="1"/>
  <c r="AE1240" i="1"/>
  <c r="AE1241" i="1"/>
  <c r="AE1242" i="1"/>
  <c r="AE1243" i="1"/>
  <c r="AE1244" i="1"/>
  <c r="AE1245" i="1"/>
  <c r="AE1246" i="1"/>
  <c r="AE213" i="1"/>
  <c r="AE1247" i="1"/>
  <c r="AE214" i="1"/>
  <c r="AE1248" i="1"/>
  <c r="AE1249" i="1"/>
  <c r="AE1250" i="1"/>
  <c r="AE1251" i="1"/>
  <c r="AE1252" i="1"/>
  <c r="AE1253" i="1"/>
  <c r="AE1254" i="1"/>
  <c r="AE1255" i="1"/>
  <c r="AE1256" i="1"/>
  <c r="AE1257" i="1"/>
  <c r="AE1258" i="1"/>
  <c r="AE215" i="1"/>
  <c r="AE1259" i="1"/>
  <c r="AE1260" i="1"/>
  <c r="AE1261" i="1"/>
  <c r="AE1262" i="1"/>
  <c r="AE1263" i="1"/>
  <c r="AE1264" i="1"/>
  <c r="AE216" i="1"/>
  <c r="AE1265" i="1"/>
  <c r="AE1266" i="1"/>
  <c r="AE1267" i="1"/>
  <c r="AE1268" i="1"/>
  <c r="AE1269" i="1"/>
  <c r="AE1270" i="1"/>
  <c r="AE1271" i="1"/>
  <c r="AE1272" i="1"/>
  <c r="AE217" i="1"/>
  <c r="AE1273" i="1"/>
  <c r="AE1274" i="1"/>
  <c r="AE1275" i="1"/>
  <c r="AE1276" i="1"/>
  <c r="AE1277" i="1"/>
  <c r="AE218" i="1"/>
  <c r="AE1278" i="1"/>
  <c r="AE219" i="1"/>
  <c r="AE1279" i="1"/>
  <c r="AE1280" i="1"/>
  <c r="AE1281" i="1"/>
  <c r="AE1282" i="1"/>
  <c r="AE1283" i="1"/>
  <c r="AE1284" i="1"/>
  <c r="AE1285" i="1"/>
  <c r="AE1286" i="1"/>
  <c r="AE1287" i="1"/>
  <c r="AE1288" i="1"/>
  <c r="AE1289" i="1"/>
  <c r="AE1290" i="1"/>
  <c r="AE220" i="1"/>
  <c r="AE1291" i="1"/>
  <c r="AE221" i="1"/>
  <c r="AE1292" i="1"/>
  <c r="AE1293" i="1"/>
  <c r="AE1294" i="1"/>
  <c r="AE1295" i="1"/>
  <c r="AE1296" i="1"/>
  <c r="AE1297" i="1"/>
  <c r="AE1298" i="1"/>
  <c r="AE1299" i="1"/>
  <c r="AE1300" i="1"/>
  <c r="AE1301" i="1"/>
  <c r="AE1302" i="1"/>
  <c r="AE1303" i="1"/>
  <c r="AE1304" i="1"/>
  <c r="AE1305" i="1"/>
  <c r="AE1306" i="1"/>
  <c r="AE1307" i="1"/>
  <c r="AE1308" i="1"/>
  <c r="AE1309" i="1"/>
  <c r="AE1310" i="1"/>
  <c r="AE222" i="1"/>
  <c r="AE1311" i="1"/>
  <c r="AE1312" i="1"/>
  <c r="AE1313" i="1"/>
  <c r="AE1314" i="1"/>
  <c r="AE1315" i="1"/>
  <c r="AE1316" i="1"/>
  <c r="AE1317" i="1"/>
  <c r="AE1318" i="1"/>
  <c r="AE223" i="1"/>
  <c r="AE224" i="1"/>
  <c r="AE1319" i="1"/>
  <c r="AE1320" i="1"/>
  <c r="AE1321" i="1"/>
  <c r="AE1322" i="1"/>
  <c r="AE1323" i="1"/>
  <c r="AE1324" i="1"/>
  <c r="AE1325" i="1"/>
  <c r="AE1326" i="1"/>
  <c r="AE1327" i="1"/>
  <c r="AE1328" i="1"/>
  <c r="AE1329" i="1"/>
  <c r="AE1330" i="1"/>
  <c r="AE1331" i="1"/>
  <c r="AE1332" i="1"/>
  <c r="AE1333" i="1"/>
  <c r="AE1334" i="1"/>
  <c r="AE225" i="1"/>
  <c r="AE1335" i="1"/>
  <c r="AE1336" i="1"/>
  <c r="AE1337" i="1"/>
  <c r="AE1338" i="1"/>
  <c r="AE1339" i="1"/>
  <c r="AE1340" i="1"/>
  <c r="AE1341" i="1"/>
  <c r="AE226" i="1"/>
  <c r="AE1342" i="1"/>
  <c r="AE1343" i="1"/>
  <c r="AE1344" i="1"/>
  <c r="AE1345" i="1"/>
  <c r="AE227" i="1"/>
  <c r="AE1346" i="1"/>
  <c r="AE1347" i="1"/>
  <c r="AE1348" i="1"/>
  <c r="AE1349" i="1"/>
  <c r="AE1350" i="1"/>
  <c r="AE1351" i="1"/>
  <c r="AE1352" i="1"/>
  <c r="AE1353" i="1"/>
  <c r="AE1354" i="1"/>
  <c r="AE1355" i="1"/>
  <c r="AE1356" i="1"/>
  <c r="AE228" i="1"/>
  <c r="AE1357" i="1"/>
  <c r="AE1358" i="1"/>
  <c r="AE229"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230" i="1"/>
  <c r="AE1405" i="1"/>
  <c r="AE1406" i="1"/>
  <c r="AE1407" i="1"/>
  <c r="AE1408" i="1"/>
  <c r="AE1409" i="1"/>
  <c r="AE231" i="1"/>
  <c r="AE232" i="1"/>
  <c r="AE1410" i="1"/>
  <c r="AE1411" i="1"/>
  <c r="AE1412" i="1"/>
  <c r="AE1413" i="1"/>
  <c r="AE1414" i="1"/>
  <c r="AE1415" i="1"/>
  <c r="AE1416" i="1"/>
  <c r="AE1417" i="1"/>
  <c r="AE1418" i="1"/>
  <c r="AE1419" i="1"/>
  <c r="AE1420" i="1"/>
  <c r="AE1421" i="1"/>
  <c r="AE1422" i="1"/>
  <c r="AE1423" i="1"/>
  <c r="AE1424" i="1"/>
  <c r="AE1425" i="1"/>
  <c r="AE1426" i="1"/>
  <c r="AE233"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234" i="1"/>
  <c r="AE1452" i="1"/>
  <c r="AE235" i="1"/>
  <c r="AE1453" i="1"/>
  <c r="AE236" i="1"/>
  <c r="AE1454" i="1"/>
  <c r="AE1455" i="1"/>
  <c r="AE1456" i="1"/>
  <c r="AE237" i="1"/>
  <c r="AE1457" i="1"/>
  <c r="AE1458" i="1"/>
  <c r="AE238" i="1"/>
  <c r="AE1459" i="1"/>
  <c r="AE1460" i="1"/>
  <c r="AE1461" i="1"/>
  <c r="AE1462" i="1"/>
  <c r="AE239" i="1"/>
  <c r="AE1463" i="1"/>
  <c r="AE1464" i="1"/>
  <c r="AE1465" i="1"/>
  <c r="AE1466" i="1"/>
  <c r="AE240" i="1"/>
  <c r="AE1467" i="1"/>
  <c r="AE1468" i="1"/>
  <c r="AE1469" i="1"/>
  <c r="AE1470" i="1"/>
  <c r="AE1471" i="1"/>
  <c r="AE1472" i="1"/>
  <c r="AE2" i="1"/>
  <c r="C242" i="1"/>
  <c r="C243" i="1"/>
  <c r="C3" i="1"/>
  <c r="C4" i="1"/>
  <c r="C5" i="1"/>
  <c r="C6" i="1"/>
  <c r="C244" i="1"/>
  <c r="C245" i="1"/>
  <c r="C246" i="1"/>
  <c r="C247" i="1"/>
  <c r="C7" i="1"/>
  <c r="C248" i="1"/>
  <c r="C249" i="1"/>
  <c r="C8" i="1"/>
  <c r="C9" i="1"/>
  <c r="C10" i="1"/>
  <c r="C11" i="1"/>
  <c r="C250" i="1"/>
  <c r="C251" i="1"/>
  <c r="C252" i="1"/>
  <c r="C12" i="1"/>
  <c r="C13" i="1"/>
  <c r="C253" i="1"/>
  <c r="C254" i="1"/>
  <c r="C255" i="1"/>
  <c r="C256" i="1"/>
  <c r="C257" i="1"/>
  <c r="C258" i="1"/>
  <c r="C14" i="1"/>
  <c r="C259" i="1"/>
  <c r="C15" i="1"/>
  <c r="C260" i="1"/>
  <c r="C261" i="1"/>
  <c r="C262" i="1"/>
  <c r="C16" i="1"/>
  <c r="C263" i="1"/>
  <c r="C264" i="1"/>
  <c r="C265" i="1"/>
  <c r="C266" i="1"/>
  <c r="C267" i="1"/>
  <c r="C17" i="1"/>
  <c r="C18" i="1"/>
  <c r="C19" i="1"/>
  <c r="C268" i="1"/>
  <c r="C269" i="1"/>
  <c r="C270" i="1"/>
  <c r="C271" i="1"/>
  <c r="C272" i="1"/>
  <c r="C273" i="1"/>
  <c r="C20" i="1"/>
  <c r="C21" i="1"/>
  <c r="C22" i="1"/>
  <c r="C23" i="1"/>
  <c r="C274" i="1"/>
  <c r="C275" i="1"/>
  <c r="C24" i="1"/>
  <c r="C276" i="1"/>
  <c r="C277" i="1"/>
  <c r="C278" i="1"/>
  <c r="C279" i="1"/>
  <c r="C280" i="1"/>
  <c r="C25" i="1"/>
  <c r="C281" i="1"/>
  <c r="C282" i="1"/>
  <c r="C283" i="1"/>
  <c r="C26" i="1"/>
  <c r="C27" i="1"/>
  <c r="C284" i="1"/>
  <c r="C285" i="1"/>
  <c r="C286" i="1"/>
  <c r="C287" i="1"/>
  <c r="C288" i="1"/>
  <c r="C289" i="1"/>
  <c r="C290" i="1"/>
  <c r="C291" i="1"/>
  <c r="C292" i="1"/>
  <c r="C293" i="1"/>
  <c r="C294" i="1"/>
  <c r="C295" i="1"/>
  <c r="C296" i="1"/>
  <c r="C28" i="1"/>
  <c r="C297" i="1"/>
  <c r="C298" i="1"/>
  <c r="C29" i="1"/>
  <c r="C299" i="1"/>
  <c r="C300" i="1"/>
  <c r="C301" i="1"/>
  <c r="C302" i="1"/>
  <c r="C303" i="1"/>
  <c r="C304" i="1"/>
  <c r="C30" i="1"/>
  <c r="C305" i="1"/>
  <c r="C306" i="1"/>
  <c r="C307" i="1"/>
  <c r="C308" i="1"/>
  <c r="C309" i="1"/>
  <c r="C31" i="1"/>
  <c r="C310" i="1"/>
  <c r="C311" i="1"/>
  <c r="C312" i="1"/>
  <c r="C32" i="1"/>
  <c r="C313" i="1"/>
  <c r="C314" i="1"/>
  <c r="C315" i="1"/>
  <c r="C316" i="1"/>
  <c r="C317" i="1"/>
  <c r="C33" i="1"/>
  <c r="C34" i="1"/>
  <c r="C318" i="1"/>
  <c r="C35" i="1"/>
  <c r="C319" i="1"/>
  <c r="C320" i="1"/>
  <c r="C321" i="1"/>
  <c r="C322" i="1"/>
  <c r="C323" i="1"/>
  <c r="C324" i="1"/>
  <c r="C325" i="1"/>
  <c r="C326" i="1"/>
  <c r="C327" i="1"/>
  <c r="C328" i="1"/>
  <c r="C329" i="1"/>
  <c r="C36" i="1"/>
  <c r="C330" i="1"/>
  <c r="C331" i="1"/>
  <c r="C332" i="1"/>
  <c r="C37" i="1"/>
  <c r="C333" i="1"/>
  <c r="C334" i="1"/>
  <c r="C38" i="1"/>
  <c r="C335" i="1"/>
  <c r="C336" i="1"/>
  <c r="C337" i="1"/>
  <c r="C338" i="1"/>
  <c r="C339" i="1"/>
  <c r="C340" i="1"/>
  <c r="C341" i="1"/>
  <c r="C342" i="1"/>
  <c r="C39" i="1"/>
  <c r="C40" i="1"/>
  <c r="C41" i="1"/>
  <c r="C343" i="1"/>
  <c r="C344" i="1"/>
  <c r="C345" i="1"/>
  <c r="C346" i="1"/>
  <c r="C42" i="1"/>
  <c r="C347" i="1"/>
  <c r="C348" i="1"/>
  <c r="C43" i="1"/>
  <c r="C349" i="1"/>
  <c r="C350" i="1"/>
  <c r="C351" i="1"/>
  <c r="C44" i="1"/>
  <c r="C45" i="1"/>
  <c r="C352" i="1"/>
  <c r="C353" i="1"/>
  <c r="C354" i="1"/>
  <c r="C355" i="1"/>
  <c r="C356" i="1"/>
  <c r="C357" i="1"/>
  <c r="C358" i="1"/>
  <c r="C359" i="1"/>
  <c r="C360" i="1"/>
  <c r="C361" i="1"/>
  <c r="C362" i="1"/>
  <c r="C363" i="1"/>
  <c r="C364" i="1"/>
  <c r="C365" i="1"/>
  <c r="C366" i="1"/>
  <c r="C46" i="1"/>
  <c r="C367" i="1"/>
  <c r="C368" i="1"/>
  <c r="C369" i="1"/>
  <c r="C47" i="1"/>
  <c r="C370" i="1"/>
  <c r="C371" i="1"/>
  <c r="C372" i="1"/>
  <c r="C373" i="1"/>
  <c r="C374" i="1"/>
  <c r="C375" i="1"/>
  <c r="C376" i="1"/>
  <c r="C377" i="1"/>
  <c r="C378" i="1"/>
  <c r="C379" i="1"/>
  <c r="C380" i="1"/>
  <c r="C381" i="1"/>
  <c r="C382" i="1"/>
  <c r="C383" i="1"/>
  <c r="C384" i="1"/>
  <c r="C385" i="1"/>
  <c r="C48" i="1"/>
  <c r="C49" i="1"/>
  <c r="C50" i="1"/>
  <c r="C386" i="1"/>
  <c r="C51" i="1"/>
  <c r="C387" i="1"/>
  <c r="C388" i="1"/>
  <c r="C389" i="1"/>
  <c r="C390" i="1"/>
  <c r="C391" i="1"/>
  <c r="C52" i="1"/>
  <c r="C392" i="1"/>
  <c r="C393" i="1"/>
  <c r="C53" i="1"/>
  <c r="C394" i="1"/>
  <c r="C395" i="1"/>
  <c r="C396" i="1"/>
  <c r="C54" i="1"/>
  <c r="C397" i="1"/>
  <c r="C398" i="1"/>
  <c r="C399" i="1"/>
  <c r="C400" i="1"/>
  <c r="C55" i="1"/>
  <c r="C401" i="1"/>
  <c r="C402" i="1"/>
  <c r="C56" i="1"/>
  <c r="C403" i="1"/>
  <c r="C404" i="1"/>
  <c r="C405" i="1"/>
  <c r="C406" i="1"/>
  <c r="C407" i="1"/>
  <c r="C408" i="1"/>
  <c r="C409" i="1"/>
  <c r="C410" i="1"/>
  <c r="C411" i="1"/>
  <c r="C57" i="1"/>
  <c r="C412" i="1"/>
  <c r="C413" i="1"/>
  <c r="C414" i="1"/>
  <c r="C415" i="1"/>
  <c r="C58" i="1"/>
  <c r="C59" i="1"/>
  <c r="C416" i="1"/>
  <c r="C60" i="1"/>
  <c r="C417" i="1"/>
  <c r="C418" i="1"/>
  <c r="C419" i="1"/>
  <c r="C420" i="1"/>
  <c r="C421" i="1"/>
  <c r="C61" i="1"/>
  <c r="C422" i="1"/>
  <c r="C423" i="1"/>
  <c r="C424" i="1"/>
  <c r="C425" i="1"/>
  <c r="C426" i="1"/>
  <c r="C427" i="1"/>
  <c r="C428" i="1"/>
  <c r="C429" i="1"/>
  <c r="C62" i="1"/>
  <c r="C430" i="1"/>
  <c r="C431" i="1"/>
  <c r="C432" i="1"/>
  <c r="C433" i="1"/>
  <c r="C434" i="1"/>
  <c r="C435" i="1"/>
  <c r="C436" i="1"/>
  <c r="C437" i="1"/>
  <c r="C438" i="1"/>
  <c r="C63" i="1"/>
  <c r="C439" i="1"/>
  <c r="C440" i="1"/>
  <c r="C64" i="1"/>
  <c r="C441" i="1"/>
  <c r="C442" i="1"/>
  <c r="C65" i="1"/>
  <c r="C443" i="1"/>
  <c r="C444" i="1"/>
  <c r="C445" i="1"/>
  <c r="C66" i="1"/>
  <c r="C446" i="1"/>
  <c r="C447" i="1"/>
  <c r="C448" i="1"/>
  <c r="C449" i="1"/>
  <c r="C450" i="1"/>
  <c r="C451" i="1"/>
  <c r="C67" i="1"/>
  <c r="C68" i="1"/>
  <c r="C452" i="1"/>
  <c r="C453" i="1"/>
  <c r="C69" i="1"/>
  <c r="C454" i="1"/>
  <c r="C455" i="1"/>
  <c r="C456" i="1"/>
  <c r="C457" i="1"/>
  <c r="C458" i="1"/>
  <c r="C459" i="1"/>
  <c r="C460" i="1"/>
  <c r="C461" i="1"/>
  <c r="C462" i="1"/>
  <c r="C463" i="1"/>
  <c r="C70" i="1"/>
  <c r="C71" i="1"/>
  <c r="C464" i="1"/>
  <c r="C72" i="1"/>
  <c r="C465" i="1"/>
  <c r="C73" i="1"/>
  <c r="C466" i="1"/>
  <c r="C467" i="1"/>
  <c r="C468" i="1"/>
  <c r="C469" i="1"/>
  <c r="C74" i="1"/>
  <c r="C470" i="1"/>
  <c r="C75" i="1"/>
  <c r="C471" i="1"/>
  <c r="C472" i="1"/>
  <c r="C473" i="1"/>
  <c r="C474" i="1"/>
  <c r="C475" i="1"/>
  <c r="C476" i="1"/>
  <c r="C477" i="1"/>
  <c r="C76" i="1"/>
  <c r="C478" i="1"/>
  <c r="C77" i="1"/>
  <c r="C78" i="1"/>
  <c r="C479" i="1"/>
  <c r="C480" i="1"/>
  <c r="C481" i="1"/>
  <c r="C79" i="1"/>
  <c r="C482" i="1"/>
  <c r="C80" i="1"/>
  <c r="C483" i="1"/>
  <c r="C484" i="1"/>
  <c r="C81" i="1"/>
  <c r="C82" i="1"/>
  <c r="C485" i="1"/>
  <c r="C486" i="1"/>
  <c r="C487" i="1"/>
  <c r="C83" i="1"/>
  <c r="C488" i="1"/>
  <c r="C489" i="1"/>
  <c r="C490" i="1"/>
  <c r="C491" i="1"/>
  <c r="C492" i="1"/>
  <c r="C493" i="1"/>
  <c r="C84" i="1"/>
  <c r="C85" i="1"/>
  <c r="C494" i="1"/>
  <c r="C495" i="1"/>
  <c r="C496" i="1"/>
  <c r="C497" i="1"/>
  <c r="C498" i="1"/>
  <c r="C499" i="1"/>
  <c r="C500" i="1"/>
  <c r="C501" i="1"/>
  <c r="C502" i="1"/>
  <c r="C503" i="1"/>
  <c r="C504" i="1"/>
  <c r="C505" i="1"/>
  <c r="C506" i="1"/>
  <c r="C86" i="1"/>
  <c r="C507" i="1"/>
  <c r="C508" i="1"/>
  <c r="C509" i="1"/>
  <c r="C510" i="1"/>
  <c r="C511" i="1"/>
  <c r="C87" i="1"/>
  <c r="C512" i="1"/>
  <c r="C513" i="1"/>
  <c r="C514" i="1"/>
  <c r="C515" i="1"/>
  <c r="C88" i="1"/>
  <c r="C516" i="1"/>
  <c r="C517" i="1"/>
  <c r="C518" i="1"/>
  <c r="C519" i="1"/>
  <c r="C520" i="1"/>
  <c r="C89" i="1"/>
  <c r="C521" i="1"/>
  <c r="C522" i="1"/>
  <c r="C90" i="1"/>
  <c r="C523" i="1"/>
  <c r="C91" i="1"/>
  <c r="C524" i="1"/>
  <c r="C525" i="1"/>
  <c r="C526" i="1"/>
  <c r="C527" i="1"/>
  <c r="C528" i="1"/>
  <c r="C529" i="1"/>
  <c r="C530" i="1"/>
  <c r="C531" i="1"/>
  <c r="C532" i="1"/>
  <c r="C533" i="1"/>
  <c r="C534" i="1"/>
  <c r="C92" i="1"/>
  <c r="C535" i="1"/>
  <c r="C536" i="1"/>
  <c r="C537" i="1"/>
  <c r="C93" i="1"/>
  <c r="C538" i="1"/>
  <c r="C539" i="1"/>
  <c r="C94" i="1"/>
  <c r="C540" i="1"/>
  <c r="C541" i="1"/>
  <c r="C542" i="1"/>
  <c r="C543" i="1"/>
  <c r="C544" i="1"/>
  <c r="C545" i="1"/>
  <c r="C546" i="1"/>
  <c r="C547" i="1"/>
  <c r="C548" i="1"/>
  <c r="C549" i="1"/>
  <c r="C550" i="1"/>
  <c r="C551" i="1"/>
  <c r="C552" i="1"/>
  <c r="C553" i="1"/>
  <c r="C554" i="1"/>
  <c r="C95" i="1"/>
  <c r="C555" i="1"/>
  <c r="C556" i="1"/>
  <c r="C557" i="1"/>
  <c r="C558" i="1"/>
  <c r="C559" i="1"/>
  <c r="C560" i="1"/>
  <c r="C561" i="1"/>
  <c r="C562" i="1"/>
  <c r="C96" i="1"/>
  <c r="C563" i="1"/>
  <c r="C564" i="1"/>
  <c r="C565" i="1"/>
  <c r="C566" i="1"/>
  <c r="C567" i="1"/>
  <c r="C568" i="1"/>
  <c r="C97" i="1"/>
  <c r="C98" i="1"/>
  <c r="C569" i="1"/>
  <c r="C570" i="1"/>
  <c r="C99" i="1"/>
  <c r="C571" i="1"/>
  <c r="C572" i="1"/>
  <c r="C100" i="1"/>
  <c r="C573" i="1"/>
  <c r="C574" i="1"/>
  <c r="C101" i="1"/>
  <c r="C575" i="1"/>
  <c r="C576" i="1"/>
  <c r="C577" i="1"/>
  <c r="C578" i="1"/>
  <c r="C579" i="1"/>
  <c r="C580" i="1"/>
  <c r="C581" i="1"/>
  <c r="C582" i="1"/>
  <c r="C102" i="1"/>
  <c r="C583" i="1"/>
  <c r="C584" i="1"/>
  <c r="C585" i="1"/>
  <c r="C586" i="1"/>
  <c r="C587" i="1"/>
  <c r="C588" i="1"/>
  <c r="C103" i="1"/>
  <c r="C589" i="1"/>
  <c r="C590" i="1"/>
  <c r="C591" i="1"/>
  <c r="C592" i="1"/>
  <c r="C104" i="1"/>
  <c r="C593" i="1"/>
  <c r="C594" i="1"/>
  <c r="C105" i="1"/>
  <c r="C595" i="1"/>
  <c r="C596" i="1"/>
  <c r="C597" i="1"/>
  <c r="C598" i="1"/>
  <c r="C106" i="1"/>
  <c r="C599" i="1"/>
  <c r="C600" i="1"/>
  <c r="C601" i="1"/>
  <c r="C107" i="1"/>
  <c r="C602" i="1"/>
  <c r="C108" i="1"/>
  <c r="C603" i="1"/>
  <c r="C604" i="1"/>
  <c r="C605" i="1"/>
  <c r="C606" i="1"/>
  <c r="C607" i="1"/>
  <c r="C608" i="1"/>
  <c r="C609" i="1"/>
  <c r="C610" i="1"/>
  <c r="C109" i="1"/>
  <c r="C611" i="1"/>
  <c r="C110" i="1"/>
  <c r="C612" i="1"/>
  <c r="C613" i="1"/>
  <c r="C614" i="1"/>
  <c r="C615" i="1"/>
  <c r="C616" i="1"/>
  <c r="C617" i="1"/>
  <c r="C618" i="1"/>
  <c r="C619" i="1"/>
  <c r="C111" i="1"/>
  <c r="C620" i="1"/>
  <c r="C621" i="1"/>
  <c r="C622" i="1"/>
  <c r="C623" i="1"/>
  <c r="C624" i="1"/>
  <c r="C112" i="1"/>
  <c r="C625" i="1"/>
  <c r="C626" i="1"/>
  <c r="C627" i="1"/>
  <c r="C628" i="1"/>
  <c r="C629" i="1"/>
  <c r="C630" i="1"/>
  <c r="C631" i="1"/>
  <c r="C632" i="1"/>
  <c r="C633" i="1"/>
  <c r="C634" i="1"/>
  <c r="C635" i="1"/>
  <c r="C636" i="1"/>
  <c r="C637" i="1"/>
  <c r="C638" i="1"/>
  <c r="C639" i="1"/>
  <c r="C640" i="1"/>
  <c r="C641" i="1"/>
  <c r="C113" i="1"/>
  <c r="C642" i="1"/>
  <c r="C643" i="1"/>
  <c r="C644" i="1"/>
  <c r="C645" i="1"/>
  <c r="C646" i="1"/>
  <c r="C114" i="1"/>
  <c r="C647" i="1"/>
  <c r="C648" i="1"/>
  <c r="C649" i="1"/>
  <c r="C650" i="1"/>
  <c r="C651" i="1"/>
  <c r="C115" i="1"/>
  <c r="C652" i="1"/>
  <c r="C653" i="1"/>
  <c r="C654" i="1"/>
  <c r="C655" i="1"/>
  <c r="C656" i="1"/>
  <c r="C657" i="1"/>
  <c r="C658" i="1"/>
  <c r="C659" i="1"/>
  <c r="C660" i="1"/>
  <c r="C661" i="1"/>
  <c r="C662" i="1"/>
  <c r="C663" i="1"/>
  <c r="C664" i="1"/>
  <c r="C665" i="1"/>
  <c r="C666" i="1"/>
  <c r="C667" i="1"/>
  <c r="C668" i="1"/>
  <c r="C669" i="1"/>
  <c r="C116" i="1"/>
  <c r="C670" i="1"/>
  <c r="C671" i="1"/>
  <c r="C672" i="1"/>
  <c r="C673" i="1"/>
  <c r="C674" i="1"/>
  <c r="C675" i="1"/>
  <c r="C676" i="1"/>
  <c r="C677" i="1"/>
  <c r="C678" i="1"/>
  <c r="C679" i="1"/>
  <c r="C680" i="1"/>
  <c r="C681" i="1"/>
  <c r="C682" i="1"/>
  <c r="C683" i="1"/>
  <c r="C684" i="1"/>
  <c r="C117" i="1"/>
  <c r="C685" i="1"/>
  <c r="C686" i="1"/>
  <c r="C687" i="1"/>
  <c r="C688" i="1"/>
  <c r="C689" i="1"/>
  <c r="C690" i="1"/>
  <c r="C691" i="1"/>
  <c r="C692" i="1"/>
  <c r="C693" i="1"/>
  <c r="C118" i="1"/>
  <c r="C694" i="1"/>
  <c r="C695" i="1"/>
  <c r="C696" i="1"/>
  <c r="C119" i="1"/>
  <c r="C697" i="1"/>
  <c r="C698" i="1"/>
  <c r="C699" i="1"/>
  <c r="C700" i="1"/>
  <c r="C120" i="1"/>
  <c r="C701" i="1"/>
  <c r="C702" i="1"/>
  <c r="C703" i="1"/>
  <c r="C704" i="1"/>
  <c r="C705" i="1"/>
  <c r="C706" i="1"/>
  <c r="C707" i="1"/>
  <c r="C121" i="1"/>
  <c r="C708" i="1"/>
  <c r="C709" i="1"/>
  <c r="C710" i="1"/>
  <c r="C122" i="1"/>
  <c r="C123" i="1"/>
  <c r="C711" i="1"/>
  <c r="C712" i="1"/>
  <c r="C713" i="1"/>
  <c r="C714" i="1"/>
  <c r="C715" i="1"/>
  <c r="C716" i="1"/>
  <c r="C717" i="1"/>
  <c r="C718" i="1"/>
  <c r="C719" i="1"/>
  <c r="C720" i="1"/>
  <c r="C124" i="1"/>
  <c r="C125" i="1"/>
  <c r="C721" i="1"/>
  <c r="C722" i="1"/>
  <c r="C126" i="1"/>
  <c r="C723" i="1"/>
  <c r="C724" i="1"/>
  <c r="C725" i="1"/>
  <c r="C726" i="1"/>
  <c r="C727" i="1"/>
  <c r="C728" i="1"/>
  <c r="C729" i="1"/>
  <c r="C127" i="1"/>
  <c r="C730" i="1"/>
  <c r="C731" i="1"/>
  <c r="C128" i="1"/>
  <c r="C732" i="1"/>
  <c r="C733" i="1"/>
  <c r="C734" i="1"/>
  <c r="C735" i="1"/>
  <c r="C736" i="1"/>
  <c r="C737" i="1"/>
  <c r="C738" i="1"/>
  <c r="C739" i="1"/>
  <c r="C740" i="1"/>
  <c r="C741" i="1"/>
  <c r="C129" i="1"/>
  <c r="C742" i="1"/>
  <c r="C743" i="1"/>
  <c r="C744" i="1"/>
  <c r="C745" i="1"/>
  <c r="C746" i="1"/>
  <c r="C747" i="1"/>
  <c r="C748" i="1"/>
  <c r="C749" i="1"/>
  <c r="C750" i="1"/>
  <c r="C751" i="1"/>
  <c r="C752" i="1"/>
  <c r="C753" i="1"/>
  <c r="C754" i="1"/>
  <c r="C755" i="1"/>
  <c r="C756" i="1"/>
  <c r="C757" i="1"/>
  <c r="C758" i="1"/>
  <c r="C759" i="1"/>
  <c r="C760" i="1"/>
  <c r="C761" i="1"/>
  <c r="C762" i="1"/>
  <c r="C763" i="1"/>
  <c r="C764" i="1"/>
  <c r="C765" i="1"/>
  <c r="C130" i="1"/>
  <c r="C766" i="1"/>
  <c r="C767" i="1"/>
  <c r="C131" i="1"/>
  <c r="C768" i="1"/>
  <c r="C132" i="1"/>
  <c r="C769" i="1"/>
  <c r="C770" i="1"/>
  <c r="C771" i="1"/>
  <c r="C772" i="1"/>
  <c r="C773" i="1"/>
  <c r="C774" i="1"/>
  <c r="C775" i="1"/>
  <c r="C133" i="1"/>
  <c r="C776" i="1"/>
  <c r="C777" i="1"/>
  <c r="C778" i="1"/>
  <c r="C779" i="1"/>
  <c r="C780" i="1"/>
  <c r="C781" i="1"/>
  <c r="C782" i="1"/>
  <c r="C783" i="1"/>
  <c r="C784" i="1"/>
  <c r="C785" i="1"/>
  <c r="C134" i="1"/>
  <c r="C135" i="1"/>
  <c r="C786" i="1"/>
  <c r="C787" i="1"/>
  <c r="C788" i="1"/>
  <c r="C789" i="1"/>
  <c r="C136" i="1"/>
  <c r="C790" i="1"/>
  <c r="C791" i="1"/>
  <c r="C792" i="1"/>
  <c r="C793" i="1"/>
  <c r="C794" i="1"/>
  <c r="C137" i="1"/>
  <c r="C138" i="1"/>
  <c r="C795" i="1"/>
  <c r="C796" i="1"/>
  <c r="C139" i="1"/>
  <c r="C797" i="1"/>
  <c r="C798" i="1"/>
  <c r="C799" i="1"/>
  <c r="C800" i="1"/>
  <c r="C801" i="1"/>
  <c r="C802" i="1"/>
  <c r="C803" i="1"/>
  <c r="C804" i="1"/>
  <c r="C805" i="1"/>
  <c r="C806" i="1"/>
  <c r="C140" i="1"/>
  <c r="C807" i="1"/>
  <c r="C808" i="1"/>
  <c r="C809" i="1"/>
  <c r="C810" i="1"/>
  <c r="C811" i="1"/>
  <c r="C812" i="1"/>
  <c r="C813" i="1"/>
  <c r="C814" i="1"/>
  <c r="C815" i="1"/>
  <c r="C816" i="1"/>
  <c r="C141" i="1"/>
  <c r="C817" i="1"/>
  <c r="C818" i="1"/>
  <c r="C819" i="1"/>
  <c r="C820" i="1"/>
  <c r="C821" i="1"/>
  <c r="C822" i="1"/>
  <c r="C142" i="1"/>
  <c r="C823" i="1"/>
  <c r="C824" i="1"/>
  <c r="C825" i="1"/>
  <c r="C826" i="1"/>
  <c r="C827" i="1"/>
  <c r="C828" i="1"/>
  <c r="C829" i="1"/>
  <c r="C830" i="1"/>
  <c r="C831" i="1"/>
  <c r="C143" i="1"/>
  <c r="C832" i="1"/>
  <c r="C833" i="1"/>
  <c r="C834" i="1"/>
  <c r="C144" i="1"/>
  <c r="C145" i="1"/>
  <c r="C146" i="1"/>
  <c r="C835" i="1"/>
  <c r="C836" i="1"/>
  <c r="C837" i="1"/>
  <c r="C838" i="1"/>
  <c r="C839" i="1"/>
  <c r="C840" i="1"/>
  <c r="C841" i="1"/>
  <c r="C842" i="1"/>
  <c r="C147" i="1"/>
  <c r="C843" i="1"/>
  <c r="C844" i="1"/>
  <c r="C845" i="1"/>
  <c r="C148" i="1"/>
  <c r="C846" i="1"/>
  <c r="C847" i="1"/>
  <c r="C848" i="1"/>
  <c r="C849" i="1"/>
  <c r="C850" i="1"/>
  <c r="C851" i="1"/>
  <c r="C852" i="1"/>
  <c r="C853" i="1"/>
  <c r="C149" i="1"/>
  <c r="C854" i="1"/>
  <c r="C855" i="1"/>
  <c r="C150" i="1"/>
  <c r="C856" i="1"/>
  <c r="C857" i="1"/>
  <c r="C858" i="1"/>
  <c r="C151" i="1"/>
  <c r="C859" i="1"/>
  <c r="C152" i="1"/>
  <c r="C153" i="1"/>
  <c r="C860" i="1"/>
  <c r="C861" i="1"/>
  <c r="C862" i="1"/>
  <c r="C863" i="1"/>
  <c r="C154" i="1"/>
  <c r="C155" i="1"/>
  <c r="C864" i="1"/>
  <c r="C865" i="1"/>
  <c r="C866" i="1"/>
  <c r="C867" i="1"/>
  <c r="C868" i="1"/>
  <c r="C869" i="1"/>
  <c r="C870" i="1"/>
  <c r="C871" i="1"/>
  <c r="C872" i="1"/>
  <c r="C873" i="1"/>
  <c r="C874" i="1"/>
  <c r="C875" i="1"/>
  <c r="C876" i="1"/>
  <c r="C877" i="1"/>
  <c r="C156" i="1"/>
  <c r="C157" i="1"/>
  <c r="C878" i="1"/>
  <c r="C879" i="1"/>
  <c r="C880" i="1"/>
  <c r="C881" i="1"/>
  <c r="C882" i="1"/>
  <c r="C883" i="1"/>
  <c r="C884" i="1"/>
  <c r="C885" i="1"/>
  <c r="C886" i="1"/>
  <c r="C887" i="1"/>
  <c r="C888" i="1"/>
  <c r="C889" i="1"/>
  <c r="C890" i="1"/>
  <c r="C891" i="1"/>
  <c r="C158" i="1"/>
  <c r="C892" i="1"/>
  <c r="C893" i="1"/>
  <c r="C894" i="1"/>
  <c r="C159" i="1"/>
  <c r="C895" i="1"/>
  <c r="C896" i="1"/>
  <c r="C160" i="1"/>
  <c r="C161" i="1"/>
  <c r="C897" i="1"/>
  <c r="C898" i="1"/>
  <c r="C899" i="1"/>
  <c r="C900" i="1"/>
  <c r="C901" i="1"/>
  <c r="C162" i="1"/>
  <c r="C902" i="1"/>
  <c r="C903" i="1"/>
  <c r="C904" i="1"/>
  <c r="C905" i="1"/>
  <c r="C906" i="1"/>
  <c r="C907" i="1"/>
  <c r="C908" i="1"/>
  <c r="C909" i="1"/>
  <c r="C910" i="1"/>
  <c r="C911" i="1"/>
  <c r="C912" i="1"/>
  <c r="C913" i="1"/>
  <c r="C914" i="1"/>
  <c r="C915" i="1"/>
  <c r="C163" i="1"/>
  <c r="C916" i="1"/>
  <c r="C164" i="1"/>
  <c r="C917" i="1"/>
  <c r="C918" i="1"/>
  <c r="C919" i="1"/>
  <c r="C920" i="1"/>
  <c r="C165"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166"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167" i="1"/>
  <c r="C168" i="1"/>
  <c r="C989" i="1"/>
  <c r="C169" i="1"/>
  <c r="C990" i="1"/>
  <c r="C170" i="1"/>
  <c r="C171" i="1"/>
  <c r="C991" i="1"/>
  <c r="C992" i="1"/>
  <c r="C993" i="1"/>
  <c r="C994" i="1"/>
  <c r="C995" i="1"/>
  <c r="C172" i="1"/>
  <c r="C996" i="1"/>
  <c r="C997" i="1"/>
  <c r="C998" i="1"/>
  <c r="C999" i="1"/>
  <c r="C1000" i="1"/>
  <c r="C1001" i="1"/>
  <c r="C1002" i="1"/>
  <c r="C1003" i="1"/>
  <c r="C1004" i="1"/>
  <c r="C1005" i="1"/>
  <c r="C1006" i="1"/>
  <c r="C1007" i="1"/>
  <c r="C1008" i="1"/>
  <c r="C1009" i="1"/>
  <c r="C1010" i="1"/>
  <c r="C1011" i="1"/>
  <c r="C174" i="1"/>
  <c r="C1012" i="1"/>
  <c r="C1013" i="1"/>
  <c r="C1014" i="1"/>
  <c r="C1015" i="1"/>
  <c r="C175" i="1"/>
  <c r="C1016" i="1"/>
  <c r="C1017" i="1"/>
  <c r="C1018" i="1"/>
  <c r="C1019" i="1"/>
  <c r="C1020" i="1"/>
  <c r="C1021" i="1"/>
  <c r="C1022" i="1"/>
  <c r="C1023" i="1"/>
  <c r="C1024" i="1"/>
  <c r="C1025" i="1"/>
  <c r="C1026" i="1"/>
  <c r="C1027" i="1"/>
  <c r="C1028" i="1"/>
  <c r="C1029" i="1"/>
  <c r="C1030" i="1"/>
  <c r="C1031" i="1"/>
  <c r="C176" i="1"/>
  <c r="C1032" i="1"/>
  <c r="C1033" i="1"/>
  <c r="C177" i="1"/>
  <c r="C1034" i="1"/>
  <c r="C1035" i="1"/>
  <c r="C1036" i="1"/>
  <c r="C1037" i="1"/>
  <c r="C1038" i="1"/>
  <c r="C1039" i="1"/>
  <c r="C1040" i="1"/>
  <c r="C1041" i="1"/>
  <c r="C1042" i="1"/>
  <c r="C1043" i="1"/>
  <c r="C1044" i="1"/>
  <c r="C1045" i="1"/>
  <c r="C1046" i="1"/>
  <c r="C178" i="1"/>
  <c r="C1047" i="1"/>
  <c r="C1048" i="1"/>
  <c r="C1049" i="1"/>
  <c r="C1050" i="1"/>
  <c r="C1051" i="1"/>
  <c r="C1052" i="1"/>
  <c r="C1053" i="1"/>
  <c r="C1054" i="1"/>
  <c r="C1055" i="1"/>
  <c r="C179" i="1"/>
  <c r="C1056" i="1"/>
  <c r="C180" i="1"/>
  <c r="C1057" i="1"/>
  <c r="C1058" i="1"/>
  <c r="C1059" i="1"/>
  <c r="C1060" i="1"/>
  <c r="C1061" i="1"/>
  <c r="C1062" i="1"/>
  <c r="C1063" i="1"/>
  <c r="C1064" i="1"/>
  <c r="C1065" i="1"/>
  <c r="C181" i="1"/>
  <c r="C1066" i="1"/>
  <c r="C1067" i="1"/>
  <c r="C1068" i="1"/>
  <c r="C1069" i="1"/>
  <c r="C1070" i="1"/>
  <c r="C1071" i="1"/>
  <c r="C1072" i="1"/>
  <c r="C1073" i="1"/>
  <c r="C1074" i="1"/>
  <c r="C1075" i="1"/>
  <c r="C1076" i="1"/>
  <c r="C1077" i="1"/>
  <c r="C1078" i="1"/>
  <c r="C1079" i="1"/>
  <c r="C1080" i="1"/>
  <c r="C1081" i="1"/>
  <c r="C1082" i="1"/>
  <c r="C1083" i="1"/>
  <c r="C182" i="1"/>
  <c r="C1084" i="1"/>
  <c r="C1085" i="1"/>
  <c r="C1086" i="1"/>
  <c r="C183" i="1"/>
  <c r="C1087" i="1"/>
  <c r="C1088" i="1"/>
  <c r="C1089" i="1"/>
  <c r="C1090" i="1"/>
  <c r="C1091" i="1"/>
  <c r="C1092" i="1"/>
  <c r="C1093" i="1"/>
  <c r="C1094" i="1"/>
  <c r="C1095" i="1"/>
  <c r="C184" i="1"/>
  <c r="C1096" i="1"/>
  <c r="C1097" i="1"/>
  <c r="C1098" i="1"/>
  <c r="C1099" i="1"/>
  <c r="C1100" i="1"/>
  <c r="C1101" i="1"/>
  <c r="C1102" i="1"/>
  <c r="C185" i="1"/>
  <c r="C1103" i="1"/>
  <c r="C186" i="1"/>
  <c r="C187" i="1"/>
  <c r="C1104" i="1"/>
  <c r="C188" i="1"/>
  <c r="C1105" i="1"/>
  <c r="C1106" i="1"/>
  <c r="C1107" i="1"/>
  <c r="C1108" i="1"/>
  <c r="C1109" i="1"/>
  <c r="C189" i="1"/>
  <c r="C1110" i="1"/>
  <c r="C1111" i="1"/>
  <c r="C1112" i="1"/>
  <c r="C1113" i="1"/>
  <c r="C1114" i="1"/>
  <c r="C1115" i="1"/>
  <c r="C190" i="1"/>
  <c r="C1116" i="1"/>
  <c r="C1117" i="1"/>
  <c r="C1118" i="1"/>
  <c r="C1119" i="1"/>
  <c r="C1120" i="1"/>
  <c r="C191" i="1"/>
  <c r="C1121" i="1"/>
  <c r="C1122" i="1"/>
  <c r="C192" i="1"/>
  <c r="C1123" i="1"/>
  <c r="C1124" i="1"/>
  <c r="C1125" i="1"/>
  <c r="C1126" i="1"/>
  <c r="C1127" i="1"/>
  <c r="C1128" i="1"/>
  <c r="C1129" i="1"/>
  <c r="C1130" i="1"/>
  <c r="C1131" i="1"/>
  <c r="C1132" i="1"/>
  <c r="C1133" i="1"/>
  <c r="C1134" i="1"/>
  <c r="C1135" i="1"/>
  <c r="C193" i="1"/>
  <c r="C194" i="1"/>
  <c r="C1136" i="1"/>
  <c r="C1137" i="1"/>
  <c r="C1138" i="1"/>
  <c r="C1139" i="1"/>
  <c r="C195" i="1"/>
  <c r="C1140" i="1"/>
  <c r="C1141" i="1"/>
  <c r="C1142" i="1"/>
  <c r="C1143" i="1"/>
  <c r="C196" i="1"/>
  <c r="C1144" i="1"/>
  <c r="C1145" i="1"/>
  <c r="C1146" i="1"/>
  <c r="C1147" i="1"/>
  <c r="C1148" i="1"/>
  <c r="C1149" i="1"/>
  <c r="C1150" i="1"/>
  <c r="C1151" i="1"/>
  <c r="C1152" i="1"/>
  <c r="C1153" i="1"/>
  <c r="C1154" i="1"/>
  <c r="C1155" i="1"/>
  <c r="C1156" i="1"/>
  <c r="C1157" i="1"/>
  <c r="C197" i="1"/>
  <c r="C1158" i="1"/>
  <c r="C1159" i="1"/>
  <c r="C1160" i="1"/>
  <c r="C1161" i="1"/>
  <c r="C1162" i="1"/>
  <c r="C1163" i="1"/>
  <c r="C198" i="1"/>
  <c r="C1164" i="1"/>
  <c r="C1165" i="1"/>
  <c r="C1166" i="1"/>
  <c r="C1167" i="1"/>
  <c r="C1168" i="1"/>
  <c r="C1169" i="1"/>
  <c r="C1170" i="1"/>
  <c r="C1171" i="1"/>
  <c r="C1172" i="1"/>
  <c r="C1173" i="1"/>
  <c r="C1174" i="1"/>
  <c r="C1175" i="1"/>
  <c r="C1176" i="1"/>
  <c r="C199" i="1"/>
  <c r="C1177" i="1"/>
  <c r="C1178" i="1"/>
  <c r="C1179" i="1"/>
  <c r="C1180" i="1"/>
  <c r="C1181" i="1"/>
  <c r="C1182" i="1"/>
  <c r="C1183" i="1"/>
  <c r="C200" i="1"/>
  <c r="C1184" i="1"/>
  <c r="C1185" i="1"/>
  <c r="C1186" i="1"/>
  <c r="C1187" i="1"/>
  <c r="C201" i="1"/>
  <c r="C1188" i="1"/>
  <c r="C202" i="1"/>
  <c r="C1189" i="1"/>
  <c r="C1190" i="1"/>
  <c r="C1191" i="1"/>
  <c r="C1192" i="1"/>
  <c r="C1193" i="1"/>
  <c r="C1194" i="1"/>
  <c r="C1195" i="1"/>
  <c r="C203" i="1"/>
  <c r="C1196" i="1"/>
  <c r="C1197" i="1"/>
  <c r="C1198" i="1"/>
  <c r="C1199" i="1"/>
  <c r="C1200" i="1"/>
  <c r="C1201" i="1"/>
  <c r="C1202" i="1"/>
  <c r="C1203" i="1"/>
  <c r="C1204" i="1"/>
  <c r="C1205" i="1"/>
  <c r="C204" i="1"/>
  <c r="C1206" i="1"/>
  <c r="C1207" i="1"/>
  <c r="C1208" i="1"/>
  <c r="C1209" i="1"/>
  <c r="C1210" i="1"/>
  <c r="C1211" i="1"/>
  <c r="C1212" i="1"/>
  <c r="C1213" i="1"/>
  <c r="C205" i="1"/>
  <c r="C1214" i="1"/>
  <c r="C1215" i="1"/>
  <c r="C1216" i="1"/>
  <c r="C1217" i="1"/>
  <c r="C206" i="1"/>
  <c r="C207" i="1"/>
  <c r="C1218" i="1"/>
  <c r="C1219" i="1"/>
  <c r="C1220" i="1"/>
  <c r="C1221" i="1"/>
  <c r="C1222" i="1"/>
  <c r="C1223" i="1"/>
  <c r="C1224" i="1"/>
  <c r="C208" i="1"/>
  <c r="C1225" i="1"/>
  <c r="C1226" i="1"/>
  <c r="C209" i="1"/>
  <c r="C210" i="1"/>
  <c r="C211" i="1"/>
  <c r="C1227" i="1"/>
  <c r="C1228" i="1"/>
  <c r="C1229" i="1"/>
  <c r="C1230" i="1"/>
  <c r="C1231" i="1"/>
  <c r="C1232" i="1"/>
  <c r="C1233" i="1"/>
  <c r="C1234" i="1"/>
  <c r="C1235" i="1"/>
  <c r="C212" i="1"/>
  <c r="C1236" i="1"/>
  <c r="C1237" i="1"/>
  <c r="C1238" i="1"/>
  <c r="C1239" i="1"/>
  <c r="C1240" i="1"/>
  <c r="C1241" i="1"/>
  <c r="C1242" i="1"/>
  <c r="C1243" i="1"/>
  <c r="C1244" i="1"/>
  <c r="C1245" i="1"/>
  <c r="C1246" i="1"/>
  <c r="C213" i="1"/>
  <c r="C1247" i="1"/>
  <c r="C214" i="1"/>
  <c r="C1248" i="1"/>
  <c r="C1249" i="1"/>
  <c r="C1250" i="1"/>
  <c r="C1251" i="1"/>
  <c r="C1252" i="1"/>
  <c r="C1253" i="1"/>
  <c r="C1254" i="1"/>
  <c r="C1255" i="1"/>
  <c r="C1256" i="1"/>
  <c r="C1257" i="1"/>
  <c r="C1258" i="1"/>
  <c r="C215" i="1"/>
  <c r="C1259" i="1"/>
  <c r="C1260" i="1"/>
  <c r="C1261" i="1"/>
  <c r="C1262" i="1"/>
  <c r="C1263" i="1"/>
  <c r="C1264" i="1"/>
  <c r="C216" i="1"/>
  <c r="C1265" i="1"/>
  <c r="C1266" i="1"/>
  <c r="C1267" i="1"/>
  <c r="C1268" i="1"/>
  <c r="C1269" i="1"/>
  <c r="C1270" i="1"/>
  <c r="C1271" i="1"/>
  <c r="C1272" i="1"/>
  <c r="C217" i="1"/>
  <c r="C1273" i="1"/>
  <c r="C1274" i="1"/>
  <c r="C1275" i="1"/>
  <c r="C1276" i="1"/>
  <c r="C1277" i="1"/>
  <c r="C218" i="1"/>
  <c r="C1278" i="1"/>
  <c r="C219" i="1"/>
  <c r="C1279" i="1"/>
  <c r="C1280" i="1"/>
  <c r="C1281" i="1"/>
  <c r="C1282" i="1"/>
  <c r="C1283" i="1"/>
  <c r="C1284" i="1"/>
  <c r="C1285" i="1"/>
  <c r="C1286" i="1"/>
  <c r="C1287" i="1"/>
  <c r="C1288" i="1"/>
  <c r="C1289" i="1"/>
  <c r="C1290" i="1"/>
  <c r="C220" i="1"/>
  <c r="C1291" i="1"/>
  <c r="C221" i="1"/>
  <c r="C1292" i="1"/>
  <c r="C1293" i="1"/>
  <c r="C1294" i="1"/>
  <c r="C1295" i="1"/>
  <c r="C1296" i="1"/>
  <c r="C1297" i="1"/>
  <c r="C1298" i="1"/>
  <c r="C1299" i="1"/>
  <c r="C1300" i="1"/>
  <c r="C1301" i="1"/>
  <c r="C1302" i="1"/>
  <c r="C1303" i="1"/>
  <c r="C1304" i="1"/>
  <c r="C1305" i="1"/>
  <c r="C1306" i="1"/>
  <c r="C1307" i="1"/>
  <c r="C1308" i="1"/>
  <c r="C1309" i="1"/>
  <c r="C1310" i="1"/>
  <c r="C222" i="1"/>
  <c r="C1311" i="1"/>
  <c r="C1312" i="1"/>
  <c r="C1313" i="1"/>
  <c r="C1314" i="1"/>
  <c r="C1315" i="1"/>
  <c r="C1316" i="1"/>
  <c r="C1317" i="1"/>
  <c r="C1318" i="1"/>
  <c r="C223" i="1"/>
  <c r="C224" i="1"/>
  <c r="C1319" i="1"/>
  <c r="C1320" i="1"/>
  <c r="C1321" i="1"/>
  <c r="C1322" i="1"/>
  <c r="C1323" i="1"/>
  <c r="C1324" i="1"/>
  <c r="C1325" i="1"/>
  <c r="C1326" i="1"/>
  <c r="C1327" i="1"/>
  <c r="C1328" i="1"/>
  <c r="C1329" i="1"/>
  <c r="C1330" i="1"/>
  <c r="C1331" i="1"/>
  <c r="C1332" i="1"/>
  <c r="C1333" i="1"/>
  <c r="C1334" i="1"/>
  <c r="C225" i="1"/>
  <c r="C1335" i="1"/>
  <c r="C1336" i="1"/>
  <c r="C1337" i="1"/>
  <c r="C1338" i="1"/>
  <c r="C1339" i="1"/>
  <c r="C1340" i="1"/>
  <c r="C1341" i="1"/>
  <c r="C226" i="1"/>
  <c r="C1342" i="1"/>
  <c r="C1343" i="1"/>
  <c r="C1344" i="1"/>
  <c r="C1345" i="1"/>
  <c r="C227" i="1"/>
  <c r="C1346" i="1"/>
  <c r="C1347" i="1"/>
  <c r="C1348" i="1"/>
  <c r="C1349" i="1"/>
  <c r="C1350" i="1"/>
  <c r="C1351" i="1"/>
  <c r="C1352" i="1"/>
  <c r="C1353" i="1"/>
  <c r="C1354" i="1"/>
  <c r="C1355" i="1"/>
  <c r="C1356" i="1"/>
  <c r="C228" i="1"/>
  <c r="C1357" i="1"/>
  <c r="C1358" i="1"/>
  <c r="C229"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230" i="1"/>
  <c r="C1405" i="1"/>
  <c r="C1406" i="1"/>
  <c r="C1407" i="1"/>
  <c r="C1408" i="1"/>
  <c r="C1409" i="1"/>
  <c r="C231" i="1"/>
  <c r="C232" i="1"/>
  <c r="C1410" i="1"/>
  <c r="C1411" i="1"/>
  <c r="C1412" i="1"/>
  <c r="C1413" i="1"/>
  <c r="C1414" i="1"/>
  <c r="C1415" i="1"/>
  <c r="C1416" i="1"/>
  <c r="C1417" i="1"/>
  <c r="C1418" i="1"/>
  <c r="C1419" i="1"/>
  <c r="C1420" i="1"/>
  <c r="C1421" i="1"/>
  <c r="C1422" i="1"/>
  <c r="C1423" i="1"/>
  <c r="C1424" i="1"/>
  <c r="C1425" i="1"/>
  <c r="C1426" i="1"/>
  <c r="C233"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234" i="1"/>
  <c r="C1452" i="1"/>
  <c r="C235" i="1"/>
  <c r="C1453" i="1"/>
  <c r="C236" i="1"/>
  <c r="C1454" i="1"/>
  <c r="C1455" i="1"/>
  <c r="C1456" i="1"/>
  <c r="C237" i="1"/>
  <c r="C1457" i="1"/>
  <c r="C1458" i="1"/>
  <c r="C238" i="1"/>
  <c r="C1459" i="1"/>
  <c r="C1460" i="1"/>
  <c r="C1461" i="1"/>
  <c r="C1462" i="1"/>
  <c r="C239" i="1"/>
  <c r="C1463" i="1"/>
  <c r="C1464" i="1"/>
  <c r="C1465" i="1"/>
  <c r="C1466" i="1"/>
  <c r="C240" i="1"/>
  <c r="C1467" i="1"/>
  <c r="C1468" i="1"/>
  <c r="C1469" i="1"/>
  <c r="C1470" i="1"/>
  <c r="C1471" i="1"/>
  <c r="C1472" i="1"/>
  <c r="C2" i="1"/>
  <c r="D12" i="17"/>
  <c r="D9" i="17"/>
  <c r="D11" i="17"/>
  <c r="D10" i="17"/>
  <c r="E11" i="20"/>
  <c r="E10" i="20"/>
  <c r="E9" i="20"/>
  <c r="C9" i="18" l="1"/>
  <c r="C8" i="18"/>
  <c r="B8" i="18"/>
  <c r="B9" i="18"/>
  <c r="B6" i="15"/>
  <c r="B5" i="15"/>
  <c r="B6" i="14"/>
  <c r="B5" i="14"/>
  <c r="B6" i="9"/>
  <c r="B5" i="9"/>
  <c r="C7" i="24"/>
  <c r="B7" i="24"/>
  <c r="B8" i="24"/>
  <c r="B9" i="24"/>
  <c r="B10" i="24"/>
  <c r="C8" i="24"/>
  <c r="C9" i="24"/>
  <c r="C10" i="24"/>
  <c r="D20" i="21"/>
  <c r="I19" i="21" s="1"/>
  <c r="D20" i="19"/>
  <c r="H17" i="19" s="1"/>
  <c r="AI1177" i="1"/>
  <c r="AI968" i="1"/>
  <c r="AI646" i="1"/>
  <c r="AI58" i="1"/>
  <c r="AI260" i="1"/>
  <c r="AI1138" i="1"/>
  <c r="AI686" i="1"/>
  <c r="AI451" i="1"/>
  <c r="AI247" i="1"/>
  <c r="AI1347" i="1"/>
  <c r="AI197" i="1"/>
  <c r="AI168" i="1"/>
  <c r="AI145" i="1"/>
  <c r="AI722" i="1"/>
  <c r="AI590" i="1"/>
  <c r="AI482" i="1"/>
  <c r="AI292" i="1"/>
  <c r="AI1250" i="1"/>
  <c r="AI906" i="1"/>
  <c r="AI741" i="1"/>
  <c r="AI572" i="1"/>
  <c r="AI397" i="1"/>
  <c r="AI274" i="1"/>
  <c r="AI1389" i="1"/>
  <c r="AI1120" i="1"/>
  <c r="AI947" i="1"/>
  <c r="AI817" i="1"/>
  <c r="AI780" i="1"/>
  <c r="AI666" i="1"/>
  <c r="AI95" i="1"/>
  <c r="AI433" i="1"/>
  <c r="AI328" i="1"/>
  <c r="AI1367" i="1"/>
  <c r="AI1215" i="1"/>
  <c r="AI925" i="1"/>
  <c r="AI466" i="1"/>
  <c r="AI310" i="1"/>
  <c r="AI1429" i="1"/>
  <c r="AI1045" i="1"/>
  <c r="AI763" i="1"/>
  <c r="AI141" i="1"/>
  <c r="AI607" i="1"/>
  <c r="AI344" i="1"/>
  <c r="AI1289" i="1"/>
  <c r="AI1025" i="1"/>
  <c r="AI762" i="1"/>
  <c r="AI625" i="1"/>
  <c r="AI517" i="1"/>
  <c r="AI362" i="1"/>
  <c r="AI240" i="1"/>
  <c r="AI1270" i="1"/>
  <c r="AI1064" i="1"/>
  <c r="AI149" i="1"/>
  <c r="AI139" i="1"/>
  <c r="AI705" i="1"/>
  <c r="AI535" i="1"/>
  <c r="AI498" i="1"/>
  <c r="AI382" i="1"/>
  <c r="AI1328" i="1"/>
  <c r="AI1084" i="1"/>
  <c r="AI797" i="1"/>
  <c r="AI1103" i="1"/>
  <c r="AI1309" i="1"/>
  <c r="AI146" i="1"/>
  <c r="AI1451" i="1"/>
  <c r="AI1231" i="1"/>
  <c r="AI1005" i="1"/>
  <c r="AI781" i="1"/>
  <c r="AI231" i="1"/>
  <c r="AI203" i="1"/>
  <c r="AI869" i="1"/>
  <c r="AI1136" i="1"/>
  <c r="AI965" i="1"/>
  <c r="AI1387" i="1"/>
  <c r="AI205" i="1"/>
  <c r="AI1448" i="1"/>
  <c r="AI1286" i="1"/>
  <c r="AI1117" i="1"/>
  <c r="AI834" i="1"/>
  <c r="AI88" i="1"/>
  <c r="AI360" i="1"/>
  <c r="AI1365" i="1"/>
  <c r="AI1062" i="1"/>
  <c r="AI1364" i="1"/>
  <c r="AI1193" i="1"/>
  <c r="AI1022" i="1"/>
  <c r="AI851" i="1"/>
  <c r="AI125" i="1"/>
  <c r="AI605" i="1"/>
  <c r="AI449" i="1"/>
  <c r="AI41" i="1"/>
  <c r="AI120" i="1"/>
  <c r="AI108" i="1"/>
  <c r="AI53" i="1"/>
  <c r="AI1408" i="1"/>
  <c r="AI1194" i="1"/>
  <c r="AI1083" i="1"/>
  <c r="AI1464" i="1"/>
  <c r="AI1345" i="1"/>
  <c r="AI214" i="1"/>
  <c r="AI1175" i="1"/>
  <c r="AI1042" i="1"/>
  <c r="AI903" i="1"/>
  <c r="AI760" i="1"/>
  <c r="AI644" i="1"/>
  <c r="AI99" i="1"/>
  <c r="AI431" i="1"/>
  <c r="AI22" i="1"/>
  <c r="AI719" i="1"/>
  <c r="AI531" i="1"/>
  <c r="AI446" i="1"/>
  <c r="AI357" i="1"/>
  <c r="AI287" i="1"/>
  <c r="AI257" i="1"/>
  <c r="AI154" i="1"/>
  <c r="AI97" i="1"/>
  <c r="AI376" i="1"/>
  <c r="AI272" i="1"/>
  <c r="AI1465" i="1"/>
  <c r="AI1176" i="1"/>
  <c r="AI1386" i="1"/>
  <c r="AI944" i="1"/>
  <c r="AI380" i="1"/>
  <c r="AI85" i="1"/>
  <c r="AI306" i="1"/>
  <c r="AI660" i="1"/>
  <c r="AI322" i="1"/>
  <c r="AI1307" i="1"/>
  <c r="AI1118" i="1"/>
  <c r="AI1306" i="1"/>
  <c r="AI194" i="1"/>
  <c r="AI886" i="1"/>
  <c r="AI117" i="1"/>
  <c r="AI496" i="1"/>
  <c r="AI326" i="1"/>
  <c r="AI550" i="1"/>
  <c r="AI429" i="1"/>
  <c r="AI342" i="1"/>
  <c r="AI273" i="1"/>
  <c r="AI602" i="1"/>
  <c r="AI428" i="1"/>
  <c r="AI305" i="1"/>
  <c r="AI1113" i="1"/>
  <c r="AI982" i="1"/>
  <c r="AI810" i="1"/>
  <c r="AI111" i="1"/>
  <c r="AI478" i="1"/>
  <c r="AI271" i="1"/>
  <c r="AI1326" i="1"/>
  <c r="AI355" i="1"/>
  <c r="AI1427" i="1"/>
  <c r="AI106" i="1"/>
  <c r="AI1102" i="1"/>
  <c r="AI1150" i="1"/>
  <c r="AI12" i="1"/>
  <c r="AI1281" i="1"/>
  <c r="AI202" i="1"/>
  <c r="AI1017" i="1"/>
  <c r="AI918" i="1"/>
  <c r="AI881" i="1"/>
  <c r="AI755" i="1"/>
  <c r="AI568" i="1"/>
  <c r="AI445" i="1"/>
  <c r="AI1240" i="1"/>
  <c r="AI1166" i="1"/>
  <c r="AI1054" i="1"/>
  <c r="AI995" i="1"/>
  <c r="AI163" i="1"/>
  <c r="AI843" i="1"/>
  <c r="AI713" i="1"/>
  <c r="AI616" i="1"/>
  <c r="AI489" i="1"/>
  <c r="AI459" i="1"/>
  <c r="AI406" i="1"/>
  <c r="AI45" i="1"/>
  <c r="AI301" i="1"/>
  <c r="AI1398" i="1"/>
  <c r="AI1376" i="1"/>
  <c r="AI1092" i="1"/>
  <c r="AI1397" i="1"/>
  <c r="AI1268" i="1"/>
  <c r="AI1023" i="1"/>
  <c r="AI1325" i="1"/>
  <c r="AI1213" i="1"/>
  <c r="AI1082" i="1"/>
  <c r="AI987" i="1"/>
  <c r="AI795" i="1"/>
  <c r="AI553" i="1"/>
  <c r="AI414" i="1"/>
  <c r="AI245" i="1"/>
  <c r="AI736" i="1"/>
  <c r="AI113" i="1"/>
  <c r="AI586" i="1"/>
  <c r="AI513" i="1"/>
  <c r="AI5" i="1"/>
  <c r="AI681" i="1"/>
  <c r="AI530" i="1"/>
  <c r="AI393" i="1"/>
  <c r="AI4" i="1"/>
  <c r="AI1443" i="1"/>
  <c r="AI1381" i="1"/>
  <c r="AI1341" i="1"/>
  <c r="AI1226" i="1"/>
  <c r="AI1096" i="1"/>
  <c r="AI998" i="1"/>
  <c r="AI846" i="1"/>
  <c r="AI734" i="1"/>
  <c r="AI659" i="1"/>
  <c r="AI529" i="1"/>
  <c r="AI427" i="1"/>
  <c r="AI375" i="1"/>
  <c r="AI285" i="1"/>
  <c r="AI1259" i="1"/>
  <c r="AI1186" i="1"/>
  <c r="AI1093" i="1"/>
  <c r="AI978" i="1"/>
  <c r="AI160" i="1"/>
  <c r="AI789" i="1"/>
  <c r="AI696" i="1"/>
  <c r="AI581" i="1"/>
  <c r="AI475" i="1"/>
  <c r="AI423" i="1"/>
  <c r="AI336" i="1"/>
  <c r="AI1072" i="1"/>
  <c r="AI712" i="1"/>
  <c r="AI1263" i="1"/>
  <c r="AI770" i="1"/>
  <c r="AI227" i="1"/>
  <c r="AI1248" i="1"/>
  <c r="AI1156" i="1"/>
  <c r="AI1003" i="1"/>
  <c r="AI1407" i="1"/>
  <c r="AI1267" i="1"/>
  <c r="AI1155" i="1"/>
  <c r="AI1002" i="1"/>
  <c r="AI866" i="1"/>
  <c r="AI778" i="1"/>
  <c r="AI739" i="1"/>
  <c r="AI664" i="1"/>
  <c r="AI534" i="1"/>
  <c r="AI481" i="1"/>
  <c r="AI396" i="1"/>
  <c r="AI309" i="1"/>
  <c r="AI661" i="1"/>
  <c r="AI621" i="1"/>
  <c r="AI98" i="1"/>
  <c r="AI78" i="1"/>
  <c r="AI323" i="1"/>
  <c r="AI585" i="1"/>
  <c r="AI549" i="1"/>
  <c r="AI77" i="1"/>
  <c r="AI70" i="1"/>
  <c r="AI411" i="1"/>
  <c r="AI341" i="1"/>
  <c r="AI256" i="1"/>
  <c r="AI180" i="1"/>
  <c r="AI961" i="1"/>
  <c r="AI899" i="1"/>
  <c r="AI792" i="1"/>
  <c r="AI699" i="1"/>
  <c r="AI584" i="1"/>
  <c r="AI87" i="1"/>
  <c r="AI410" i="1"/>
  <c r="AI30" i="1"/>
  <c r="AI1399" i="1"/>
  <c r="AI1146" i="1"/>
  <c r="AI1073" i="1"/>
  <c r="AI153" i="1"/>
  <c r="AI731" i="1"/>
  <c r="AI636" i="1"/>
  <c r="AI508" i="1"/>
  <c r="AI389" i="1"/>
  <c r="AI19" i="1"/>
  <c r="AI1449" i="1"/>
  <c r="AI1229" i="1"/>
  <c r="AI988" i="1"/>
  <c r="AI233" i="1"/>
  <c r="AI1228" i="1"/>
  <c r="AI1061" i="1"/>
  <c r="AI922" i="1"/>
  <c r="AI815" i="1"/>
  <c r="AI703" i="1"/>
  <c r="AI103" i="1"/>
  <c r="AI465" i="1"/>
  <c r="AI290" i="1"/>
  <c r="AI682" i="1"/>
  <c r="AI71" i="1"/>
  <c r="AI377" i="1"/>
  <c r="AI641" i="1"/>
  <c r="AI84" i="1"/>
  <c r="AI356" i="1"/>
  <c r="AI1132" i="1"/>
  <c r="AI863" i="1"/>
  <c r="AI774" i="1"/>
  <c r="AI107" i="1"/>
  <c r="AI493" i="1"/>
  <c r="AI392" i="1"/>
  <c r="AI340" i="1"/>
  <c r="AI321" i="1"/>
  <c r="AI3" i="1"/>
  <c r="AI1377" i="1"/>
  <c r="AI1297" i="1"/>
  <c r="AI1205" i="1"/>
  <c r="AI189" i="1"/>
  <c r="AI1014" i="1"/>
  <c r="AI935" i="1"/>
  <c r="AI826" i="1"/>
  <c r="AI751" i="1"/>
  <c r="AI655" i="1"/>
  <c r="AI544" i="1"/>
  <c r="AI318" i="1"/>
  <c r="AI1287" i="1"/>
  <c r="AI1043" i="1"/>
  <c r="AI1101" i="1"/>
  <c r="AI624" i="1"/>
  <c r="AI259" i="1"/>
  <c r="AI57" i="1"/>
  <c r="AI620" i="1"/>
  <c r="AI512" i="1"/>
  <c r="AI66" i="1"/>
  <c r="AI286" i="1"/>
  <c r="AI1460" i="1"/>
  <c r="AI1422" i="1"/>
  <c r="AI1403" i="1"/>
  <c r="AI1359" i="1"/>
  <c r="AI1320" i="1"/>
  <c r="AI1301" i="1"/>
  <c r="AI1244" i="1"/>
  <c r="AI1208" i="1"/>
  <c r="AI1170" i="1"/>
  <c r="AI1077" i="1"/>
  <c r="AI1037" i="1"/>
  <c r="AI939" i="1"/>
  <c r="AI830" i="1"/>
  <c r="AI717" i="1"/>
  <c r="AI680" i="1"/>
  <c r="AI640" i="1"/>
  <c r="AI548" i="1"/>
  <c r="AI463" i="1"/>
  <c r="AI255" i="1"/>
  <c r="AI1278" i="1"/>
  <c r="AI1223" i="1"/>
  <c r="AI1128" i="1"/>
  <c r="AI177" i="1"/>
  <c r="AI957" i="1"/>
  <c r="AI157" i="1"/>
  <c r="AI140" i="1"/>
  <c r="AI676" i="1"/>
  <c r="AI564" i="1"/>
  <c r="AI525" i="1"/>
  <c r="AI442" i="1"/>
  <c r="AI371" i="1"/>
  <c r="AI283" i="1"/>
  <c r="AI131" i="1"/>
  <c r="AI1468" i="1"/>
  <c r="AI1452" i="1"/>
  <c r="AI1431" i="1"/>
  <c r="AI1410" i="1"/>
  <c r="AI1391" i="1"/>
  <c r="AI1369" i="1"/>
  <c r="AI1349" i="1"/>
  <c r="AI1330" i="1"/>
  <c r="AI222" i="1"/>
  <c r="AI220" i="1"/>
  <c r="AI1272" i="1"/>
  <c r="AI1252" i="1"/>
  <c r="AI1233" i="1"/>
  <c r="AI1217" i="1"/>
  <c r="AI1197" i="1"/>
  <c r="AI1179" i="1"/>
  <c r="AI1159" i="1"/>
  <c r="AI195" i="1"/>
  <c r="AI1121" i="1"/>
  <c r="AI187" i="1"/>
  <c r="AI1086" i="1"/>
  <c r="AI181" i="1"/>
  <c r="AI178" i="1"/>
  <c r="AI1027" i="1"/>
  <c r="AI1007" i="1"/>
  <c r="AI169" i="1"/>
  <c r="AI970" i="1"/>
  <c r="AI949" i="1"/>
  <c r="AI927" i="1"/>
  <c r="AI908" i="1"/>
  <c r="AI891" i="1"/>
  <c r="AI871" i="1"/>
  <c r="AI855" i="1"/>
  <c r="AI836" i="1"/>
  <c r="AI819" i="1"/>
  <c r="AI799" i="1"/>
  <c r="AI783" i="1"/>
  <c r="AI765" i="1"/>
  <c r="AI743" i="1"/>
  <c r="AI724" i="1"/>
  <c r="AI121" i="1"/>
  <c r="AI689" i="1"/>
  <c r="AI669" i="1"/>
  <c r="AI1366" i="1"/>
  <c r="AI1063" i="1"/>
  <c r="AI1004" i="1"/>
  <c r="AI924" i="1"/>
  <c r="AI1450" i="1"/>
  <c r="AI1327" i="1"/>
  <c r="AI1249" i="1"/>
  <c r="AI199" i="1"/>
  <c r="AI1157" i="1"/>
  <c r="AI182" i="1"/>
  <c r="AI1024" i="1"/>
  <c r="AI946" i="1"/>
  <c r="AI1230" i="1"/>
  <c r="AI889" i="1"/>
  <c r="AI1346" i="1"/>
  <c r="AI1288" i="1"/>
  <c r="AI1214" i="1"/>
  <c r="AI167" i="1"/>
  <c r="AI888" i="1"/>
  <c r="AI1058" i="1"/>
  <c r="AI1409" i="1"/>
  <c r="AI1269" i="1"/>
  <c r="AI1195" i="1"/>
  <c r="AI1119" i="1"/>
  <c r="AI185" i="1"/>
  <c r="AI1044" i="1"/>
  <c r="AI967" i="1"/>
  <c r="AI905" i="1"/>
  <c r="AI1462" i="1"/>
  <c r="AI1210" i="1"/>
  <c r="AI1172" i="1"/>
  <c r="AI1079" i="1"/>
  <c r="AI999" i="1"/>
  <c r="AI883" i="1"/>
  <c r="AI1108" i="1"/>
  <c r="AI1461" i="1"/>
  <c r="AI1444" i="1"/>
  <c r="AI1423" i="1"/>
  <c r="AI1404" i="1"/>
  <c r="AI1382" i="1"/>
  <c r="AI226" i="1"/>
  <c r="AI1321" i="1"/>
  <c r="AI1302" i="1"/>
  <c r="AI1282" i="1"/>
  <c r="AI1264" i="1"/>
  <c r="AI1245" i="1"/>
  <c r="AI209" i="1"/>
  <c r="AI1209" i="1"/>
  <c r="AI1466" i="1"/>
  <c r="AI1388" i="1"/>
  <c r="AI1308" i="1"/>
  <c r="AI853" i="1"/>
  <c r="AI1424" i="1"/>
  <c r="AI1342" i="1"/>
  <c r="AI1303" i="1"/>
  <c r="AI216" i="1"/>
  <c r="AI1115" i="1"/>
  <c r="AI984" i="1"/>
  <c r="AI920" i="1"/>
  <c r="AI901" i="1"/>
  <c r="AI143" i="1"/>
  <c r="AI812" i="1"/>
  <c r="AI133" i="1"/>
  <c r="AI757" i="1"/>
  <c r="AI1375" i="1"/>
  <c r="AI805" i="1"/>
  <c r="AI91" i="1"/>
  <c r="AI1360" i="1"/>
  <c r="AI1428" i="1"/>
  <c r="AI1137" i="1"/>
  <c r="AI868" i="1"/>
  <c r="AI230" i="1"/>
  <c r="AI1383" i="1"/>
  <c r="AI1361" i="1"/>
  <c r="AI1322" i="1"/>
  <c r="AI1283" i="1"/>
  <c r="AI1246" i="1"/>
  <c r="AI1190" i="1"/>
  <c r="AI1134" i="1"/>
  <c r="AI1039" i="1"/>
  <c r="AI1019" i="1"/>
  <c r="AI963" i="1"/>
  <c r="AI155" i="1"/>
  <c r="AI1445" i="1"/>
  <c r="AI210" i="1"/>
  <c r="AI1152" i="1"/>
  <c r="AI1098" i="1"/>
  <c r="AI941" i="1"/>
  <c r="AI848" i="1"/>
  <c r="AI794" i="1"/>
  <c r="AI29" i="1"/>
  <c r="AI1472" i="1"/>
  <c r="AI1373" i="1"/>
  <c r="AI1293" i="1"/>
  <c r="AI1219" i="1"/>
  <c r="AI1143" i="1"/>
  <c r="AI991" i="1"/>
  <c r="AI912" i="1"/>
  <c r="AI840" i="1"/>
  <c r="AI561" i="1"/>
  <c r="AI1395" i="1"/>
  <c r="AI1314" i="1"/>
  <c r="AI1201" i="1"/>
  <c r="AI1106" i="1"/>
  <c r="AI1069" i="1"/>
  <c r="AI1050" i="1"/>
  <c r="AI953" i="1"/>
  <c r="AI142" i="1"/>
  <c r="AI693" i="1"/>
  <c r="AI595" i="1"/>
  <c r="AI486" i="1"/>
  <c r="AI1454" i="1"/>
  <c r="AI1414" i="1"/>
  <c r="AI1334" i="1"/>
  <c r="AI1275" i="1"/>
  <c r="AI1256" i="1"/>
  <c r="AI1163" i="1"/>
  <c r="AI1011" i="1"/>
  <c r="AI974" i="1"/>
  <c r="AI894" i="1"/>
  <c r="AI858" i="1"/>
  <c r="AI803" i="1"/>
  <c r="AI747" i="1"/>
  <c r="AI122" i="1"/>
  <c r="AI672" i="1"/>
  <c r="AI632" i="1"/>
  <c r="AI577" i="1"/>
  <c r="AI471" i="1"/>
  <c r="AI455" i="1"/>
  <c r="AI439" i="1"/>
  <c r="AI420" i="1"/>
  <c r="AI56" i="1"/>
  <c r="AI386" i="1"/>
  <c r="AI368" i="1"/>
  <c r="AI349" i="1"/>
  <c r="AI333" i="1"/>
  <c r="AI316" i="1"/>
  <c r="AI298" i="1"/>
  <c r="AI280" i="1"/>
  <c r="AI266" i="1"/>
  <c r="AI11" i="1"/>
  <c r="AI317" i="1"/>
  <c r="AI1435" i="1"/>
  <c r="AI1353" i="1"/>
  <c r="AI1236" i="1"/>
  <c r="AI1183" i="1"/>
  <c r="AI1124" i="1"/>
  <c r="AI1089" i="1"/>
  <c r="AI1031" i="1"/>
  <c r="AI931" i="1"/>
  <c r="AI875" i="1"/>
  <c r="AI135" i="1"/>
  <c r="AI728" i="1"/>
  <c r="AI115" i="1"/>
  <c r="AI612" i="1"/>
  <c r="AI540" i="1"/>
  <c r="AI90" i="1"/>
  <c r="AI505" i="1"/>
  <c r="AI648" i="1"/>
  <c r="AI610" i="1"/>
  <c r="AI104" i="1"/>
  <c r="AI574" i="1"/>
  <c r="AI557" i="1"/>
  <c r="AI93" i="1"/>
  <c r="AI520" i="1"/>
  <c r="AI501" i="1"/>
  <c r="AI484" i="1"/>
  <c r="AI469" i="1"/>
  <c r="AI452" i="1"/>
  <c r="AI436" i="1"/>
  <c r="AI60" i="1"/>
  <c r="AI400" i="1"/>
  <c r="AI42" i="1"/>
  <c r="AI330" i="1"/>
  <c r="AI32" i="1"/>
  <c r="AI295" i="1"/>
  <c r="AI276" i="1"/>
  <c r="AI249" i="1"/>
  <c r="AI628" i="1"/>
  <c r="AI385" i="1"/>
  <c r="AI365" i="1"/>
  <c r="AI16" i="1"/>
  <c r="AI129" i="1"/>
  <c r="AI126" i="1"/>
  <c r="AI706" i="1"/>
  <c r="AI687" i="1"/>
  <c r="AI667" i="1"/>
  <c r="AI114" i="1"/>
  <c r="AI626" i="1"/>
  <c r="AI608" i="1"/>
  <c r="AI591" i="1"/>
  <c r="AI100" i="1"/>
  <c r="AI555" i="1"/>
  <c r="AI536" i="1"/>
  <c r="AI518" i="1"/>
  <c r="AI499" i="1"/>
  <c r="AI80" i="1"/>
  <c r="AI467" i="1"/>
  <c r="AI67" i="1"/>
  <c r="AI434" i="1"/>
  <c r="AI59" i="1"/>
  <c r="AI398" i="1"/>
  <c r="AI383" i="1"/>
  <c r="AI363" i="1"/>
  <c r="AI345" i="1"/>
  <c r="AI329" i="1"/>
  <c r="AI311" i="1"/>
  <c r="AI293" i="1"/>
  <c r="AI275" i="1"/>
  <c r="AI261" i="1"/>
  <c r="AI7" i="1"/>
  <c r="AI885" i="1"/>
  <c r="AI865" i="1"/>
  <c r="AI850" i="1"/>
  <c r="AI833" i="1"/>
  <c r="AI814" i="1"/>
  <c r="AI138" i="1"/>
  <c r="AI777" i="1"/>
  <c r="AI759" i="1"/>
  <c r="AI738" i="1"/>
  <c r="AI124" i="1"/>
  <c r="AI702" i="1"/>
  <c r="AI684" i="1"/>
  <c r="AI663" i="1"/>
  <c r="AI643" i="1"/>
  <c r="AI623" i="1"/>
  <c r="AI604" i="1"/>
  <c r="AI588" i="1"/>
  <c r="AI570" i="1"/>
  <c r="AI552" i="1"/>
  <c r="AI533" i="1"/>
  <c r="AI515" i="1"/>
  <c r="AI495" i="1"/>
  <c r="AI480" i="1"/>
  <c r="AI72" i="1"/>
  <c r="AI448" i="1"/>
  <c r="AI457" i="1"/>
  <c r="AI64" i="1"/>
  <c r="AI1171" i="1"/>
  <c r="AI1097" i="1"/>
  <c r="AI1078" i="1"/>
  <c r="AI1057" i="1"/>
  <c r="AI1018" i="1"/>
  <c r="AI847" i="1"/>
  <c r="AI831" i="1"/>
  <c r="AI793" i="1"/>
  <c r="AI718" i="1"/>
  <c r="AI1455" i="1"/>
  <c r="AI1436" i="1"/>
  <c r="AI1415" i="1"/>
  <c r="AI1396" i="1"/>
  <c r="AI1374" i="1"/>
  <c r="AI1354" i="1"/>
  <c r="AI225" i="1"/>
  <c r="AI1315" i="1"/>
  <c r="AI1294" i="1"/>
  <c r="AI1276" i="1"/>
  <c r="AI1257" i="1"/>
  <c r="AI1237" i="1"/>
  <c r="AI1220" i="1"/>
  <c r="AI1202" i="1"/>
  <c r="AI200" i="1"/>
  <c r="AI198" i="1"/>
  <c r="AI196" i="1"/>
  <c r="AI1125" i="1"/>
  <c r="AI1107" i="1"/>
  <c r="AI1090" i="1"/>
  <c r="AI1070" i="1"/>
  <c r="AI1051" i="1"/>
  <c r="AI176" i="1"/>
  <c r="AI174" i="1"/>
  <c r="AI992" i="1"/>
  <c r="AI975" i="1"/>
  <c r="AI954" i="1"/>
  <c r="AI932" i="1"/>
  <c r="AI913" i="1"/>
  <c r="AI159" i="1"/>
  <c r="AI876" i="1"/>
  <c r="AI151" i="1"/>
  <c r="AI841" i="1"/>
  <c r="AI823" i="1"/>
  <c r="AI804" i="1"/>
  <c r="AI786" i="1"/>
  <c r="AI768" i="1"/>
  <c r="AI748" i="1"/>
  <c r="AI729" i="1"/>
  <c r="AI123" i="1"/>
  <c r="AI118" i="1"/>
  <c r="AI673" i="1"/>
  <c r="AI652" i="1"/>
  <c r="AI633" i="1"/>
  <c r="AI613" i="1"/>
  <c r="AI596" i="1"/>
  <c r="AI578" i="1"/>
  <c r="AI562" i="1"/>
  <c r="AI541" i="1"/>
  <c r="AI523" i="1"/>
  <c r="AI506" i="1"/>
  <c r="AI487" i="1"/>
  <c r="AI472" i="1"/>
  <c r="AI456" i="1"/>
  <c r="AI440" i="1"/>
  <c r="AI421" i="1"/>
  <c r="AI403" i="1"/>
  <c r="AI51" i="1"/>
  <c r="AI334" i="1"/>
  <c r="AI1189" i="1"/>
  <c r="AI1151" i="1"/>
  <c r="AI1133" i="1"/>
  <c r="AI1114" i="1"/>
  <c r="AI1038" i="1"/>
  <c r="AI173" i="1"/>
  <c r="AI983" i="1"/>
  <c r="AI962" i="1"/>
  <c r="AI940" i="1"/>
  <c r="AI919" i="1"/>
  <c r="AI900" i="1"/>
  <c r="AI882" i="1"/>
  <c r="AI811" i="1"/>
  <c r="AI775" i="1"/>
  <c r="AI756" i="1"/>
  <c r="AI735" i="1"/>
  <c r="AI700" i="1"/>
  <c r="AI1459" i="1"/>
  <c r="AI1442" i="1"/>
  <c r="AI1421" i="1"/>
  <c r="AI1402" i="1"/>
  <c r="AI1380" i="1"/>
  <c r="AI229" i="1"/>
  <c r="AI1340" i="1"/>
  <c r="AI1319" i="1"/>
  <c r="AI1300" i="1"/>
  <c r="AI1280" i="1"/>
  <c r="AI1262" i="1"/>
  <c r="AI1243" i="1"/>
  <c r="AI1225" i="1"/>
  <c r="AI1207" i="1"/>
  <c r="AI1188" i="1"/>
  <c r="AI1169" i="1"/>
  <c r="AI1149" i="1"/>
  <c r="AI1131" i="1"/>
  <c r="AI1112" i="1"/>
  <c r="AI184" i="1"/>
  <c r="AI1076" i="1"/>
  <c r="AI1056" i="1"/>
  <c r="AI1036" i="1"/>
  <c r="AI1016" i="1"/>
  <c r="AI997" i="1"/>
  <c r="AI981" i="1"/>
  <c r="AI960" i="1"/>
  <c r="AI938" i="1"/>
  <c r="AI917" i="1"/>
  <c r="AI898" i="1"/>
  <c r="AI880" i="1"/>
  <c r="AI862" i="1"/>
  <c r="AI148" i="1"/>
  <c r="AI829" i="1"/>
  <c r="AI809" i="1"/>
  <c r="AI791" i="1"/>
  <c r="AI773" i="1"/>
  <c r="AI754" i="1"/>
  <c r="AI733" i="1"/>
  <c r="AI716" i="1"/>
  <c r="AI698" i="1"/>
  <c r="AI679" i="1"/>
  <c r="AI658" i="1"/>
  <c r="AI639" i="1"/>
  <c r="AI619" i="1"/>
  <c r="AI601" i="1"/>
  <c r="AI583" i="1"/>
  <c r="AI567" i="1"/>
  <c r="AI547" i="1"/>
  <c r="AI528" i="1"/>
  <c r="AI511" i="1"/>
  <c r="AI492" i="1"/>
  <c r="AI76" i="1"/>
  <c r="AI462" i="1"/>
  <c r="AI444" i="1"/>
  <c r="AI426" i="1"/>
  <c r="AI409" i="1"/>
  <c r="AI52" i="1"/>
  <c r="AI374" i="1"/>
  <c r="AI354" i="1"/>
  <c r="AI339" i="1"/>
  <c r="AI320" i="1"/>
  <c r="AI304" i="1"/>
  <c r="AI284" i="1"/>
  <c r="AI270" i="1"/>
  <c r="AI254" i="1"/>
  <c r="AI243" i="1"/>
  <c r="AI1447" i="1"/>
  <c r="AI1344" i="1"/>
  <c r="AI1247" i="1"/>
  <c r="AI1192" i="1"/>
  <c r="AI1116" i="1"/>
  <c r="AI1060" i="1"/>
  <c r="AI1021" i="1"/>
  <c r="AI986" i="1"/>
  <c r="AI943" i="1"/>
  <c r="AI1463" i="1"/>
  <c r="AI1426" i="1"/>
  <c r="AI1406" i="1"/>
  <c r="AI1385" i="1"/>
  <c r="AI1363" i="1"/>
  <c r="AI1324" i="1"/>
  <c r="AI1305" i="1"/>
  <c r="AI1285" i="1"/>
  <c r="AI1266" i="1"/>
  <c r="AI1227" i="1"/>
  <c r="AI1212" i="1"/>
  <c r="AI1174" i="1"/>
  <c r="AI1154" i="1"/>
  <c r="AI193" i="1"/>
  <c r="AI1100" i="1"/>
  <c r="AI1081" i="1"/>
  <c r="AI1041" i="1"/>
  <c r="AI1001" i="1"/>
  <c r="AI964" i="1"/>
  <c r="AI921" i="1"/>
  <c r="AI902" i="1"/>
  <c r="AI1339" i="1"/>
  <c r="AI1279" i="1"/>
  <c r="AI1206" i="1"/>
  <c r="AI1148" i="1"/>
  <c r="AI980" i="1"/>
  <c r="AI1441" i="1"/>
  <c r="AI1401" i="1"/>
  <c r="AI1358" i="1"/>
  <c r="AI224" i="1"/>
  <c r="AI1299" i="1"/>
  <c r="AI1261" i="1"/>
  <c r="AI1242" i="1"/>
  <c r="AI208" i="1"/>
  <c r="AI201" i="1"/>
  <c r="AI1168" i="1"/>
  <c r="AI1130" i="1"/>
  <c r="AI1111" i="1"/>
  <c r="AI1095" i="1"/>
  <c r="AI179" i="1"/>
  <c r="AI1035" i="1"/>
  <c r="AI175" i="1"/>
  <c r="AI996" i="1"/>
  <c r="AI959" i="1"/>
  <c r="AI824" i="1"/>
  <c r="AI238" i="1"/>
  <c r="AI1420" i="1"/>
  <c r="AI1379" i="1"/>
  <c r="AI1075" i="1"/>
  <c r="AI1239" i="1"/>
  <c r="AI1127" i="1"/>
  <c r="AI1033" i="1"/>
  <c r="AI956" i="1"/>
  <c r="AI152" i="1"/>
  <c r="AI788" i="1"/>
  <c r="AI615" i="1"/>
  <c r="AI563" i="1"/>
  <c r="AI524" i="1"/>
  <c r="AI507" i="1"/>
  <c r="AI474" i="1"/>
  <c r="AI458" i="1"/>
  <c r="AI441" i="1"/>
  <c r="AI422" i="1"/>
  <c r="AI405" i="1"/>
  <c r="AI388" i="1"/>
  <c r="AI370" i="1"/>
  <c r="AI335" i="1"/>
  <c r="AI34" i="1"/>
  <c r="AI300" i="1"/>
  <c r="AI237" i="1"/>
  <c r="AI1438" i="1"/>
  <c r="AI1417" i="1"/>
  <c r="AI1356" i="1"/>
  <c r="AI1336" i="1"/>
  <c r="AI1317" i="1"/>
  <c r="AI1296" i="1"/>
  <c r="AI218" i="1"/>
  <c r="AI215" i="1"/>
  <c r="AI1222" i="1"/>
  <c r="AI1204" i="1"/>
  <c r="AI1185" i="1"/>
  <c r="AI1165" i="1"/>
  <c r="AI1145" i="1"/>
  <c r="AI1109" i="1"/>
  <c r="AI1053" i="1"/>
  <c r="AI1013" i="1"/>
  <c r="AI994" i="1"/>
  <c r="AI977" i="1"/>
  <c r="AI934" i="1"/>
  <c r="AI915" i="1"/>
  <c r="AI896" i="1"/>
  <c r="AI156" i="1"/>
  <c r="AI147" i="1"/>
  <c r="AI825" i="1"/>
  <c r="AI806" i="1"/>
  <c r="AI769" i="1"/>
  <c r="AI750" i="1"/>
  <c r="AI730" i="1"/>
  <c r="AI695" i="1"/>
  <c r="AI675" i="1"/>
  <c r="AI654" i="1"/>
  <c r="AI635" i="1"/>
  <c r="AI598" i="1"/>
  <c r="AI580" i="1"/>
  <c r="AI543" i="1"/>
  <c r="AI488" i="1"/>
  <c r="AI1416" i="1"/>
  <c r="AI1355" i="1"/>
  <c r="AI1277" i="1"/>
  <c r="AI1258" i="1"/>
  <c r="AI1238" i="1"/>
  <c r="AI1221" i="1"/>
  <c r="AI1126" i="1"/>
  <c r="AI993" i="1"/>
  <c r="AI976" i="1"/>
  <c r="AI955" i="1"/>
  <c r="AI933" i="1"/>
  <c r="AI859" i="1"/>
  <c r="AI842" i="1"/>
  <c r="AI711" i="1"/>
  <c r="AI694" i="1"/>
  <c r="AI579" i="1"/>
  <c r="AI96" i="1"/>
  <c r="AI542" i="1"/>
  <c r="AI61" i="1"/>
  <c r="AI404" i="1"/>
  <c r="AI38" i="1"/>
  <c r="AI33" i="1"/>
  <c r="AI937" i="1"/>
  <c r="AI861" i="1"/>
  <c r="AI808" i="1"/>
  <c r="AI772" i="1"/>
  <c r="AI715" i="1"/>
  <c r="AI657" i="1"/>
  <c r="AI102" i="1"/>
  <c r="AI527" i="1"/>
  <c r="AI491" i="1"/>
  <c r="AI461" i="1"/>
  <c r="AI391" i="1"/>
  <c r="AI353" i="1"/>
  <c r="AI319" i="1"/>
  <c r="AI269" i="1"/>
  <c r="AI242" i="1"/>
  <c r="AI164" i="1"/>
  <c r="AI879" i="1"/>
  <c r="AI845" i="1"/>
  <c r="AI828" i="1"/>
  <c r="AI790" i="1"/>
  <c r="AI732" i="1"/>
  <c r="AI678" i="1"/>
  <c r="AI618" i="1"/>
  <c r="AI566" i="1"/>
  <c r="AI477" i="1"/>
  <c r="AI443" i="1"/>
  <c r="AI408" i="1"/>
  <c r="AI373" i="1"/>
  <c r="AI338" i="1"/>
  <c r="AI27" i="1"/>
  <c r="AI1458" i="1"/>
  <c r="AI1440" i="1"/>
  <c r="AI1419" i="1"/>
  <c r="AI1400" i="1"/>
  <c r="AI1378" i="1"/>
  <c r="AI1357" i="1"/>
  <c r="AI1338" i="1"/>
  <c r="AI223" i="1"/>
  <c r="AI1298" i="1"/>
  <c r="AI219" i="1"/>
  <c r="AI1260" i="1"/>
  <c r="AI1241" i="1"/>
  <c r="AI1224" i="1"/>
  <c r="AI204" i="1"/>
  <c r="AI1187" i="1"/>
  <c r="AI1167" i="1"/>
  <c r="AI1147" i="1"/>
  <c r="AI1129" i="1"/>
  <c r="AI1110" i="1"/>
  <c r="AI1094" i="1"/>
  <c r="AI1074" i="1"/>
  <c r="AI1055" i="1"/>
  <c r="AI1034" i="1"/>
  <c r="AI1015" i="1"/>
  <c r="AI172" i="1"/>
  <c r="AI979" i="1"/>
  <c r="AI958" i="1"/>
  <c r="AI936" i="1"/>
  <c r="AI916" i="1"/>
  <c r="AI161" i="1"/>
  <c r="AI878" i="1"/>
  <c r="AI860" i="1"/>
  <c r="AI844" i="1"/>
  <c r="AI827" i="1"/>
  <c r="AI807" i="1"/>
  <c r="AI136" i="1"/>
  <c r="AI771" i="1"/>
  <c r="AI752" i="1"/>
  <c r="AI128" i="1"/>
  <c r="AI714" i="1"/>
  <c r="AI119" i="1"/>
  <c r="AI677" i="1"/>
  <c r="AI656" i="1"/>
  <c r="AI637" i="1"/>
  <c r="AI617" i="1"/>
  <c r="AI599" i="1"/>
  <c r="AI582" i="1"/>
  <c r="AI565" i="1"/>
  <c r="AI545" i="1"/>
  <c r="AI526" i="1"/>
  <c r="AI509" i="1"/>
  <c r="AI490" i="1"/>
  <c r="AI476" i="1"/>
  <c r="AI460" i="1"/>
  <c r="AI65" i="1"/>
  <c r="AI424" i="1"/>
  <c r="AI407" i="1"/>
  <c r="AI390" i="1"/>
  <c r="AI372" i="1"/>
  <c r="AI352" i="1"/>
  <c r="AI337" i="1"/>
  <c r="AI35" i="1"/>
  <c r="AI302" i="1"/>
  <c r="AI26" i="1"/>
  <c r="AI268" i="1"/>
  <c r="AI13" i="1"/>
  <c r="AI897" i="1"/>
  <c r="AI753" i="1"/>
  <c r="AI697" i="1"/>
  <c r="AI638" i="1"/>
  <c r="AI600" i="1"/>
  <c r="AI546" i="1"/>
  <c r="AI510" i="1"/>
  <c r="AI425" i="1"/>
  <c r="AI303" i="1"/>
  <c r="AI253" i="1"/>
  <c r="AI1457" i="1"/>
  <c r="AI1439" i="1"/>
  <c r="AI1418" i="1"/>
  <c r="AI228" i="1"/>
  <c r="AI1337" i="1"/>
  <c r="AI1318" i="1"/>
  <c r="AI1456" i="1"/>
  <c r="AI1316" i="1"/>
  <c r="AI1071" i="1"/>
  <c r="AI895" i="1"/>
  <c r="AI132" i="1"/>
  <c r="AI127" i="1"/>
  <c r="AI634" i="1"/>
  <c r="AI597" i="1"/>
  <c r="AI351" i="1"/>
  <c r="AI1184" i="1"/>
  <c r="AI1012" i="1"/>
  <c r="AI1144" i="1"/>
  <c r="AI914" i="1"/>
  <c r="AI877" i="1"/>
  <c r="AI787" i="1"/>
  <c r="AI749" i="1"/>
  <c r="AI674" i="1"/>
  <c r="AI653" i="1"/>
  <c r="AI614" i="1"/>
  <c r="AI473" i="1"/>
  <c r="AI47" i="1"/>
  <c r="AI299" i="1"/>
  <c r="AI1470" i="1"/>
  <c r="AI1453" i="1"/>
  <c r="AI1433" i="1"/>
  <c r="AI1412" i="1"/>
  <c r="AI1393" i="1"/>
  <c r="AI1371" i="1"/>
  <c r="AI1351" i="1"/>
  <c r="AI1332" i="1"/>
  <c r="AI1312" i="1"/>
  <c r="AI221" i="1"/>
  <c r="AI1273" i="1"/>
  <c r="AI1254" i="1"/>
  <c r="AI1235" i="1"/>
  <c r="AI207" i="1"/>
  <c r="AI1199" i="1"/>
  <c r="AI1181" i="1"/>
  <c r="AI1161" i="1"/>
  <c r="AI1141" i="1"/>
  <c r="AI192" i="1"/>
  <c r="AI188" i="1"/>
  <c r="AI1087" i="1"/>
  <c r="AI1067" i="1"/>
  <c r="AI1048" i="1"/>
  <c r="AI1029" i="1"/>
  <c r="AI1009" i="1"/>
  <c r="AI170" i="1"/>
  <c r="AI972" i="1"/>
  <c r="AI951" i="1"/>
  <c r="AI929" i="1"/>
  <c r="AI910" i="1"/>
  <c r="AI892" i="1"/>
  <c r="AI873" i="1"/>
  <c r="AI856" i="1"/>
  <c r="AI838" i="1"/>
  <c r="AI821" i="1"/>
  <c r="AI801" i="1"/>
  <c r="AI785" i="1"/>
  <c r="AI766" i="1"/>
  <c r="AI745" i="1"/>
  <c r="AI726" i="1"/>
  <c r="AI709" i="1"/>
  <c r="AI691" i="1"/>
  <c r="AI670" i="1"/>
  <c r="AI650" i="1"/>
  <c r="AI630" i="1"/>
  <c r="AI611" i="1"/>
  <c r="AI594" i="1"/>
  <c r="AI575" i="1"/>
  <c r="AI559" i="1"/>
  <c r="AI539" i="1"/>
  <c r="AI521" i="1"/>
  <c r="AI503" i="1"/>
  <c r="AI82" i="1"/>
  <c r="AI470" i="1"/>
  <c r="AI69" i="1"/>
  <c r="AI438" i="1"/>
  <c r="AI418" i="1"/>
  <c r="AI401" i="1"/>
  <c r="AI49" i="1"/>
  <c r="AI46" i="1"/>
  <c r="AI348" i="1"/>
  <c r="AI332" i="1"/>
  <c r="AI314" i="1"/>
  <c r="AI28" i="1"/>
  <c r="AI278" i="1"/>
  <c r="AI264" i="1"/>
  <c r="AI9" i="1"/>
  <c r="AI1437" i="1"/>
  <c r="AI1335" i="1"/>
  <c r="AI1164" i="1"/>
  <c r="AI1091" i="1"/>
  <c r="AI1032" i="1"/>
  <c r="AI17" i="1"/>
  <c r="AI2" i="1"/>
  <c r="AI369" i="1"/>
  <c r="AI350" i="1"/>
  <c r="AI25" i="1"/>
  <c r="AI267" i="1"/>
  <c r="AI250" i="1"/>
  <c r="AI1469" i="1"/>
  <c r="AI235" i="1"/>
  <c r="AI1432" i="1"/>
  <c r="AI1411" i="1"/>
  <c r="AI1392" i="1"/>
  <c r="AI1370" i="1"/>
  <c r="AI1350" i="1"/>
  <c r="AI1331" i="1"/>
  <c r="AI1311" i="1"/>
  <c r="AI1291" i="1"/>
  <c r="AI217" i="1"/>
  <c r="AI1253" i="1"/>
  <c r="AI1234" i="1"/>
  <c r="AI206" i="1"/>
  <c r="AI1198" i="1"/>
  <c r="AI1180" i="1"/>
  <c r="AI1160" i="1"/>
  <c r="AI1140" i="1"/>
  <c r="AI1122" i="1"/>
  <c r="AI1104" i="1"/>
  <c r="AI183" i="1"/>
  <c r="AI1066" i="1"/>
  <c r="AI1047" i="1"/>
  <c r="AI1028" i="1"/>
  <c r="AI1008" i="1"/>
  <c r="AI990" i="1"/>
  <c r="AI971" i="1"/>
  <c r="AI950" i="1"/>
  <c r="AI928" i="1"/>
  <c r="AI909" i="1"/>
  <c r="AI158" i="1"/>
  <c r="AI872" i="1"/>
  <c r="AI150" i="1"/>
  <c r="AI837" i="1"/>
  <c r="AI820" i="1"/>
  <c r="AI800" i="1"/>
  <c r="AI784" i="1"/>
  <c r="AI130" i="1"/>
  <c r="AI744" i="1"/>
  <c r="AI725" i="1"/>
  <c r="AI708" i="1"/>
  <c r="AI690" i="1"/>
  <c r="AI116" i="1"/>
  <c r="AI649" i="1"/>
  <c r="AI629" i="1"/>
  <c r="AI109" i="1"/>
  <c r="AI593" i="1"/>
  <c r="AI101" i="1"/>
  <c r="AI558" i="1"/>
  <c r="AI538" i="1"/>
  <c r="AI89" i="1"/>
  <c r="AI502" i="1"/>
  <c r="AI81" i="1"/>
  <c r="AI74" i="1"/>
  <c r="AI453" i="1"/>
  <c r="AI437" i="1"/>
  <c r="AI417" i="1"/>
  <c r="AI55" i="1"/>
  <c r="AI48" i="1"/>
  <c r="AI366" i="1"/>
  <c r="AI347" i="1"/>
  <c r="AI331" i="1"/>
  <c r="AI313" i="1"/>
  <c r="AI296" i="1"/>
  <c r="AI277" i="1"/>
  <c r="AI263" i="1"/>
  <c r="AI8" i="1"/>
  <c r="AI1052" i="1"/>
  <c r="AI86" i="1"/>
  <c r="AI281" i="1"/>
  <c r="AI966" i="1"/>
  <c r="AI945" i="1"/>
  <c r="AI923" i="1"/>
  <c r="AI904" i="1"/>
  <c r="AI887" i="1"/>
  <c r="AI867" i="1"/>
  <c r="AI852" i="1"/>
  <c r="AI144" i="1"/>
  <c r="AI816" i="1"/>
  <c r="AI796" i="1"/>
  <c r="AI779" i="1"/>
  <c r="AI761" i="1"/>
  <c r="AI740" i="1"/>
  <c r="AI721" i="1"/>
  <c r="AI704" i="1"/>
  <c r="AI685" i="1"/>
  <c r="AI665" i="1"/>
  <c r="AI645" i="1"/>
  <c r="AI112" i="1"/>
  <c r="AI606" i="1"/>
  <c r="AI589" i="1"/>
  <c r="AI571" i="1"/>
  <c r="AI554" i="1"/>
  <c r="AI92" i="1"/>
  <c r="AI516" i="1"/>
  <c r="AI497" i="1"/>
  <c r="AI79" i="1"/>
  <c r="AI73" i="1"/>
  <c r="AI450" i="1"/>
  <c r="AI432" i="1"/>
  <c r="AI415" i="1"/>
  <c r="AI54" i="1"/>
  <c r="AI381" i="1"/>
  <c r="AI361" i="1"/>
  <c r="AI343" i="1"/>
  <c r="AI327" i="1"/>
  <c r="AI31" i="1"/>
  <c r="AI291" i="1"/>
  <c r="AI23" i="1"/>
  <c r="AI15" i="1"/>
  <c r="AI246" i="1"/>
  <c r="AI44" i="1"/>
  <c r="AI282" i="1"/>
  <c r="AI18" i="1"/>
  <c r="AI252" i="1"/>
  <c r="AI1295" i="1"/>
  <c r="AI1203" i="1"/>
  <c r="AI83" i="1"/>
  <c r="AI387" i="1"/>
  <c r="AI251" i="1"/>
  <c r="AI1467" i="1"/>
  <c r="AI234" i="1"/>
  <c r="AI1430" i="1"/>
  <c r="AI232" i="1"/>
  <c r="AI1390" i="1"/>
  <c r="AI1368" i="1"/>
  <c r="AI1348" i="1"/>
  <c r="AI1329" i="1"/>
  <c r="AI1310" i="1"/>
  <c r="AI1290" i="1"/>
  <c r="AI1271" i="1"/>
  <c r="AI1251" i="1"/>
  <c r="AI1232" i="1"/>
  <c r="AI1216" i="1"/>
  <c r="AI1196" i="1"/>
  <c r="AI1178" i="1"/>
  <c r="AI1158" i="1"/>
  <c r="AI1139" i="1"/>
  <c r="AI191" i="1"/>
  <c r="AI186" i="1"/>
  <c r="AI1085" i="1"/>
  <c r="AI1065" i="1"/>
  <c r="AI1046" i="1"/>
  <c r="AI1026" i="1"/>
  <c r="AI1006" i="1"/>
  <c r="AI989" i="1"/>
  <c r="AI969" i="1"/>
  <c r="AI948" i="1"/>
  <c r="AI926" i="1"/>
  <c r="AI907" i="1"/>
  <c r="AI890" i="1"/>
  <c r="AI870" i="1"/>
  <c r="AI854" i="1"/>
  <c r="AI835" i="1"/>
  <c r="AI818" i="1"/>
  <c r="AI798" i="1"/>
  <c r="AI782" i="1"/>
  <c r="AI764" i="1"/>
  <c r="AI742" i="1"/>
  <c r="AI723" i="1"/>
  <c r="AI707" i="1"/>
  <c r="AI688" i="1"/>
  <c r="AI668" i="1"/>
  <c r="AI647" i="1"/>
  <c r="AI627" i="1"/>
  <c r="AI1471" i="1"/>
  <c r="AI236" i="1"/>
  <c r="AI1434" i="1"/>
  <c r="AI1413" i="1"/>
  <c r="AI1394" i="1"/>
  <c r="AI1372" i="1"/>
  <c r="AI1352" i="1"/>
  <c r="AI1333" i="1"/>
  <c r="AI1313" i="1"/>
  <c r="AI1292" i="1"/>
  <c r="AI1274" i="1"/>
  <c r="AI1255" i="1"/>
  <c r="AI212" i="1"/>
  <c r="AI1218" i="1"/>
  <c r="AI1200" i="1"/>
  <c r="AI1182" i="1"/>
  <c r="AI1162" i="1"/>
  <c r="AI1142" i="1"/>
  <c r="AI1123" i="1"/>
  <c r="AI1105" i="1"/>
  <c r="AI1088" i="1"/>
  <c r="AI1068" i="1"/>
  <c r="AI1049" i="1"/>
  <c r="AI1030" i="1"/>
  <c r="AI1010" i="1"/>
  <c r="AI171" i="1"/>
  <c r="AI973" i="1"/>
  <c r="AI952" i="1"/>
  <c r="AI930" i="1"/>
  <c r="AI911" i="1"/>
  <c r="AI893" i="1"/>
  <c r="AI874" i="1"/>
  <c r="AI857" i="1"/>
  <c r="AI839" i="1"/>
  <c r="AI822" i="1"/>
  <c r="AI802" i="1"/>
  <c r="AI134" i="1"/>
  <c r="AI767" i="1"/>
  <c r="AI746" i="1"/>
  <c r="AI727" i="1"/>
  <c r="AI710" i="1"/>
  <c r="AI692" i="1"/>
  <c r="AI671" i="1"/>
  <c r="AI651" i="1"/>
  <c r="AI631" i="1"/>
  <c r="AI110" i="1"/>
  <c r="AI105" i="1"/>
  <c r="AI576" i="1"/>
  <c r="AI560" i="1"/>
  <c r="AI94" i="1"/>
  <c r="AI522" i="1"/>
  <c r="AI504" i="1"/>
  <c r="AI485" i="1"/>
  <c r="AI75" i="1"/>
  <c r="AI454" i="1"/>
  <c r="AI63" i="1"/>
  <c r="AI419" i="1"/>
  <c r="AI402" i="1"/>
  <c r="AI50" i="1"/>
  <c r="AI367" i="1"/>
  <c r="AI43" i="1"/>
  <c r="AI37" i="1"/>
  <c r="AI315" i="1"/>
  <c r="AI297" i="1"/>
  <c r="AI279" i="1"/>
  <c r="AI265" i="1"/>
  <c r="AI10" i="1"/>
  <c r="AI609" i="1"/>
  <c r="AI592" i="1"/>
  <c r="AI573" i="1"/>
  <c r="AI556" i="1"/>
  <c r="AI537" i="1"/>
  <c r="AI519" i="1"/>
  <c r="AI500" i="1"/>
  <c r="AI483" i="1"/>
  <c r="AI468" i="1"/>
  <c r="AI68" i="1"/>
  <c r="AI435" i="1"/>
  <c r="AI416" i="1"/>
  <c r="AI399" i="1"/>
  <c r="AI384" i="1"/>
  <c r="AI364" i="1"/>
  <c r="AI346" i="1"/>
  <c r="AI36" i="1"/>
  <c r="AI312" i="1"/>
  <c r="AI294" i="1"/>
  <c r="AI24" i="1"/>
  <c r="AI262" i="1"/>
  <c r="AI248" i="1"/>
  <c r="AI395" i="1"/>
  <c r="AI359" i="1"/>
  <c r="AI289" i="1"/>
  <c r="AI21" i="1"/>
  <c r="AI430" i="1"/>
  <c r="AI413" i="1"/>
  <c r="AI379" i="1"/>
  <c r="AI40" i="1"/>
  <c r="AI325" i="1"/>
  <c r="AI308" i="1"/>
  <c r="AI14" i="1"/>
  <c r="AI244" i="1"/>
  <c r="AI239" i="1"/>
  <c r="AI1446" i="1"/>
  <c r="AI1425" i="1"/>
  <c r="AI1405" i="1"/>
  <c r="AI1384" i="1"/>
  <c r="AI1362" i="1"/>
  <c r="AI1343" i="1"/>
  <c r="AI1323" i="1"/>
  <c r="AI1304" i="1"/>
  <c r="AI1284" i="1"/>
  <c r="AI1265" i="1"/>
  <c r="AI213" i="1"/>
  <c r="AI211" i="1"/>
  <c r="AI1211" i="1"/>
  <c r="AI1191" i="1"/>
  <c r="AI1173" i="1"/>
  <c r="AI1153" i="1"/>
  <c r="AI1135" i="1"/>
  <c r="AI190" i="1"/>
  <c r="AI1099" i="1"/>
  <c r="AI1080" i="1"/>
  <c r="AI1059" i="1"/>
  <c r="AI1040" i="1"/>
  <c r="AI1020" i="1"/>
  <c r="AI1000" i="1"/>
  <c r="AI985" i="1"/>
  <c r="AI166" i="1"/>
  <c r="AI942" i="1"/>
  <c r="AI165" i="1"/>
  <c r="AI162" i="1"/>
  <c r="AI884" i="1"/>
  <c r="AI864" i="1"/>
  <c r="AI849" i="1"/>
  <c r="AI832" i="1"/>
  <c r="AI813" i="1"/>
  <c r="AI137" i="1"/>
  <c r="AI776" i="1"/>
  <c r="AI758" i="1"/>
  <c r="AI737" i="1"/>
  <c r="AI720" i="1"/>
  <c r="AI701" i="1"/>
  <c r="AI683" i="1"/>
  <c r="AI662" i="1"/>
  <c r="AI642" i="1"/>
  <c r="AI622" i="1"/>
  <c r="AI603" i="1"/>
  <c r="AI587" i="1"/>
  <c r="AI569" i="1"/>
  <c r="AI551" i="1"/>
  <c r="AI532" i="1"/>
  <c r="AI514" i="1"/>
  <c r="AI494" i="1"/>
  <c r="AI479" i="1"/>
  <c r="AI464" i="1"/>
  <c r="AI447" i="1"/>
  <c r="AI62" i="1"/>
  <c r="AI412" i="1"/>
  <c r="AI394" i="1"/>
  <c r="AI378" i="1"/>
  <c r="AI358" i="1"/>
  <c r="AI39" i="1"/>
  <c r="AI324" i="1"/>
  <c r="AI307" i="1"/>
  <c r="AI288" i="1"/>
  <c r="AI20" i="1"/>
  <c r="AI258" i="1"/>
  <c r="AI6" i="1"/>
  <c r="E8" i="18" l="1"/>
  <c r="D9" i="18"/>
  <c r="C10" i="18"/>
  <c r="D8" i="18"/>
  <c r="E9" i="18"/>
  <c r="B10" i="18"/>
  <c r="D8" i="24"/>
  <c r="D7" i="24"/>
  <c r="C11" i="24"/>
  <c r="D10" i="24"/>
  <c r="B11" i="24"/>
  <c r="D9" i="24"/>
  <c r="I17" i="21"/>
  <c r="H18" i="21"/>
  <c r="H17" i="21"/>
  <c r="H19" i="21"/>
  <c r="I18" i="21"/>
  <c r="G19" i="19"/>
  <c r="G18" i="19"/>
  <c r="H18" i="19"/>
  <c r="H19" i="19"/>
  <c r="D10" i="18" l="1"/>
  <c r="I9" i="18" s="1"/>
  <c r="H9" i="18"/>
  <c r="D11" i="24"/>
  <c r="D24" i="21"/>
  <c r="H8" i="18" l="1"/>
  <c r="I8" i="18"/>
  <c r="C14" i="18"/>
</calcChain>
</file>

<file path=xl/sharedStrings.xml><?xml version="1.0" encoding="utf-8"?>
<sst xmlns="http://schemas.openxmlformats.org/spreadsheetml/2006/main" count="15225" uniqueCount="311">
  <si>
    <t>EmployeeNumber</t>
  </si>
  <si>
    <t>Active Employee?</t>
  </si>
  <si>
    <t>JobRole</t>
  </si>
  <si>
    <t>Department</t>
  </si>
  <si>
    <t>JobLevel</t>
  </si>
  <si>
    <t>AnnualCompensation</t>
  </si>
  <si>
    <t>PercentSalaryHike</t>
  </si>
  <si>
    <t>Weekly StandardHours</t>
  </si>
  <si>
    <t>OverTime Eligible</t>
  </si>
  <si>
    <t>Age</t>
  </si>
  <si>
    <t>GenderIdentity</t>
  </si>
  <si>
    <t>MaritalStatus</t>
  </si>
  <si>
    <t>BusinessTravel</t>
  </si>
  <si>
    <t>DistanceFromHome (kms)</t>
  </si>
  <si>
    <t>Education Level</t>
  </si>
  <si>
    <t>EducationField</t>
  </si>
  <si>
    <t>PerformanceRating</t>
  </si>
  <si>
    <t>StockOptionLevel</t>
  </si>
  <si>
    <t>Years of Work Experience</t>
  </si>
  <si>
    <t>TrainingTimesLastYear</t>
  </si>
  <si>
    <t>Tenure</t>
  </si>
  <si>
    <t>YearsInCurrentRole</t>
  </si>
  <si>
    <t>YearsSinceLastPromotion</t>
  </si>
  <si>
    <t>YearsWithCurrManager</t>
  </si>
  <si>
    <t>Exit Date</t>
  </si>
  <si>
    <t>Exit Type</t>
  </si>
  <si>
    <t>Yes</t>
  </si>
  <si>
    <t>Research Scientist</t>
  </si>
  <si>
    <t>Research &amp; Development</t>
  </si>
  <si>
    <t>Man</t>
  </si>
  <si>
    <t>Single</t>
  </si>
  <si>
    <t>Travel_Rarely</t>
  </si>
  <si>
    <t>Trades Apprenticeship</t>
  </si>
  <si>
    <t>Medical</t>
  </si>
  <si>
    <t>No</t>
  </si>
  <si>
    <t>Non-Travel</t>
  </si>
  <si>
    <t>Certificate or Diploma</t>
  </si>
  <si>
    <t>Life Sciences</t>
  </si>
  <si>
    <t>Involuntary</t>
  </si>
  <si>
    <t>Sales Representative</t>
  </si>
  <si>
    <t>Sales</t>
  </si>
  <si>
    <t>Non-Binary</t>
  </si>
  <si>
    <t>Married</t>
  </si>
  <si>
    <t>Bachelor's Degree</t>
  </si>
  <si>
    <t>Travel_Frequently</t>
  </si>
  <si>
    <t>Technical Degree</t>
  </si>
  <si>
    <t>Laboratory Technician</t>
  </si>
  <si>
    <t>Woman</t>
  </si>
  <si>
    <t>Divorced</t>
  </si>
  <si>
    <t>Voluntary</t>
  </si>
  <si>
    <t>Transgender</t>
  </si>
  <si>
    <t>Master's Degree</t>
  </si>
  <si>
    <t>Trangender</t>
  </si>
  <si>
    <t>Other</t>
  </si>
  <si>
    <t>Manufacturing Director</t>
  </si>
  <si>
    <t>Healthcare Representative</t>
  </si>
  <si>
    <t>Marketing</t>
  </si>
  <si>
    <t>Sales Executive</t>
  </si>
  <si>
    <t>Doctorate</t>
  </si>
  <si>
    <t>Human Resources</t>
  </si>
  <si>
    <t>Research Director</t>
  </si>
  <si>
    <t>Two-Spirit</t>
  </si>
  <si>
    <t>WorkEnvironmentSatisfaction</t>
  </si>
  <si>
    <t>JobSatisfaction</t>
  </si>
  <si>
    <t>Manager Satisfaction</t>
  </si>
  <si>
    <t>WorkLifeBalance Score</t>
  </si>
  <si>
    <t>Field</t>
  </si>
  <si>
    <t>Description</t>
  </si>
  <si>
    <t>Unique identifier for each employee</t>
  </si>
  <si>
    <t>Yes = Curently an active employee, No= Not currently an active employee</t>
  </si>
  <si>
    <t>Title of job</t>
  </si>
  <si>
    <t>Job level aligned to compensation levels</t>
  </si>
  <si>
    <t>Annual Salary in Canadian Dollars</t>
  </si>
  <si>
    <t>% increase in annual salary since the last fiscal year</t>
  </si>
  <si>
    <t># hours worked per week</t>
  </si>
  <si>
    <t>Yes = overtime eligible, No = Not overtime eligible</t>
  </si>
  <si>
    <t>Chronological age of the employee</t>
  </si>
  <si>
    <t>Employee's Gender Identity</t>
  </si>
  <si>
    <t>Marital Status of employee</t>
  </si>
  <si>
    <t>Frequency of travel for business</t>
  </si>
  <si>
    <t>Distance in Kms between employee primary residence and the office</t>
  </si>
  <si>
    <t>Highest level of education earned</t>
  </si>
  <si>
    <t>Field of most recent education</t>
  </si>
  <si>
    <t>Performance rating from last fiscal year</t>
  </si>
  <si>
    <t>Most recent Employee Engagement Survey score on satisfaction with work environment.</t>
  </si>
  <si>
    <t xml:space="preserve">Most recent Employee Engagement Survey score on job satisfaction </t>
  </si>
  <si>
    <t>Most recent Employee Engagement Survey score on manager satisfaction</t>
  </si>
  <si>
    <t>Most recent Employee Engagement Survey score on Work Life Balance</t>
  </si>
  <si>
    <t>Level of Stock option (0 = none, 1= low, 2= medium, 3= high)</t>
  </si>
  <si>
    <t>Total years of work experience.</t>
  </si>
  <si>
    <t># training activities undertaken in last fiscal year</t>
  </si>
  <si>
    <t># years employee has worked with the company</t>
  </si>
  <si>
    <t># years in current role</t>
  </si>
  <si>
    <t># years since last promotion</t>
  </si>
  <si>
    <t># years working with current manager</t>
  </si>
  <si>
    <t>Attrition Flag</t>
  </si>
  <si>
    <t xml:space="preserve">Attrition Flag  </t>
  </si>
  <si>
    <t>1=exited, 0=active</t>
  </si>
  <si>
    <t>Tenure Stage</t>
  </si>
  <si>
    <t>Early Tenure</t>
  </si>
  <si>
    <t>Long Tenure</t>
  </si>
  <si>
    <t>Mid Tenure</t>
  </si>
  <si>
    <t>Tenure Stage Groupings</t>
  </si>
  <si>
    <t>Name of Department</t>
  </si>
  <si>
    <t>Compensation Analyst</t>
  </si>
  <si>
    <t>HR Business Partner</t>
  </si>
  <si>
    <t>HR Operations Specialist</t>
  </si>
  <si>
    <t>VP, HR</t>
  </si>
  <si>
    <t>Manager, HR</t>
  </si>
  <si>
    <t>Manager, R&amp;D</t>
  </si>
  <si>
    <t>Manager, Sales</t>
  </si>
  <si>
    <t>Senior Leadership Filter</t>
  </si>
  <si>
    <t>CEO</t>
  </si>
  <si>
    <t>Metric</t>
  </si>
  <si>
    <t>Benchmark Value</t>
  </si>
  <si>
    <t>Source</t>
  </si>
  <si>
    <t>Cost of replacing a senior leader</t>
  </si>
  <si>
    <t>work-life balance impact on retention</t>
  </si>
  <si>
    <t>8-12% annually</t>
  </si>
  <si>
    <t>1.5-2x annual salary</t>
  </si>
  <si>
    <t>highest mobility around 3-5 years</t>
  </si>
  <si>
    <t>strong predictor of turnover</t>
  </si>
  <si>
    <t>industry HR research</t>
  </si>
  <si>
    <t>academic research</t>
  </si>
  <si>
    <t>workforce mobility studies</t>
  </si>
  <si>
    <t>employee engagement research</t>
  </si>
  <si>
    <t>Average leadership turnover rate</t>
  </si>
  <si>
    <t>Overall Engagement Score</t>
  </si>
  <si>
    <t>Clean_data</t>
  </si>
  <si>
    <t xml:space="preserve">H1 - H10 </t>
  </si>
  <si>
    <t>External Data</t>
  </si>
  <si>
    <t>Calculated Fields</t>
  </si>
  <si>
    <t>Additonal Data Received</t>
  </si>
  <si>
    <t>Overall (Avg) Employee Engagement Survey Score</t>
  </si>
  <si>
    <t>Employee Engagement Survey</t>
  </si>
  <si>
    <t>Data Dictionary</t>
  </si>
  <si>
    <t>attrition rate calculations</t>
  </si>
  <si>
    <t>chi-square comparisons</t>
  </si>
  <si>
    <t>t-tests</t>
  </si>
  <si>
    <t>correlation analysis</t>
  </si>
  <si>
    <t>Row Labels</t>
  </si>
  <si>
    <t>Grand Total</t>
  </si>
  <si>
    <t>Count of EmployeeNumber</t>
  </si>
  <si>
    <t xml:space="preserve">1=Leadership Role (Managers, Research Director, Manufacturing Director), 0=Non </t>
  </si>
  <si>
    <t>Early tenure (&lt;2 yrs), Mid tenure (3–9 yrs), Long tenure (10+ yrs)</t>
  </si>
  <si>
    <t>Recent Exit Flag</t>
  </si>
  <si>
    <t>1=Recent Exits within 2024 or 2025, 0=Active or not recent exit</t>
  </si>
  <si>
    <t>Sum of Recent Exit Flag</t>
  </si>
  <si>
    <t>Attrition Rate</t>
  </si>
  <si>
    <t>Early Tenure 0-2 yrs</t>
  </si>
  <si>
    <t>Mid 3-9 yrs</t>
  </si>
  <si>
    <t>Long 10+ yrs</t>
  </si>
  <si>
    <t>Exit</t>
  </si>
  <si>
    <t>Exit=0</t>
  </si>
  <si>
    <t>Exit=1 (recent exit)</t>
  </si>
  <si>
    <t>Row Total</t>
  </si>
  <si>
    <t>Column Total</t>
  </si>
  <si>
    <t>Chi square test</t>
  </si>
  <si>
    <t>p=</t>
  </si>
  <si>
    <t>p&lt;0.05</t>
  </si>
  <si>
    <t>statistically significant relationship</t>
  </si>
  <si>
    <t>p≥0.05</t>
  </si>
  <si>
    <t>no statistial significant relationship</t>
  </si>
  <si>
    <t>Findings</t>
  </si>
  <si>
    <t>No statistical significant relationship. The likelihood of a recent exit does not significantly differ by department among leadership employees</t>
  </si>
  <si>
    <t>H3</t>
  </si>
  <si>
    <r>
      <t xml:space="preserve">Hypothesis: </t>
    </r>
    <r>
      <rPr>
        <sz val="11"/>
        <color rgb="FF000000"/>
        <rFont val="Aptos"/>
        <family val="2"/>
      </rPr>
      <t>The rate of loss among employees differ by department, with certain departments having higher risk than others</t>
    </r>
  </si>
  <si>
    <t>Not Recent (0)</t>
  </si>
  <si>
    <t>Recent (1)</t>
  </si>
  <si>
    <t>H1</t>
  </si>
  <si>
    <r>
      <t>Hypothesis:</t>
    </r>
    <r>
      <rPr>
        <sz val="11"/>
        <color rgb="FF000000"/>
        <rFont val="Aptos"/>
        <family val="2"/>
      </rPr>
      <t xml:space="preserve"> Employees with mid level tenure show higher attrition than other tenure stages.</t>
    </r>
  </si>
  <si>
    <t>H2</t>
  </si>
  <si>
    <t>H4</t>
  </si>
  <si>
    <t>H5</t>
  </si>
  <si>
    <r>
      <t>Hypothesis:</t>
    </r>
    <r>
      <rPr>
        <sz val="11"/>
        <color rgb="FF000000"/>
        <rFont val="Aptos"/>
        <family val="2"/>
      </rPr>
      <t xml:space="preserve"> Roles in Sales and R&amp;D experience higher attrition than leaders in other areas.</t>
    </r>
  </si>
  <si>
    <t>Leadership roles in Sales and Research &amp; Development experience higher attrition than leaders in other areas (HR).</t>
  </si>
  <si>
    <t>H6</t>
  </si>
  <si>
    <r>
      <t>Hypothesis:</t>
    </r>
    <r>
      <rPr>
        <sz val="11"/>
        <color rgb="FF000000"/>
        <rFont val="Aptos"/>
        <family val="2"/>
      </rPr>
      <t xml:space="preserve"> Employees with requirements to travel frequently are more likely to exit.</t>
    </r>
  </si>
  <si>
    <t>Exits</t>
  </si>
  <si>
    <t>Travel Needs</t>
  </si>
  <si>
    <t>0 (Non recent)</t>
  </si>
  <si>
    <t>1 (Recent)</t>
  </si>
  <si>
    <t>Actual</t>
  </si>
  <si>
    <t>Expected</t>
  </si>
  <si>
    <t>The likelihood of recent exits among leadership employees did not significantly differ based on travel frequency requirements.</t>
  </si>
  <si>
    <t>H7</t>
  </si>
  <si>
    <r>
      <t>Hypothesis</t>
    </r>
    <r>
      <rPr>
        <sz val="11"/>
        <color rgb="FF000000"/>
        <rFont val="Aptos"/>
        <family val="2"/>
      </rPr>
      <t>: Employees with lower work life balance scores are more likely to leave.</t>
    </r>
  </si>
  <si>
    <t>Mid-tenure turnover risk</t>
  </si>
  <si>
    <t>Average of WorkLifeBalance Score</t>
  </si>
  <si>
    <t>Exit Flag</t>
  </si>
  <si>
    <t>0 (Non Recent and active)</t>
  </si>
  <si>
    <t>Exit=0 (non recent exit &amp; active)</t>
  </si>
  <si>
    <t xml:space="preserve"> Exit=1</t>
  </si>
  <si>
    <t>0 (Non recent &amp; active)</t>
  </si>
  <si>
    <t>WLB Recent Exit</t>
  </si>
  <si>
    <t>WLB Non recent and active</t>
  </si>
  <si>
    <t>T-test</t>
  </si>
  <si>
    <t>Work Life Balance Scores</t>
  </si>
  <si>
    <t>p =</t>
  </si>
  <si>
    <t>The average Work-Life Balance score of recently exited leaders is actually slightly higher that than of those current active and non- recently exited.</t>
  </si>
  <si>
    <t xml:space="preserve">There is not enough evidence from this dataset to conclude that leadership employees with lower work-life balance scores are more likely to leave. </t>
  </si>
  <si>
    <t>There is no statistical signficant relationship between the work-life balance scores of leaders who exited recently and those who did not.</t>
  </si>
  <si>
    <t>H8</t>
  </si>
  <si>
    <r>
      <t xml:space="preserve">Hypothesis: </t>
    </r>
    <r>
      <rPr>
        <sz val="11"/>
        <color rgb="FF000000"/>
        <rFont val="Aptos"/>
        <family val="2"/>
      </rPr>
      <t>Higher satisfaction scores are associated with lower attrition among employees.</t>
    </r>
  </si>
  <si>
    <t>Driver</t>
  </si>
  <si>
    <t>Job Satisfaction</t>
  </si>
  <si>
    <t>Work Environment Satisfaction</t>
  </si>
  <si>
    <t>Work Life Balance Score</t>
  </si>
  <si>
    <t>Difference</t>
  </si>
  <si>
    <t>Correlation</t>
  </si>
  <si>
    <t>AverageScore (Recent Exits)</t>
  </si>
  <si>
    <t>Leadership Filter  1</t>
  </si>
  <si>
    <t>No relationship between job satisfaction scores and recent exits</t>
  </si>
  <si>
    <t>No relationship between work environment satisfaction scores and recent exits</t>
  </si>
  <si>
    <t>Very weak negative relationship; higher manager satisfaction is very slightly associated with lower exits</t>
  </si>
  <si>
    <t>Weak positive relationship; higher work life balance scores are very slightly associated with exits.</t>
  </si>
  <si>
    <t>No relationship between overall engagement scores and recent exits</t>
  </si>
  <si>
    <t>These engagement scores have very weak correlation with recent leadership attrition.</t>
  </si>
  <si>
    <t>Copy of Clean Data for Correlation Analysis</t>
  </si>
  <si>
    <r>
      <t xml:space="preserve">Hypothesis:  </t>
    </r>
    <r>
      <rPr>
        <sz val="11"/>
        <color rgb="FF000000"/>
        <rFont val="Aptos"/>
        <family val="2"/>
      </rPr>
      <t>Job satisfaction scores correlate with attrition</t>
    </r>
    <r>
      <rPr>
        <b/>
        <sz val="11"/>
        <color rgb="FF000000"/>
        <rFont val="Aptos"/>
        <family val="2"/>
      </rPr>
      <t xml:space="preserve"> &amp;</t>
    </r>
  </si>
  <si>
    <t>Calculated average of 4 engagement survey questions (scale 1-4)</t>
  </si>
  <si>
    <t>Pulse Diagnostics Senior &amp; Leadership Attrition Analysis</t>
  </si>
  <si>
    <r>
      <t xml:space="preserve">This workbook contains the data analysis for our </t>
    </r>
    <r>
      <rPr>
        <b/>
        <sz val="12"/>
        <rFont val="Aptos Narrow"/>
        <family val="2"/>
        <scheme val="minor"/>
      </rPr>
      <t>Pulse Diagnostics Senior &amp; Leadership Attrition Analysis project</t>
    </r>
    <r>
      <rPr>
        <sz val="12"/>
        <color theme="1"/>
        <rFont val="Aptos Narrow"/>
        <family val="2"/>
        <scheme val="minor"/>
      </rPr>
      <t>. The purpose is to test the top 10 prioritized hypotheses related to attrition risk among senior and leadership employees. This aligns with the project objective of identifying where attrition risk is concentrated and what factors may be driving it.</t>
    </r>
  </si>
  <si>
    <t>Tabs in the Excel Spreadsheet</t>
  </si>
  <si>
    <t>Current Tab</t>
  </si>
  <si>
    <t>Read_Me</t>
  </si>
  <si>
    <t>Final cleaned, combined and enriched analysis dataset</t>
  </si>
  <si>
    <t>Hypothesis testing</t>
  </si>
  <si>
    <t>Supporting external benchmark data information</t>
  </si>
  <si>
    <t>Survey scoring</t>
  </si>
  <si>
    <t>Column Header Definitions</t>
  </si>
  <si>
    <r>
      <t xml:space="preserve">                      Hypothesis:</t>
    </r>
    <r>
      <rPr>
        <sz val="11"/>
        <color rgb="FF000000"/>
        <rFont val="Aptos"/>
        <family val="2"/>
      </rPr>
      <t> Leaders with longer years in current role are more likely to exit.</t>
    </r>
  </si>
  <si>
    <t>Ron- recent exit leaders</t>
  </si>
  <si>
    <t>Recent Exit Leaders</t>
  </si>
  <si>
    <t>Years in Current Role Average</t>
  </si>
  <si>
    <t>Leadership employees who exited recently had slightly fewer years in their current role compared to leaders who are active or did not exit recently.</t>
  </si>
  <si>
    <t>t-test</t>
  </si>
  <si>
    <t>Attrition Rate (%)</t>
  </si>
  <si>
    <t>Attrition Rate per Tenure Grouping</t>
  </si>
  <si>
    <t>(1=Senior Leadership role)</t>
  </si>
  <si>
    <t>Early Tenure stage has the highest attrition rate among recent exits (in 2024, 2025) of leadership population</t>
  </si>
  <si>
    <t>Exits by Department</t>
  </si>
  <si>
    <t>Non Recent Exit Leaders</t>
  </si>
  <si>
    <t>Years in current role</t>
  </si>
  <si>
    <t>The difference in years in role between leaders who exited recently and those who did not is not statistically significant.</t>
  </si>
  <si>
    <t>Department Attrition Rate</t>
  </si>
  <si>
    <t>Summary Findings</t>
  </si>
  <si>
    <t>conclusion of 10 hypothesis testing</t>
  </si>
  <si>
    <t>H9</t>
  </si>
  <si>
    <r>
      <t>Hypothesis:</t>
    </r>
    <r>
      <rPr>
        <sz val="11"/>
        <color rgb="FF000000"/>
        <rFont val="Aptos"/>
        <family val="2"/>
      </rPr>
      <t xml:space="preserve">  Smaller salary increases are associated with higher leadership attrition.</t>
    </r>
  </si>
  <si>
    <t>Leadership employees who exited recently did not receive smaller salary increases.</t>
  </si>
  <si>
    <t xml:space="preserve">There is no statistically signifcant difference in salary increases between leaders who exited recently and those who did not. </t>
  </si>
  <si>
    <t>Pay increase does not appear to be a meaningful attrition driver in this data set.</t>
  </si>
  <si>
    <t>H10</t>
  </si>
  <si>
    <t xml:space="preserve">                  Hypothesis: Lower performance ratings are associated with higher leadership attrition.</t>
  </si>
  <si>
    <t>Average Performance Rating Score</t>
  </si>
  <si>
    <t xml:space="preserve">Employees who exited recently were not lower performers. However, 0.02 difference is very small so there is no meaningful difference. </t>
  </si>
  <si>
    <t>Performance Rating</t>
  </si>
  <si>
    <t>The difference in performance ratings between recent exit leaders  and non recent exit leaders was not statistically significant.</t>
  </si>
  <si>
    <t>Salary Increase</t>
  </si>
  <si>
    <t>Work Life Balance</t>
  </si>
  <si>
    <t>Hypothesis</t>
  </si>
  <si>
    <t>Variable Tested</t>
  </si>
  <si>
    <t>Statistical Method</t>
  </si>
  <si>
    <t>Result</t>
  </si>
  <si>
    <t>Tenure stage</t>
  </si>
  <si>
    <t>Supported</t>
  </si>
  <si>
    <t>Attrition rates differed by tenure stage (early tenure highest attrition, long tenure lowest attrition rate)</t>
  </si>
  <si>
    <t>Partial</t>
  </si>
  <si>
    <t>Years in Current Role</t>
  </si>
  <si>
    <t>Travel Requirements</t>
  </si>
  <si>
    <t>Engagement Drivers</t>
  </si>
  <si>
    <t>p=0.42</t>
  </si>
  <si>
    <t>p=0.65</t>
  </si>
  <si>
    <t xml:space="preserve"> Sales and R&amp;D experience higher attrition than leaders in other areas </t>
  </si>
  <si>
    <t>Pivot table-descriptive statistics</t>
  </si>
  <si>
    <t>p=0.30</t>
  </si>
  <si>
    <t>chi square</t>
  </si>
  <si>
    <t>p=0.15</t>
  </si>
  <si>
    <t>correlation</t>
  </si>
  <si>
    <t>Weak Correlation (-0.07-0.08)</t>
  </si>
  <si>
    <t>p=0.97</t>
  </si>
  <si>
    <t>Similar averages (3.8 vs 3.16) and p=0.76</t>
  </si>
  <si>
    <t>Other Tenure</t>
  </si>
  <si>
    <t>Recent Exit (1)</t>
  </si>
  <si>
    <r>
      <rPr>
        <b/>
        <sz val="7"/>
        <color rgb="FF000000"/>
        <rFont val="Times New Roman"/>
        <family val="1"/>
      </rPr>
      <t xml:space="preserve"> </t>
    </r>
    <r>
      <rPr>
        <b/>
        <sz val="11"/>
        <color rgb="FF000000"/>
        <rFont val="Aptos"/>
        <family val="2"/>
      </rPr>
      <t>Hypothesis:</t>
    </r>
    <r>
      <rPr>
        <sz val="11"/>
        <color rgb="FF000000"/>
        <rFont val="Aptos"/>
        <family val="2"/>
      </rPr>
      <t xml:space="preserve"> Employees with senior (long) tenure show higher attrition than other tenure stages.</t>
    </r>
  </si>
  <si>
    <t xml:space="preserve">H1 </t>
  </si>
  <si>
    <t>Long tenure</t>
  </si>
  <si>
    <t>Definitions:</t>
  </si>
  <si>
    <t>Tenure Group</t>
  </si>
  <si>
    <t>Non Recent Exit &amp; Active (0)</t>
  </si>
  <si>
    <t>Non Recent Exit &amp; Active Leaders</t>
  </si>
  <si>
    <t>p=0.12</t>
  </si>
  <si>
    <t>Employees with Long tenure (defined at 10+ years) have lower attrition than leaders in the other tenure stages.</t>
  </si>
  <si>
    <t>However, the difference is not statistically significant and supports the idea that long tenure leaders my be more retained.</t>
  </si>
  <si>
    <t>Summary of Findings</t>
  </si>
  <si>
    <t>Statistical Techniques Used In this workbook:</t>
  </si>
  <si>
    <t>Descriptive statistics (pivot tables and averages)</t>
  </si>
  <si>
    <t>Long Tenure Attrition vs all other tenure groups</t>
  </si>
  <si>
    <t>Travel Frequency</t>
  </si>
  <si>
    <t>Work Life Balance Average</t>
  </si>
  <si>
    <t>Engagement Driver Correlation amonst Senior Leadership Roles</t>
  </si>
  <si>
    <t>Salary Percent Increase</t>
  </si>
  <si>
    <t>Average Salary Percent Increase</t>
  </si>
  <si>
    <t>Some fields of data not being used in analysis have been hidden.</t>
  </si>
  <si>
    <t>Amy Bushell, Leticia Mie Otani, Luke (Tak Lung) Chan - Group #3</t>
  </si>
  <si>
    <t>Average Score (Non Recent Exit and active 0)</t>
  </si>
  <si>
    <t>Recent Exit Leaders (1)</t>
  </si>
  <si>
    <t>Non Recent Exit &amp; active leaders (0)</t>
  </si>
  <si>
    <t xml:space="preserve">Non Recent Exit Leaders (0) </t>
  </si>
  <si>
    <t xml:space="preserve">Non Recent Exit &amp; active leaders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</si>
</sst>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Aptos"/>
      <family val="2"/>
    </font>
    <font>
      <b/>
      <sz val="12"/>
      <name val="Aptos Narrow"/>
      <family val="2"/>
      <scheme val="minor"/>
    </font>
    <font>
      <i/>
      <sz val="12"/>
      <color theme="1"/>
      <name val="Aptos Narrow"/>
      <family val="2"/>
      <scheme val="minor"/>
    </font>
    <font>
      <b/>
      <sz val="12"/>
      <color theme="1"/>
      <name val="Aptos"/>
      <family val="2"/>
    </font>
    <font>
      <b/>
      <sz val="11"/>
      <color rgb="FF000000"/>
      <name val="Aptos"/>
      <family val="2"/>
    </font>
    <font>
      <b/>
      <sz val="7"/>
      <color rgb="FF000000"/>
      <name val="Times New Roman"/>
      <family val="1"/>
    </font>
    <font>
      <sz val="11"/>
      <color rgb="FF000000"/>
      <name val="Aptos"/>
      <family val="2"/>
    </font>
    <font>
      <sz val="12"/>
      <color rgb="FFFF0000"/>
      <name val="Aptos Narrow"/>
      <family val="2"/>
      <scheme val="minor"/>
    </font>
    <font>
      <b/>
      <sz val="11"/>
      <color rgb="FF000000"/>
      <name val="Aptos"/>
      <family val="1"/>
    </font>
    <font>
      <b/>
      <sz val="10"/>
      <color theme="1"/>
      <name val="Segoe UI"/>
      <family val="2"/>
    </font>
    <font>
      <b/>
      <sz val="18"/>
      <color theme="1"/>
      <name val="Aptos Narrow"/>
      <family val="2"/>
      <scheme val="minor"/>
    </font>
    <font>
      <sz val="8"/>
      <color rgb="FF000000"/>
      <name val="Aptos"/>
      <family val="2"/>
    </font>
    <font>
      <sz val="8"/>
      <name val="Aptos Narrow"/>
      <family val="2"/>
      <scheme val="minor"/>
    </font>
    <font>
      <sz val="12"/>
      <color rgb="FFFFC000"/>
      <name val="Aptos Narrow"/>
      <family val="2"/>
      <scheme val="minor"/>
    </font>
    <font>
      <sz val="12"/>
      <color theme="9"/>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3">
    <xf numFmtId="0" fontId="0" fillId="0" borderId="0"/>
    <xf numFmtId="44" fontId="1" fillId="0" borderId="0"/>
    <xf numFmtId="9" fontId="1" fillId="0" borderId="0" applyFont="0" applyFill="0" applyBorder="0" applyAlignment="0" applyProtection="0"/>
  </cellStyleXfs>
  <cellXfs count="57">
    <xf numFmtId="0" fontId="0" fillId="0" borderId="0" xfId="0"/>
    <xf numFmtId="44" fontId="1" fillId="0" borderId="0" xfId="1"/>
    <xf numFmtId="0" fontId="2" fillId="0" borderId="0" xfId="0" applyFont="1"/>
    <xf numFmtId="0" fontId="2" fillId="2" borderId="0" xfId="0" applyFont="1" applyFill="1"/>
    <xf numFmtId="0" fontId="2" fillId="2" borderId="0" xfId="0" applyFont="1" applyFill="1" applyAlignment="1">
      <alignment horizontal="right"/>
    </xf>
    <xf numFmtId="14" fontId="0" fillId="0" borderId="0" xfId="0" applyNumberFormat="1"/>
    <xf numFmtId="14" fontId="2" fillId="2" borderId="0" xfId="0" applyNumberFormat="1" applyFont="1" applyFill="1"/>
    <xf numFmtId="3" fontId="0" fillId="0" borderId="0" xfId="0" applyNumberFormat="1"/>
    <xf numFmtId="0" fontId="0" fillId="0" borderId="0" xfId="0" pivotButton="1"/>
    <xf numFmtId="0" fontId="0" fillId="0" borderId="0" xfId="0" applyAlignment="1">
      <alignment horizontal="left"/>
    </xf>
    <xf numFmtId="9" fontId="0" fillId="0" borderId="0" xfId="2" applyFont="1"/>
    <xf numFmtId="0" fontId="5" fillId="0" borderId="0" xfId="0" applyFont="1"/>
    <xf numFmtId="9" fontId="2" fillId="0" borderId="0" xfId="2" applyFont="1"/>
    <xf numFmtId="0" fontId="0" fillId="2" borderId="0" xfId="0" applyFill="1" applyAlignment="1">
      <alignment horizontal="left"/>
    </xf>
    <xf numFmtId="0" fontId="0" fillId="2" borderId="0" xfId="0" applyFill="1"/>
    <xf numFmtId="9" fontId="0" fillId="2" borderId="0" xfId="2" applyFont="1" applyFill="1"/>
    <xf numFmtId="0" fontId="2" fillId="0" borderId="1" xfId="0" applyFont="1" applyBorder="1"/>
    <xf numFmtId="0" fontId="0" fillId="0" borderId="1" xfId="0" applyBorder="1"/>
    <xf numFmtId="0" fontId="7" fillId="0" borderId="0" xfId="0" applyFont="1" applyAlignment="1">
      <alignment horizontal="left" vertical="center" indent="6"/>
    </xf>
    <xf numFmtId="0" fontId="11" fillId="0" borderId="0" xfId="0" applyFont="1" applyAlignment="1">
      <alignment horizontal="left" vertical="center" indent="6"/>
    </xf>
    <xf numFmtId="0" fontId="6" fillId="0" borderId="0" xfId="0" applyFont="1"/>
    <xf numFmtId="0" fontId="3" fillId="0" borderId="0" xfId="0" applyFont="1" applyAlignment="1">
      <alignment horizontal="left" vertical="center" indent="6"/>
    </xf>
    <xf numFmtId="0" fontId="0" fillId="0" borderId="2" xfId="0" applyBorder="1"/>
    <xf numFmtId="0" fontId="0" fillId="0" borderId="3" xfId="0" applyBorder="1"/>
    <xf numFmtId="2" fontId="0" fillId="0" borderId="0" xfId="0" applyNumberFormat="1"/>
    <xf numFmtId="0" fontId="12" fillId="0" borderId="0" xfId="0" applyFont="1"/>
    <xf numFmtId="0" fontId="2" fillId="0" borderId="1" xfId="0" applyFont="1" applyBorder="1" applyAlignment="1">
      <alignment vertical="top"/>
    </xf>
    <xf numFmtId="0" fontId="2" fillId="0" borderId="1" xfId="0" applyFont="1" applyBorder="1" applyAlignment="1">
      <alignment vertical="top" wrapText="1"/>
    </xf>
    <xf numFmtId="2" fontId="0" fillId="0" borderId="1" xfId="0" applyNumberFormat="1" applyBorder="1"/>
    <xf numFmtId="0" fontId="13" fillId="3" borderId="0" xfId="0" applyFont="1" applyFill="1"/>
    <xf numFmtId="0" fontId="0" fillId="3" borderId="0" xfId="0" applyFill="1"/>
    <xf numFmtId="0" fontId="2" fillId="3" borderId="0" xfId="0" applyFont="1" applyFill="1"/>
    <xf numFmtId="17" fontId="0" fillId="3" borderId="0" xfId="0" applyNumberFormat="1" applyFill="1"/>
    <xf numFmtId="0" fontId="7" fillId="0" borderId="0" xfId="0" applyFont="1"/>
    <xf numFmtId="1" fontId="0" fillId="0" borderId="1" xfId="0" applyNumberFormat="1" applyBorder="1"/>
    <xf numFmtId="0" fontId="2" fillId="3" borderId="0" xfId="0" applyFont="1" applyFill="1" applyAlignment="1">
      <alignment horizontal="right"/>
    </xf>
    <xf numFmtId="2" fontId="2" fillId="3" borderId="0" xfId="0" applyNumberFormat="1" applyFont="1" applyFill="1" applyAlignment="1">
      <alignment horizontal="left"/>
    </xf>
    <xf numFmtId="0" fontId="2" fillId="0" borderId="0" xfId="0" applyFont="1" applyAlignment="1">
      <alignment horizontal="right"/>
    </xf>
    <xf numFmtId="2" fontId="2" fillId="0" borderId="0" xfId="0" applyNumberFormat="1" applyFont="1" applyAlignment="1">
      <alignment horizontal="left"/>
    </xf>
    <xf numFmtId="0" fontId="2" fillId="0" borderId="0" xfId="0" applyFont="1" applyAlignment="1">
      <alignment horizontal="left"/>
    </xf>
    <xf numFmtId="9" fontId="0" fillId="0" borderId="1" xfId="2" applyFont="1" applyBorder="1"/>
    <xf numFmtId="0" fontId="14" fillId="0" borderId="0" xfId="0" applyFont="1"/>
    <xf numFmtId="0" fontId="0" fillId="0" borderId="1" xfId="0" applyBorder="1" applyAlignment="1">
      <alignment wrapText="1"/>
    </xf>
    <xf numFmtId="0" fontId="0" fillId="0" borderId="0" xfId="0" applyAlignment="1">
      <alignment wrapText="1"/>
    </xf>
    <xf numFmtId="2" fontId="12" fillId="3" borderId="0" xfId="0" applyNumberFormat="1" applyFont="1" applyFill="1" applyAlignment="1">
      <alignment horizontal="left"/>
    </xf>
    <xf numFmtId="2" fontId="2" fillId="3" borderId="0" xfId="0" applyNumberFormat="1" applyFont="1" applyFill="1"/>
    <xf numFmtId="0" fontId="16" fillId="0" borderId="1" xfId="0" applyFont="1" applyBorder="1" applyAlignment="1">
      <alignment vertical="top"/>
    </xf>
    <xf numFmtId="0" fontId="10" fillId="0" borderId="1" xfId="0" applyFont="1" applyBorder="1"/>
    <xf numFmtId="0" fontId="17" fillId="0" borderId="1" xfId="0" applyFont="1" applyBorder="1"/>
    <xf numFmtId="0" fontId="2" fillId="2" borderId="1" xfId="0" applyFont="1" applyFill="1" applyBorder="1"/>
    <xf numFmtId="0" fontId="2" fillId="0" borderId="4" xfId="0" applyFont="1" applyBorder="1"/>
    <xf numFmtId="0" fontId="2" fillId="3" borderId="1" xfId="0" applyFont="1" applyFill="1" applyBorder="1" applyAlignment="1">
      <alignment vertical="top"/>
    </xf>
    <xf numFmtId="2" fontId="0" fillId="3" borderId="1" xfId="0" applyNumberFormat="1" applyFill="1" applyBorder="1"/>
    <xf numFmtId="0" fontId="10" fillId="0" borderId="0" xfId="0" applyFont="1"/>
    <xf numFmtId="0" fontId="0" fillId="0" borderId="0" xfId="0" applyAlignment="1">
      <alignment vertical="top" wrapText="1"/>
    </xf>
    <xf numFmtId="0" fontId="0" fillId="0" borderId="0" xfId="0" applyAlignment="1">
      <alignment vertical="top"/>
    </xf>
    <xf numFmtId="9" fontId="0" fillId="0" borderId="1" xfId="2" applyNumberFormat="1" applyFont="1" applyBorder="1"/>
  </cellXfs>
  <cellStyles count="3">
    <cellStyle name="Currency" xfId="1" builtinId="4"/>
    <cellStyle name="Normal" xfId="0" builtinId="0"/>
    <cellStyle name="Percent" xfId="2" builtinId="5"/>
  </cellStyles>
  <dxfs count="3">
    <dxf>
      <numFmt numFmtId="2" formatCode="0.00"/>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shell, Amy" refreshedDate="46088.656403125002" createdVersion="8" refreshedVersion="8" minRefreshableVersion="3" recordCount="1471" xr:uid="{80CBCFC4-ED27-4891-9350-C8BC7281899B}">
  <cacheSource type="worksheet">
    <worksheetSource ref="A1:AI1472" sheet="Clean_Data"/>
  </cacheSource>
  <cacheFields count="35">
    <cacheField name="EmployeeNumber" numFmtId="0">
      <sharedItems containsSemiMixedTypes="0" containsString="0" containsNumber="1" containsInteger="1" minValue="1" maxValue="2068" count="1471">
        <n v="701"/>
        <n v="1876"/>
        <n v="1928"/>
        <n v="243"/>
        <n v="1273"/>
        <n v="1433"/>
        <n v="1427"/>
        <n v="1692"/>
        <n v="1079"/>
        <n v="405"/>
        <n v="4"/>
        <n v="1624"/>
        <n v="1248"/>
        <n v="16"/>
        <n v="19"/>
        <n v="881"/>
        <n v="27"/>
        <n v="31"/>
        <n v="922"/>
        <n v="42"/>
        <n v="45"/>
        <n v="47"/>
        <n v="55"/>
        <n v="1569"/>
        <n v="64"/>
        <n v="65"/>
        <n v="90"/>
        <n v="1004"/>
        <n v="1818"/>
        <n v="478"/>
        <n v="1747"/>
        <n v="118"/>
        <n v="1219"/>
        <n v="741"/>
        <n v="133"/>
        <n v="142"/>
        <n v="147"/>
        <n v="163"/>
        <n v="1331"/>
        <n v="167"/>
        <n v="179"/>
        <n v="816"/>
        <n v="1077"/>
        <n v="235"/>
        <n v="555"/>
        <n v="848"/>
        <n v="1405"/>
        <n v="1783"/>
        <n v="261"/>
        <n v="994"/>
        <n v="1017"/>
        <n v="1939"/>
        <n v="282"/>
        <n v="291"/>
        <n v="300"/>
        <n v="315"/>
        <n v="1175"/>
        <n v="325"/>
        <n v="331"/>
        <n v="565"/>
        <n v="342"/>
        <n v="355"/>
        <n v="1016"/>
        <n v="364"/>
        <n v="1279"/>
        <n v="1691"/>
        <n v="297"/>
        <n v="376"/>
        <n v="392"/>
        <n v="923"/>
        <n v="394"/>
        <n v="401"/>
        <n v="328"/>
        <n v="494"/>
        <n v="608"/>
        <n v="1467"/>
        <n v="1042"/>
        <n v="1752"/>
        <n v="433"/>
        <n v="927"/>
        <n v="440"/>
        <n v="1379"/>
        <n v="896"/>
        <n v="454"/>
        <n v="485"/>
        <n v="1944"/>
        <n v="647"/>
        <n v="488"/>
        <n v="137"/>
        <n v="492"/>
        <n v="502"/>
        <n v="510"/>
        <n v="514"/>
        <n v="538"/>
        <n v="566"/>
        <n v="582"/>
        <n v="584"/>
        <n v="587"/>
        <n v="1537"/>
        <n v="593"/>
        <n v="248"/>
        <n v="614"/>
        <n v="926"/>
        <n v="622"/>
        <n v="631"/>
        <n v="190"/>
        <n v="554"/>
        <n v="648"/>
        <n v="650"/>
        <n v="667"/>
        <n v="684"/>
        <n v="702"/>
        <n v="1299"/>
        <n v="723"/>
        <n v="752"/>
        <n v="780"/>
        <n v="787"/>
        <n v="796"/>
        <n v="811"/>
        <n v="1101"/>
        <n v="825"/>
        <n v="828"/>
        <n v="842"/>
        <n v="175"/>
        <n v="720"/>
        <n v="1489"/>
        <n v="1380"/>
        <n v="1458"/>
        <n v="911"/>
        <n v="918"/>
        <n v="932"/>
        <n v="952"/>
        <n v="959"/>
        <n v="1033"/>
        <n v="960"/>
        <n v="967"/>
        <n v="970"/>
        <n v="977"/>
        <n v="991"/>
        <n v="1010"/>
        <n v="33"/>
        <n v="1037"/>
        <n v="161"/>
        <n v="1052"/>
        <n v="1053"/>
        <n v="1081"/>
        <n v="1082"/>
        <n v="1098"/>
        <n v="1100"/>
        <n v="1106"/>
        <n v="1107"/>
        <n v="1108"/>
        <n v="1111"/>
        <n v="1113"/>
        <n v="1127"/>
        <n v="445"/>
        <n v="819"/>
        <n v="1156"/>
        <n v="1188"/>
        <n v="1160"/>
        <n v="1167"/>
        <n v="1200"/>
        <n v="1203"/>
        <n v="1210"/>
        <n v="1487"/>
        <n v="1"/>
        <n v="1309"/>
        <n v="1310"/>
        <n v="1318"/>
        <n v="1319"/>
        <n v="1333"/>
        <n v="1338"/>
        <n v="1372"/>
        <n v="1389"/>
        <n v="785"/>
        <n v="1420"/>
        <n v="1439"/>
        <n v="1457"/>
        <n v="1464"/>
        <n v="299"/>
        <n v="1486"/>
        <n v="1494"/>
        <n v="1504"/>
        <n v="1522"/>
        <n v="1869"/>
        <n v="1165"/>
        <n v="1534"/>
        <n v="1459"/>
        <n v="1421"/>
        <n v="283"/>
        <n v="840"/>
        <n v="1562"/>
        <n v="1295"/>
        <n v="1573"/>
        <n v="1157"/>
        <n v="1758"/>
        <n v="1604"/>
        <n v="1821"/>
        <n v="1639"/>
        <n v="1645"/>
        <n v="1649"/>
        <n v="1667"/>
        <n v="1684"/>
        <n v="1933"/>
        <n v="1702"/>
        <n v="590"/>
        <n v="1360"/>
        <n v="1714"/>
        <n v="1716"/>
        <n v="1572"/>
        <n v="165"/>
        <n v="1733"/>
        <n v="1734"/>
        <n v="1761"/>
        <n v="1767"/>
        <n v="1780"/>
        <n v="1792"/>
        <n v="1797"/>
        <n v="1807"/>
        <n v="1809"/>
        <n v="986"/>
        <n v="1842"/>
        <n v="1844"/>
        <n v="1862"/>
        <n v="1868"/>
        <n v="1878"/>
        <n v="1905"/>
        <n v="1907"/>
        <n v="1960"/>
        <n v="1967"/>
        <n v="1968"/>
        <n v="1277"/>
        <n v="2023"/>
        <n v="2027"/>
        <n v="2032"/>
        <n v="58"/>
        <n v="2044"/>
        <n v="2055"/>
        <n v="1038"/>
        <n v="2029"/>
        <n v="1012"/>
        <n v="1056"/>
        <n v="1974"/>
        <n v="411"/>
        <n v="1270"/>
        <n v="30"/>
        <n v="1482"/>
        <n v="704"/>
        <n v="201"/>
        <n v="1839"/>
        <n v="2"/>
        <n v="7"/>
        <n v="1368"/>
        <n v="8"/>
        <n v="11"/>
        <n v="12"/>
        <n v="13"/>
        <n v="14"/>
        <n v="18"/>
        <n v="2051"/>
        <n v="1068"/>
        <n v="21"/>
        <n v="1246"/>
        <n v="22"/>
        <n v="49"/>
        <n v="24"/>
        <n v="35"/>
        <n v="1374"/>
        <n v="39"/>
        <n v="1495"/>
        <n v="40"/>
        <n v="41"/>
        <n v="1581"/>
        <n v="53"/>
        <n v="1441"/>
        <n v="56"/>
        <n v="1131"/>
        <n v="60"/>
        <n v="61"/>
        <n v="62"/>
        <n v="63"/>
        <n v="680"/>
        <n v="70"/>
        <n v="74"/>
        <n v="76"/>
        <n v="77"/>
        <n v="1303"/>
        <n v="78"/>
        <n v="85"/>
        <n v="1856"/>
        <n v="86"/>
        <n v="1461"/>
        <n v="1762"/>
        <n v="391"/>
        <n v="88"/>
        <n v="94"/>
        <n v="95"/>
        <n v="96"/>
        <n v="1937"/>
        <n v="100"/>
        <n v="101"/>
        <n v="102"/>
        <n v="103"/>
        <n v="286"/>
        <n v="104"/>
        <n v="974"/>
        <n v="105"/>
        <n v="1202"/>
        <n v="106"/>
        <n v="110"/>
        <n v="112"/>
        <n v="655"/>
        <n v="1987"/>
        <n v="113"/>
        <n v="116"/>
        <n v="117"/>
        <n v="483"/>
        <n v="119"/>
        <n v="1055"/>
        <n v="120"/>
        <n v="216"/>
        <n v="332"/>
        <n v="124"/>
        <n v="125"/>
        <n v="511"/>
        <n v="129"/>
        <n v="131"/>
        <n v="132"/>
        <n v="134"/>
        <n v="139"/>
        <n v="996"/>
        <n v="834"/>
        <n v="143"/>
        <n v="260"/>
        <n v="150"/>
        <n v="245"/>
        <n v="152"/>
        <n v="158"/>
        <n v="159"/>
        <n v="160"/>
        <n v="162"/>
        <n v="169"/>
        <n v="176"/>
        <n v="178"/>
        <n v="247"/>
        <n v="183"/>
        <n v="933"/>
        <n v="184"/>
        <n v="192"/>
        <n v="195"/>
        <n v="198"/>
        <n v="199"/>
        <n v="200"/>
        <n v="951"/>
        <n v="204"/>
        <n v="205"/>
        <n v="206"/>
        <n v="208"/>
        <n v="54"/>
        <n v="763"/>
        <n v="211"/>
        <n v="1044"/>
        <n v="215"/>
        <n v="217"/>
        <n v="218"/>
        <n v="221"/>
        <n v="223"/>
        <n v="224"/>
        <n v="1576"/>
        <n v="227"/>
        <n v="164"/>
        <n v="471"/>
        <n v="1292"/>
        <n v="231"/>
        <n v="233"/>
        <n v="238"/>
        <n v="930"/>
        <n v="239"/>
        <n v="1850"/>
        <n v="242"/>
        <n v="249"/>
        <n v="254"/>
        <n v="256"/>
        <n v="259"/>
        <n v="262"/>
        <n v="264"/>
        <n v="79"/>
        <n v="267"/>
        <n v="271"/>
        <n v="273"/>
        <n v="274"/>
        <n v="1554"/>
        <n v="275"/>
        <n v="277"/>
        <n v="281"/>
        <n v="284"/>
        <n v="287"/>
        <n v="1675"/>
        <n v="288"/>
        <n v="292"/>
        <n v="296"/>
        <n v="430"/>
        <n v="304"/>
        <n v="1760"/>
        <n v="306"/>
        <n v="307"/>
        <n v="434"/>
        <n v="308"/>
        <n v="309"/>
        <n v="311"/>
        <n v="319"/>
        <n v="826"/>
        <n v="1120"/>
        <n v="321"/>
        <n v="329"/>
        <n v="912"/>
        <n v="1364"/>
        <n v="333"/>
        <n v="501"/>
        <n v="334"/>
        <n v="335"/>
        <n v="838"/>
        <n v="856"/>
        <n v="336"/>
        <n v="337"/>
        <n v="339"/>
        <n v="341"/>
        <n v="571"/>
        <n v="346"/>
        <n v="349"/>
        <n v="805"/>
        <n v="517"/>
        <n v="666"/>
        <n v="352"/>
        <n v="1265"/>
        <n v="1674"/>
        <n v="353"/>
        <n v="351"/>
        <n v="359"/>
        <n v="361"/>
        <n v="362"/>
        <n v="366"/>
        <n v="662"/>
        <n v="305"/>
        <n v="194"/>
        <n v="367"/>
        <n v="369"/>
        <n v="46"/>
        <n v="372"/>
        <n v="373"/>
        <n v="374"/>
        <n v="686"/>
        <n v="377"/>
        <n v="378"/>
        <n v="10"/>
        <n v="379"/>
        <n v="385"/>
        <n v="386"/>
        <n v="387"/>
        <n v="388"/>
        <n v="389"/>
        <n v="390"/>
        <n v="393"/>
        <n v="397"/>
        <n v="403"/>
        <n v="406"/>
        <n v="407"/>
        <n v="408"/>
        <n v="410"/>
        <n v="412"/>
        <n v="416"/>
        <n v="417"/>
        <n v="420"/>
        <n v="422"/>
        <n v="423"/>
        <n v="424"/>
        <n v="425"/>
        <n v="1234"/>
        <n v="252"/>
        <n v="426"/>
        <n v="429"/>
        <n v="437"/>
        <n v="438"/>
        <n v="802"/>
        <n v="444"/>
        <n v="1657"/>
        <n v="399"/>
        <n v="446"/>
        <n v="447"/>
        <n v="449"/>
        <n v="452"/>
        <n v="453"/>
        <n v="455"/>
        <n v="460"/>
        <n v="1001"/>
        <n v="1605"/>
        <n v="461"/>
        <n v="464"/>
        <n v="465"/>
        <n v="1190"/>
        <n v="155"/>
        <n v="657"/>
        <n v="2010"/>
        <n v="1297"/>
        <n v="466"/>
        <n v="467"/>
        <n v="1875"/>
        <n v="469"/>
        <n v="470"/>
        <n v="474"/>
        <n v="476"/>
        <n v="144"/>
        <n v="477"/>
        <n v="560"/>
        <n v="481"/>
        <n v="1969"/>
        <n v="482"/>
        <n v="484"/>
        <n v="5"/>
        <n v="491"/>
        <n v="338"/>
        <n v="1701"/>
        <n v="1893"/>
        <n v="493"/>
        <n v="495"/>
        <n v="496"/>
        <n v="177"/>
        <n v="1071"/>
        <n v="1409"/>
        <n v="497"/>
        <n v="498"/>
        <n v="499"/>
        <n v="2060"/>
        <n v="900"/>
        <n v="508"/>
        <n v="1709"/>
        <n v="2052"/>
        <n v="513"/>
        <n v="518"/>
        <n v="1269"/>
        <n v="520"/>
        <n v="522"/>
        <n v="525"/>
        <n v="530"/>
        <n v="26"/>
        <n v="57"/>
        <n v="75"/>
        <n v="942"/>
        <n v="531"/>
        <n v="1046"/>
        <n v="534"/>
        <n v="709"/>
        <n v="536"/>
        <n v="543"/>
        <n v="515"/>
        <n v="544"/>
        <n v="556"/>
        <n v="97"/>
        <n v="562"/>
        <n v="564"/>
        <n v="595"/>
        <n v="568"/>
        <n v="569"/>
        <n v="575"/>
        <n v="577"/>
        <n v="579"/>
        <n v="581"/>
        <n v="585"/>
        <n v="586"/>
        <n v="591"/>
        <n v="1402"/>
        <n v="592"/>
        <n v="659"/>
        <n v="1349"/>
        <n v="599"/>
        <n v="1062"/>
        <n v="600"/>
        <n v="604"/>
        <n v="605"/>
        <n v="606"/>
        <n v="1192"/>
        <n v="611"/>
        <n v="1011"/>
        <n v="1630"/>
        <n v="813"/>
        <n v="613"/>
        <n v="72"/>
        <n v="615"/>
        <n v="618"/>
        <n v="1445"/>
        <n v="1003"/>
        <n v="621"/>
        <n v="1513"/>
        <n v="626"/>
        <n v="15"/>
        <n v="630"/>
        <n v="1683"/>
        <n v="632"/>
        <n v="638"/>
        <n v="1583"/>
        <n v="639"/>
        <n v="197"/>
        <n v="641"/>
        <n v="1617"/>
        <n v="316"/>
        <n v="643"/>
        <n v="644"/>
        <n v="645"/>
        <n v="1027"/>
        <n v="649"/>
        <n v="652"/>
        <n v="653"/>
        <n v="807"/>
        <n v="656"/>
        <n v="661"/>
        <n v="241"/>
        <n v="663"/>
        <n v="507"/>
        <n v="669"/>
        <n v="797"/>
        <n v="671"/>
        <n v="675"/>
        <n v="677"/>
        <n v="1143"/>
        <n v="925"/>
        <n v="1447"/>
        <n v="683"/>
        <n v="1735"/>
        <n v="689"/>
        <n v="691"/>
        <n v="1114"/>
        <n v="1687"/>
        <n v="524"/>
        <n v="692"/>
        <n v="395"/>
        <n v="1607"/>
        <n v="698"/>
        <n v="193"/>
        <n v="699"/>
        <n v="700"/>
        <n v="705"/>
        <n v="707"/>
        <n v="710"/>
        <n v="712"/>
        <n v="793"/>
        <n v="715"/>
        <n v="716"/>
        <n v="214"/>
        <n v="722"/>
        <n v="792"/>
        <n v="1662"/>
        <n v="728"/>
        <n v="1085"/>
        <n v="1802"/>
        <n v="1009"/>
        <n v="804"/>
        <n v="729"/>
        <n v="730"/>
        <n v="731"/>
        <n v="1909"/>
        <n v="732"/>
        <n v="733"/>
        <n v="734"/>
        <n v="738"/>
        <n v="744"/>
        <n v="747"/>
        <n v="749"/>
        <n v="51"/>
        <n v="754"/>
        <n v="758"/>
        <n v="1180"/>
        <n v="1314"/>
        <n v="762"/>
        <n v="98"/>
        <n v="269"/>
        <n v="766"/>
        <n v="769"/>
        <n v="1980"/>
        <n v="772"/>
        <n v="773"/>
        <n v="1285"/>
        <n v="1751"/>
        <n v="776"/>
        <n v="521"/>
        <n v="1829"/>
        <n v="529"/>
        <n v="250"/>
        <n v="783"/>
        <n v="486"/>
        <n v="995"/>
        <n v="784"/>
        <n v="786"/>
        <n v="789"/>
        <n v="1195"/>
        <n v="791"/>
        <n v="800"/>
        <n v="806"/>
        <n v="809"/>
        <n v="527"/>
        <n v="812"/>
        <n v="815"/>
        <n v="1710"/>
        <n v="817"/>
        <n v="151"/>
        <n v="824"/>
        <n v="1757"/>
        <n v="1647"/>
        <n v="526"/>
        <n v="551"/>
        <n v="903"/>
        <n v="1281"/>
        <n v="829"/>
        <n v="1220"/>
        <n v="1864"/>
        <n v="832"/>
        <n v="836"/>
        <n v="721"/>
        <n v="837"/>
        <n v="547"/>
        <n v="843"/>
        <n v="844"/>
        <n v="845"/>
        <n v="847"/>
        <n v="887"/>
        <n v="850"/>
        <n v="1834"/>
        <n v="1503"/>
        <n v="852"/>
        <n v="854"/>
        <n v="975"/>
        <n v="1080"/>
        <n v="855"/>
        <n v="857"/>
        <n v="859"/>
        <n v="861"/>
        <n v="1311"/>
        <n v="1411"/>
        <n v="864"/>
        <n v="1362"/>
        <n v="1598"/>
        <n v="714"/>
        <n v="868"/>
        <n v="869"/>
        <n v="1097"/>
        <n v="872"/>
        <n v="1614"/>
        <n v="874"/>
        <n v="875"/>
        <n v="1480"/>
        <n v="878"/>
        <n v="879"/>
        <n v="882"/>
        <n v="885"/>
        <n v="888"/>
        <n v="889"/>
        <n v="893"/>
        <n v="895"/>
        <n v="897"/>
        <n v="1298"/>
        <n v="899"/>
        <n v="1782"/>
        <n v="904"/>
        <n v="905"/>
        <n v="910"/>
        <n v="913"/>
        <n v="916"/>
        <n v="924"/>
        <n v="934"/>
        <n v="939"/>
        <n v="475"/>
        <n v="941"/>
        <n v="171"/>
        <n v="945"/>
        <n v="949"/>
        <n v="602"/>
        <n v="954"/>
        <n v="1249"/>
        <n v="1646"/>
        <n v="956"/>
        <n v="920"/>
        <n v="957"/>
        <n v="1481"/>
        <n v="958"/>
        <n v="1870"/>
        <n v="846"/>
        <n v="1428"/>
        <n v="578"/>
        <n v="2054"/>
        <n v="1886"/>
        <n v="1509"/>
        <n v="964"/>
        <n v="138"/>
        <n v="550"/>
        <n v="972"/>
        <n v="976"/>
        <n v="981"/>
        <n v="1502"/>
        <n v="982"/>
        <n v="2046"/>
        <n v="984"/>
        <n v="985"/>
        <n v="620"/>
        <n v="987"/>
        <n v="450"/>
        <n v="990"/>
        <n v="992"/>
        <n v="1622"/>
        <n v="2009"/>
        <n v="997"/>
        <n v="999"/>
        <n v="1002"/>
        <n v="350"/>
        <n v="1005"/>
        <n v="1006"/>
        <n v="1007"/>
        <n v="1018"/>
        <n v="1019"/>
        <n v="1022"/>
        <n v="2018"/>
        <n v="1024"/>
        <n v="1028"/>
        <n v="340"/>
        <n v="246"/>
        <n v="1029"/>
        <n v="330"/>
        <n v="1640"/>
        <n v="500"/>
        <n v="1030"/>
        <n v="1034"/>
        <n v="1036"/>
        <n v="1047"/>
        <n v="1048"/>
        <n v="1049"/>
        <n v="1745"/>
        <n v="1060"/>
        <n v="1061"/>
        <n v="1066"/>
        <n v="1916"/>
        <n v="1069"/>
        <n v="1074"/>
        <n v="1076"/>
        <n v="1235"/>
        <n v="128"/>
        <n v="1025"/>
        <n v="240"/>
        <n v="1083"/>
        <n v="1084"/>
        <n v="1092"/>
        <n v="1633"/>
        <n v="439"/>
        <n v="1094"/>
        <n v="1096"/>
        <n v="574"/>
        <n v="1099"/>
        <n v="1102"/>
        <n v="771"/>
        <n v="1103"/>
        <n v="775"/>
        <n v="2025"/>
        <n v="1756"/>
        <n v="1109"/>
        <n v="1845"/>
        <n v="1115"/>
        <n v="1254"/>
        <n v="865"/>
        <n v="909"/>
        <n v="1962"/>
        <n v="1116"/>
        <n v="1118"/>
        <n v="1119"/>
        <n v="121"/>
        <n v="1124"/>
        <n v="1125"/>
        <n v="436"/>
        <n v="823"/>
        <n v="894"/>
        <n v="1736"/>
        <n v="1128"/>
        <n v="1132"/>
        <n v="448"/>
        <n v="487"/>
        <n v="270"/>
        <n v="1133"/>
        <n v="1135"/>
        <n v="1136"/>
        <n v="1137"/>
        <n v="1138"/>
        <n v="1140"/>
        <n v="1148"/>
        <n v="1150"/>
        <n v="1152"/>
        <n v="107"/>
        <n v="1154"/>
        <n v="1158"/>
        <n v="2041"/>
        <n v="1162"/>
        <n v="1369"/>
        <n v="1681"/>
        <n v="1164"/>
        <n v="52"/>
        <n v="1935"/>
        <n v="1171"/>
        <n v="1172"/>
        <n v="1173"/>
        <n v="1177"/>
        <n v="1179"/>
        <n v="1835"/>
        <n v="1182"/>
        <n v="1294"/>
        <n v="1184"/>
        <n v="1185"/>
        <n v="1193"/>
        <n v="1658"/>
        <n v="1198"/>
        <n v="68"/>
        <n v="1392"/>
        <n v="1206"/>
        <n v="1784"/>
        <n v="1207"/>
        <n v="91"/>
        <n v="1211"/>
        <n v="1673"/>
        <n v="1212"/>
        <n v="1216"/>
        <n v="1217"/>
        <n v="799"/>
        <n v="1218"/>
        <n v="1221"/>
        <n v="998"/>
        <n v="1224"/>
        <n v="1225"/>
        <n v="1226"/>
        <n v="690"/>
        <n v="1228"/>
        <n v="902"/>
        <n v="1231"/>
        <n v="1233"/>
        <n v="1238"/>
        <n v="1240"/>
        <n v="1117"/>
        <n v="202"/>
        <n v="382"/>
        <n v="1241"/>
        <n v="1436"/>
        <n v="1244"/>
        <n v="1250"/>
        <n v="983"/>
        <n v="1880"/>
        <n v="419"/>
        <n v="1251"/>
        <n v="1986"/>
        <n v="1255"/>
        <n v="1256"/>
        <n v="1163"/>
        <n v="516"/>
        <n v="1161"/>
        <n v="1929"/>
        <n v="1257"/>
        <n v="1258"/>
        <n v="1259"/>
        <n v="1260"/>
        <n v="1263"/>
        <n v="1267"/>
        <n v="1403"/>
        <n v="1611"/>
        <n v="1635"/>
        <n v="1268"/>
        <n v="441"/>
        <n v="1275"/>
        <n v="1278"/>
        <n v="1282"/>
        <n v="1283"/>
        <n v="961"/>
        <n v="1286"/>
        <n v="1555"/>
        <n v="182"/>
        <n v="1888"/>
        <n v="1288"/>
        <n v="1289"/>
        <n v="1291"/>
        <n v="1296"/>
        <n v="303"/>
        <n v="1301"/>
        <n v="1304"/>
        <n v="1308"/>
        <n v="803"/>
        <n v="665"/>
        <n v="1779"/>
        <n v="827"/>
        <n v="548"/>
        <n v="456"/>
        <n v="1322"/>
        <n v="1356"/>
        <n v="1329"/>
        <n v="757"/>
        <n v="1587"/>
        <n v="1334"/>
        <n v="1340"/>
        <n v="1344"/>
        <n v="830"/>
        <n v="1346"/>
        <n v="1350"/>
        <n v="781"/>
        <n v="1352"/>
        <n v="1358"/>
        <n v="458"/>
        <n v="1361"/>
        <n v="1363"/>
        <n v="1371"/>
        <n v="936"/>
        <n v="1373"/>
        <n v="1377"/>
        <n v="1382"/>
        <n v="1387"/>
        <n v="1390"/>
        <n v="679"/>
        <n v="1985"/>
        <n v="1391"/>
        <n v="1394"/>
        <n v="1395"/>
        <n v="1040"/>
        <n v="1396"/>
        <n v="1375"/>
        <n v="1397"/>
        <n v="1399"/>
        <n v="1407"/>
        <n v="1412"/>
        <n v="760"/>
        <n v="1415"/>
        <n v="384"/>
        <n v="1417"/>
        <n v="1419"/>
        <n v="1557"/>
        <n v="635"/>
        <n v="1424"/>
        <n v="1431"/>
        <n v="1196"/>
        <n v="1434"/>
        <n v="808"/>
        <n v="1898"/>
        <n v="1435"/>
        <n v="1822"/>
        <n v="1724"/>
        <n v="1438"/>
        <n v="523"/>
        <n v="347"/>
        <n v="1440"/>
        <n v="1446"/>
        <n v="170"/>
        <n v="533"/>
        <n v="1448"/>
        <n v="1449"/>
        <n v="1912"/>
        <n v="1453"/>
        <n v="1460"/>
        <n v="1465"/>
        <n v="1466"/>
        <n v="2045"/>
        <n v="479"/>
        <n v="1955"/>
        <n v="1468"/>
        <n v="1315"/>
        <n v="1383"/>
        <n v="1105"/>
        <n v="2035"/>
        <n v="966"/>
        <n v="1469"/>
        <n v="1471"/>
        <n v="1472"/>
        <n v="1473"/>
        <n v="1474"/>
        <n v="1475"/>
        <n v="1477"/>
        <n v="1478"/>
        <n v="1479"/>
        <n v="616"/>
        <n v="764"/>
        <n v="1252"/>
        <n v="1585"/>
        <n v="1483"/>
        <n v="1484"/>
        <n v="1485"/>
        <n v="1239"/>
        <n v="1830"/>
        <n v="1492"/>
        <n v="833"/>
        <n v="1496"/>
        <n v="1355"/>
        <n v="1497"/>
        <n v="1499"/>
        <n v="947"/>
        <n v="969"/>
        <n v="1847"/>
        <n v="1501"/>
        <n v="1506"/>
        <n v="1312"/>
        <n v="1507"/>
        <n v="1514"/>
        <n v="1515"/>
        <n v="462"/>
        <n v="1516"/>
        <n v="1523"/>
        <n v="1533"/>
        <n v="944"/>
        <n v="1535"/>
        <n v="725"/>
        <n v="1539"/>
        <n v="1541"/>
        <n v="1542"/>
        <n v="145"/>
        <n v="623"/>
        <n v="1543"/>
        <n v="1050"/>
        <n v="1545"/>
        <n v="1546"/>
        <n v="1547"/>
        <n v="724"/>
        <n v="1548"/>
        <n v="81"/>
        <n v="1549"/>
        <n v="2024"/>
        <n v="1121"/>
        <n v="1550"/>
        <n v="1551"/>
        <n v="1638"/>
        <n v="1552"/>
        <n v="1553"/>
        <n v="1556"/>
        <n v="743"/>
        <n v="1703"/>
        <n v="1558"/>
        <n v="1560"/>
        <n v="312"/>
        <n v="1641"/>
        <n v="1563"/>
        <n v="1564"/>
        <n v="1651"/>
        <n v="1568"/>
        <n v="1915"/>
        <n v="1574"/>
        <n v="1577"/>
        <n v="1578"/>
        <n v="1580"/>
        <n v="463"/>
        <n v="1582"/>
        <n v="1586"/>
        <n v="1525"/>
        <n v="1588"/>
        <n v="682"/>
        <n v="1590"/>
        <n v="1591"/>
        <n v="567"/>
        <n v="1592"/>
        <n v="1594"/>
        <n v="1595"/>
        <n v="1596"/>
        <n v="1597"/>
        <n v="1529"/>
        <n v="1599"/>
        <n v="717"/>
        <n v="1601"/>
        <n v="1602"/>
        <n v="230"/>
        <n v="1606"/>
        <n v="1609"/>
        <n v="1612"/>
        <n v="314"/>
        <n v="1613"/>
        <n v="1088"/>
        <n v="1615"/>
        <n v="2040"/>
        <n v="1618"/>
        <n v="1619"/>
        <n v="1073"/>
        <n v="302"/>
        <n v="1621"/>
        <n v="442"/>
        <n v="1623"/>
        <n v="207"/>
        <n v="1627"/>
        <n v="580"/>
        <n v="1631"/>
        <n v="174"/>
        <n v="1642"/>
        <n v="1644"/>
        <n v="1425"/>
        <n v="1648"/>
        <n v="1650"/>
        <n v="228"/>
        <n v="1653"/>
        <n v="1654"/>
        <n v="1659"/>
        <n v="1664"/>
        <n v="1666"/>
        <n v="1668"/>
        <n v="1669"/>
        <n v="1670"/>
        <n v="1671"/>
        <n v="1833"/>
        <n v="1816"/>
        <n v="1677"/>
        <n v="1678"/>
        <n v="1680"/>
        <n v="1682"/>
        <n v="1544"/>
        <n v="1689"/>
        <n v="1693"/>
        <n v="154"/>
        <n v="1744"/>
        <n v="1694"/>
        <n v="634"/>
        <n v="1324"/>
        <n v="1696"/>
        <n v="1697"/>
        <n v="1698"/>
        <n v="1700"/>
        <n v="1704"/>
        <n v="20"/>
        <n v="1706"/>
        <n v="293"/>
        <n v="451"/>
        <n v="1707"/>
        <n v="1708"/>
        <n v="1712"/>
        <n v="83"/>
        <n v="1718"/>
        <n v="1720"/>
        <n v="1293"/>
        <n v="1721"/>
        <n v="36"/>
        <n v="1237"/>
        <n v="573"/>
        <n v="1722"/>
        <n v="1725"/>
        <n v="1727"/>
        <n v="1728"/>
        <n v="1827"/>
        <n v="1729"/>
        <n v="1243"/>
        <n v="1014"/>
        <n v="1731"/>
        <n v="2016"/>
        <n v="1628"/>
        <n v="1732"/>
        <n v="1815"/>
        <n v="244"/>
        <n v="1737"/>
        <n v="1739"/>
        <n v="1740"/>
        <n v="1245"/>
        <n v="1746"/>
        <n v="624"/>
        <n v="940"/>
        <n v="1749"/>
        <n v="1753"/>
        <n v="1754"/>
        <n v="1755"/>
        <n v="1763"/>
        <n v="880"/>
        <n v="1070"/>
        <n v="1764"/>
        <n v="1013"/>
        <n v="1766"/>
        <n v="1768"/>
        <n v="1770"/>
        <n v="1126"/>
        <n v="1771"/>
        <n v="1772"/>
        <n v="1774"/>
        <n v="1778"/>
        <n v="1043"/>
        <n v="1787"/>
        <n v="1789"/>
        <n v="1790"/>
        <n v="862"/>
        <n v="343"/>
        <n v="1794"/>
        <n v="1979"/>
        <n v="1798"/>
        <n v="727"/>
        <n v="1799"/>
        <n v="1800"/>
        <n v="1015"/>
        <n v="1801"/>
        <n v="1803"/>
        <n v="153"/>
        <n v="1804"/>
        <n v="742"/>
        <n v="1805"/>
        <n v="428"/>
        <n v="1321"/>
        <n v="1812"/>
        <n v="2000"/>
        <n v="28"/>
        <n v="381"/>
        <n v="2056"/>
        <n v="421"/>
        <n v="1813"/>
        <n v="1814"/>
        <n v="1823"/>
        <n v="473"/>
        <n v="1026"/>
        <n v="1824"/>
        <n v="1826"/>
        <n v="1775"/>
        <n v="1786"/>
        <n v="1836"/>
        <n v="1367"/>
        <n v="1242"/>
        <n v="2015"/>
        <n v="532"/>
        <n v="1863"/>
        <n v="601"/>
        <n v="1837"/>
        <n v="1401"/>
        <n v="1656"/>
        <n v="1039"/>
        <n v="1849"/>
        <n v="73"/>
        <n v="1852"/>
        <n v="1853"/>
        <n v="1166"/>
        <n v="1854"/>
        <n v="404"/>
        <n v="126"/>
        <n v="2034"/>
        <n v="1857"/>
        <n v="950"/>
        <n v="298"/>
        <n v="380"/>
        <n v="1858"/>
        <n v="1859"/>
        <n v="1860"/>
        <n v="1032"/>
        <n v="258"/>
        <n v="2017"/>
        <n v="1865"/>
        <n v="1867"/>
        <n v="746"/>
        <n v="867"/>
        <n v="431"/>
        <n v="1661"/>
        <n v="1871"/>
        <n v="1873"/>
        <n v="901"/>
        <n v="1881"/>
        <n v="1882"/>
        <n v="1883"/>
        <n v="84"/>
        <n v="1885"/>
        <n v="1890"/>
        <n v="1892"/>
        <n v="1903"/>
        <n v="664"/>
        <n v="23"/>
        <n v="1676"/>
        <n v="468"/>
        <n v="1520"/>
        <n v="327"/>
        <n v="1264"/>
        <n v="612"/>
        <n v="1908"/>
        <n v="851"/>
        <n v="1911"/>
        <n v="1655"/>
        <n v="1430"/>
        <n v="1918"/>
        <n v="546"/>
        <n v="625"/>
        <n v="1922"/>
        <n v="1527"/>
        <n v="1924"/>
        <n v="505"/>
        <n v="1719"/>
        <n v="820"/>
        <n v="1927"/>
        <n v="1931"/>
        <n v="1408"/>
        <n v="1932"/>
        <n v="597"/>
        <n v="1934"/>
        <n v="363"/>
        <n v="1317"/>
        <n v="1936"/>
        <n v="1940"/>
        <n v="1941"/>
        <n v="1943"/>
        <n v="1204"/>
        <n v="1945"/>
        <n v="1947"/>
        <n v="1307"/>
        <n v="1948"/>
        <n v="1443"/>
        <n v="1900"/>
        <n v="1949"/>
        <n v="148"/>
        <n v="1422"/>
        <n v="1950"/>
        <n v="1665"/>
        <n v="1951"/>
        <n v="1952"/>
        <n v="1954"/>
        <n v="1956"/>
        <n v="1961"/>
        <n v="1045"/>
        <n v="1965"/>
        <n v="1966"/>
        <n v="1215"/>
        <n v="1938"/>
        <n v="1970"/>
        <n v="558"/>
        <n v="1306"/>
        <n v="141"/>
        <n v="1971"/>
        <n v="1972"/>
        <n v="1973"/>
        <n v="1975"/>
        <n v="1976"/>
        <n v="1981"/>
        <n v="1201"/>
        <n v="396"/>
        <n v="1982"/>
        <n v="1989"/>
        <n v="80"/>
        <n v="1280"/>
        <n v="140"/>
        <n v="1992"/>
        <n v="38"/>
        <n v="253"/>
        <n v="1993"/>
        <n v="1994"/>
        <n v="1608"/>
        <n v="1995"/>
        <n v="1996"/>
        <n v="32"/>
        <n v="1997"/>
        <n v="1998"/>
        <n v="1999"/>
        <n v="1336"/>
        <n v="2003"/>
        <n v="2007"/>
        <n v="2008"/>
        <n v="2012"/>
        <n v="2013"/>
        <n v="2014"/>
        <n v="2019"/>
        <n v="2020"/>
        <n v="2021"/>
        <n v="2022"/>
        <n v="1866"/>
        <n v="2026"/>
        <n v="2031"/>
        <n v="2036"/>
        <n v="323"/>
        <n v="2037"/>
        <n v="549"/>
        <n v="2038"/>
        <n v="2048"/>
        <n v="2049"/>
        <n v="2053"/>
        <n v="1625"/>
        <n v="1423"/>
        <n v="2057"/>
        <n v="2061"/>
        <n v="2062"/>
        <n v="2064"/>
        <n v="2065"/>
        <n v="226"/>
        <n v="1191"/>
        <n v="1035"/>
        <n v="2068"/>
      </sharedItems>
    </cacheField>
    <cacheField name="Active Employee?" numFmtId="0">
      <sharedItems/>
    </cacheField>
    <cacheField name="Attrition Flag" numFmtId="0">
      <sharedItems containsSemiMixedTypes="0" containsString="0" containsNumber="1" containsInteger="1" minValue="0" maxValue="1" count="2">
        <n v="0"/>
        <n v="1"/>
      </sharedItems>
    </cacheField>
    <cacheField name="JobRole" numFmtId="0">
      <sharedItems/>
    </cacheField>
    <cacheField name="Senior Leadership Filter" numFmtId="0">
      <sharedItems containsSemiMixedTypes="0" containsString="0" containsNumber="1" containsInteger="1" minValue="0" maxValue="1" count="2">
        <n v="0"/>
        <n v="1"/>
      </sharedItems>
    </cacheField>
    <cacheField name="Department" numFmtId="0">
      <sharedItems count="3">
        <s v="Research &amp; Development"/>
        <s v="Sales"/>
        <s v="Human Resources"/>
      </sharedItems>
    </cacheField>
    <cacheField name="JobLevel" numFmtId="0">
      <sharedItems containsSemiMixedTypes="0" containsString="0" containsNumber="1" containsInteger="1" minValue="1" maxValue="11"/>
    </cacheField>
    <cacheField name="AnnualCompensation" numFmtId="0">
      <sharedItems containsSemiMixedTypes="0" containsString="0" containsNumber="1" containsInteger="1" minValue="36108" maxValue="300000"/>
    </cacheField>
    <cacheField name="PercentSalaryHike" numFmtId="0">
      <sharedItems containsSemiMixedTypes="0" containsString="0" containsNumber="1" containsInteger="1" minValue="11" maxValue="25"/>
    </cacheField>
    <cacheField name="Weekly StandardHours" numFmtId="0">
      <sharedItems containsSemiMixedTypes="0" containsString="0" containsNumber="1" minValue="37.5" maxValue="37.5"/>
    </cacheField>
    <cacheField name="OverTime Eligible" numFmtId="0">
      <sharedItems/>
    </cacheField>
    <cacheField name="Age" numFmtId="0">
      <sharedItems containsSemiMixedTypes="0" containsString="0" containsNumber="1" containsInteger="1" minValue="18" maxValue="60"/>
    </cacheField>
    <cacheField name="GenderIdentity" numFmtId="0">
      <sharedItems/>
    </cacheField>
    <cacheField name="MaritalStatus" numFmtId="0">
      <sharedItems/>
    </cacheField>
    <cacheField name="BusinessTravel" numFmtId="0">
      <sharedItems count="3">
        <s v="Travel_Rarely"/>
        <s v="Travel_Frequently"/>
        <s v="Non-Travel"/>
      </sharedItems>
    </cacheField>
    <cacheField name="DistanceFromHome (kms)" numFmtId="0">
      <sharedItems containsSemiMixedTypes="0" containsString="0" containsNumber="1" containsInteger="1" minValue="1" maxValue="29"/>
    </cacheField>
    <cacheField name="Education Level" numFmtId="0">
      <sharedItems/>
    </cacheField>
    <cacheField name="EducationField" numFmtId="0">
      <sharedItems/>
    </cacheField>
    <cacheField name="PerformanceRating" numFmtId="0">
      <sharedItems containsSemiMixedTypes="0" containsString="0" containsNumber="1" containsInteger="1" minValue="3" maxValue="4"/>
    </cacheField>
    <cacheField name="StockOptionLevel" numFmtId="0">
      <sharedItems containsSemiMixedTypes="0" containsString="0" containsNumber="1" containsInteger="1" minValue="0" maxValue="3"/>
    </cacheField>
    <cacheField name="Years of Work Experience"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Tenure"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 Stage" numFmtId="0">
      <sharedItems count="3">
        <s v="Early Tenure"/>
        <s v="Mid Tenure"/>
        <s v="Long Tenure"/>
      </sharedItems>
    </cacheField>
    <cacheField name="Exit Date" numFmtId="14">
      <sharedItems containsNonDate="0" containsDate="1" containsString="0" containsBlank="1" minDate="2022-01-02T00:00:00" maxDate="2025-12-30T00:00:00"/>
    </cacheField>
    <cacheField name="Recent Exit Flag" numFmtId="0">
      <sharedItems containsSemiMixedTypes="0" containsString="0" containsNumber="1" containsInteger="1" minValue="0" maxValue="1" count="2">
        <n v="0"/>
        <n v="1"/>
      </sharedItems>
    </cacheField>
    <cacheField name="Exit Type" numFmtId="0">
      <sharedItems containsBlank="1"/>
    </cacheField>
    <cacheField name="WorkEnvironmentSatisfaction" numFmtId="0">
      <sharedItems containsSemiMixedTypes="0" containsString="0" containsNumber="1" containsInteger="1" minValue="1" maxValue="4" count="4">
        <n v="4"/>
        <n v="2"/>
        <n v="3"/>
        <n v="1"/>
      </sharedItems>
    </cacheField>
    <cacheField name="JobSatisfaction" numFmtId="0">
      <sharedItems containsSemiMixedTypes="0" containsString="0" containsNumber="1" containsInteger="1" minValue="1" maxValue="4" count="4">
        <n v="3"/>
        <n v="4"/>
        <n v="1"/>
        <n v="2"/>
      </sharedItems>
    </cacheField>
    <cacheField name="Manager Satisfaction" numFmtId="0">
      <sharedItems containsSemiMixedTypes="0" containsString="0" containsNumber="1" containsInteger="1" minValue="1" maxValue="4" count="4">
        <n v="4"/>
        <n v="3"/>
        <n v="2"/>
        <n v="1"/>
      </sharedItems>
    </cacheField>
    <cacheField name="WorkLifeBalance Score" numFmtId="0">
      <sharedItems containsSemiMixedTypes="0" containsString="0" containsNumber="1" containsInteger="1" minValue="1" maxValue="4" count="4">
        <n v="3"/>
        <n v="2"/>
        <n v="4"/>
        <n v="1"/>
      </sharedItems>
    </cacheField>
    <cacheField name="Overall Engagement Score" numFmtId="0">
      <sharedItems containsSemiMixedTypes="0" containsString="0" containsNumber="1" minValue="1" maxValue="4" count="13">
        <n v="3.5"/>
        <n v="2.75"/>
        <n v="2.5"/>
        <n v="1.75"/>
        <n v="3"/>
        <n v="3.25"/>
        <n v="2.25"/>
        <n v="3.75"/>
        <n v="2"/>
        <n v="1.5"/>
        <n v="1.25"/>
        <n v="1"/>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Yes"/>
    <x v="0"/>
    <s v="Research Scientist"/>
    <x v="0"/>
    <x v="0"/>
    <n v="1"/>
    <n v="36108"/>
    <n v="11"/>
    <n v="37.5"/>
    <s v="Yes"/>
    <n v="20"/>
    <s v="Man"/>
    <s v="Single"/>
    <x v="0"/>
    <n v="10"/>
    <s v="Trades Apprenticeship"/>
    <s v="Medical"/>
    <n v="3"/>
    <n v="0"/>
    <n v="1"/>
    <n v="5"/>
    <n v="1"/>
    <n v="0"/>
    <n v="1"/>
    <n v="1"/>
    <x v="0"/>
    <m/>
    <x v="0"/>
    <m/>
    <x v="0"/>
    <x v="0"/>
    <x v="0"/>
    <x v="0"/>
    <x v="0"/>
  </r>
  <r>
    <x v="1"/>
    <s v="Yes"/>
    <x v="0"/>
    <s v="Sales Representative"/>
    <x v="0"/>
    <x v="1"/>
    <n v="1"/>
    <n v="36972"/>
    <n v="13"/>
    <n v="37.5"/>
    <s v="No"/>
    <n v="30"/>
    <s v="Man"/>
    <s v="Single"/>
    <x v="0"/>
    <n v="9"/>
    <s v="Bachelor's Degree"/>
    <s v="Medical"/>
    <n v="3"/>
    <n v="0"/>
    <n v="1"/>
    <n v="3"/>
    <n v="1"/>
    <n v="0"/>
    <n v="0"/>
    <n v="0"/>
    <x v="0"/>
    <m/>
    <x v="0"/>
    <m/>
    <x v="1"/>
    <x v="1"/>
    <x v="1"/>
    <x v="1"/>
    <x v="1"/>
  </r>
  <r>
    <x v="2"/>
    <s v="Yes"/>
    <x v="0"/>
    <s v="Sales Representative"/>
    <x v="0"/>
    <x v="1"/>
    <n v="1"/>
    <n v="37092"/>
    <n v="17"/>
    <n v="37.5"/>
    <s v="No"/>
    <n v="29"/>
    <s v="Man"/>
    <s v="Single"/>
    <x v="1"/>
    <n v="24"/>
    <s v="Bachelor's Degree"/>
    <s v="Technical Degree"/>
    <n v="3"/>
    <n v="0"/>
    <n v="1"/>
    <n v="3"/>
    <n v="1"/>
    <n v="0"/>
    <n v="0"/>
    <n v="0"/>
    <x v="0"/>
    <m/>
    <x v="0"/>
    <m/>
    <x v="2"/>
    <x v="2"/>
    <x v="0"/>
    <x v="0"/>
    <x v="1"/>
  </r>
  <r>
    <x v="3"/>
    <s v="Yes"/>
    <x v="0"/>
    <s v="Laboratory Technician"/>
    <x v="0"/>
    <x v="0"/>
    <n v="1"/>
    <n v="37224"/>
    <n v="22"/>
    <n v="37.5"/>
    <s v="No"/>
    <n v="19"/>
    <s v="Man"/>
    <s v="Single"/>
    <x v="0"/>
    <n v="2"/>
    <s v="Bachelor's Degree"/>
    <s v="Life Sciences"/>
    <n v="4"/>
    <n v="0"/>
    <n v="1"/>
    <n v="3"/>
    <n v="1"/>
    <n v="0"/>
    <n v="1"/>
    <n v="0"/>
    <x v="0"/>
    <m/>
    <x v="0"/>
    <m/>
    <x v="1"/>
    <x v="1"/>
    <x v="1"/>
    <x v="1"/>
    <x v="1"/>
  </r>
  <r>
    <x v="4"/>
    <s v="Yes"/>
    <x v="0"/>
    <s v="Sales Representative"/>
    <x v="0"/>
    <x v="1"/>
    <n v="1"/>
    <n v="37416"/>
    <n v="14"/>
    <n v="37.5"/>
    <s v="Yes"/>
    <n v="25"/>
    <s v="Man"/>
    <s v="Single"/>
    <x v="1"/>
    <n v="24"/>
    <s v="Trades Apprenticeship"/>
    <s v="Life Sciences"/>
    <n v="3"/>
    <n v="0"/>
    <n v="1"/>
    <n v="4"/>
    <n v="1"/>
    <n v="0"/>
    <n v="1"/>
    <n v="0"/>
    <x v="0"/>
    <m/>
    <x v="0"/>
    <m/>
    <x v="2"/>
    <x v="1"/>
    <x v="0"/>
    <x v="0"/>
    <x v="0"/>
  </r>
  <r>
    <x v="5"/>
    <s v="Yes"/>
    <x v="0"/>
    <s v="Research Scientist"/>
    <x v="0"/>
    <x v="0"/>
    <n v="1"/>
    <n v="39132"/>
    <n v="12"/>
    <n v="37.5"/>
    <s v="No"/>
    <n v="31"/>
    <s v="Woman"/>
    <s v="Single"/>
    <x v="0"/>
    <n v="8"/>
    <s v="Bachelor's Degree"/>
    <s v="Life Sciences"/>
    <n v="3"/>
    <n v="0"/>
    <n v="1"/>
    <n v="3"/>
    <n v="1"/>
    <n v="0"/>
    <n v="0"/>
    <n v="0"/>
    <x v="0"/>
    <m/>
    <x v="0"/>
    <m/>
    <x v="3"/>
    <x v="3"/>
    <x v="1"/>
    <x v="2"/>
    <x v="2"/>
  </r>
  <r>
    <x v="6"/>
    <s v="Yes"/>
    <x v="0"/>
    <s v="Sales Representative"/>
    <x v="0"/>
    <x v="1"/>
    <n v="2"/>
    <n v="40308"/>
    <n v="12"/>
    <n v="37.5"/>
    <s v="No"/>
    <n v="31"/>
    <s v="Woman"/>
    <s v="Single"/>
    <x v="1"/>
    <n v="1"/>
    <s v="Master's Degree"/>
    <s v="Life Sciences"/>
    <n v="3"/>
    <n v="0"/>
    <n v="1"/>
    <n v="3"/>
    <n v="1"/>
    <n v="0"/>
    <n v="0"/>
    <n v="0"/>
    <x v="0"/>
    <m/>
    <x v="0"/>
    <m/>
    <x v="1"/>
    <x v="0"/>
    <x v="2"/>
    <x v="0"/>
    <x v="2"/>
  </r>
  <r>
    <x v="7"/>
    <s v="Yes"/>
    <x v="0"/>
    <s v="Laboratory Technician"/>
    <x v="0"/>
    <x v="0"/>
    <n v="2"/>
    <n v="40716"/>
    <n v="12"/>
    <n v="37.5"/>
    <s v="No"/>
    <n v="32"/>
    <s v="Man"/>
    <s v="Single"/>
    <x v="0"/>
    <n v="2"/>
    <s v="Master's Degree"/>
    <s v="Life Sciences"/>
    <n v="3"/>
    <n v="0"/>
    <n v="1"/>
    <n v="2"/>
    <n v="1"/>
    <n v="0"/>
    <n v="0"/>
    <n v="0"/>
    <x v="0"/>
    <m/>
    <x v="0"/>
    <m/>
    <x v="0"/>
    <x v="3"/>
    <x v="3"/>
    <x v="0"/>
    <x v="2"/>
  </r>
  <r>
    <x v="8"/>
    <s v="Yes"/>
    <x v="0"/>
    <s v="Laboratory Technician"/>
    <x v="0"/>
    <x v="0"/>
    <n v="2"/>
    <n v="40992"/>
    <n v="13"/>
    <n v="37.5"/>
    <s v="No"/>
    <n v="21"/>
    <s v="Trangender"/>
    <s v="Single"/>
    <x v="0"/>
    <n v="10"/>
    <s v="Bachelor's Degree"/>
    <s v="Life Sciences"/>
    <n v="3"/>
    <n v="0"/>
    <n v="1"/>
    <n v="6"/>
    <n v="1"/>
    <n v="0"/>
    <n v="1"/>
    <n v="0"/>
    <x v="0"/>
    <m/>
    <x v="0"/>
    <m/>
    <x v="2"/>
    <x v="2"/>
    <x v="3"/>
    <x v="1"/>
    <x v="3"/>
  </r>
  <r>
    <x v="9"/>
    <s v="Yes"/>
    <x v="0"/>
    <s v="Laboratory Technician"/>
    <x v="0"/>
    <x v="0"/>
    <n v="2"/>
    <n v="41040"/>
    <n v="13"/>
    <n v="37.5"/>
    <s v="No"/>
    <n v="18"/>
    <s v="Man"/>
    <s v="Single"/>
    <x v="0"/>
    <n v="3"/>
    <s v="Bachelor's Degree"/>
    <s v="Life Sciences"/>
    <n v="3"/>
    <n v="0"/>
    <n v="0"/>
    <n v="2"/>
    <n v="0"/>
    <n v="0"/>
    <n v="0"/>
    <n v="0"/>
    <x v="0"/>
    <m/>
    <x v="0"/>
    <m/>
    <x v="2"/>
    <x v="0"/>
    <x v="1"/>
    <x v="0"/>
    <x v="4"/>
  </r>
  <r>
    <x v="10"/>
    <s v="Yes"/>
    <x v="0"/>
    <s v="Laboratory Technician"/>
    <x v="0"/>
    <x v="0"/>
    <n v="3"/>
    <n v="49080"/>
    <n v="15"/>
    <n v="37.5"/>
    <s v="Yes"/>
    <n v="37"/>
    <s v="Man"/>
    <s v="Single"/>
    <x v="0"/>
    <n v="2"/>
    <s v="Certificate or Diploma"/>
    <s v="Other"/>
    <n v="3"/>
    <n v="0"/>
    <n v="7"/>
    <n v="3"/>
    <n v="0"/>
    <n v="0"/>
    <n v="0"/>
    <n v="0"/>
    <x v="0"/>
    <m/>
    <x v="0"/>
    <m/>
    <x v="0"/>
    <x v="0"/>
    <x v="2"/>
    <x v="0"/>
    <x v="4"/>
  </r>
  <r>
    <x v="11"/>
    <s v="Yes"/>
    <x v="0"/>
    <s v="Sales Representative"/>
    <x v="0"/>
    <x v="1"/>
    <n v="2"/>
    <n v="42828"/>
    <n v="12"/>
    <n v="37.5"/>
    <s v="Yes"/>
    <n v="18"/>
    <s v="Woman"/>
    <s v="Single"/>
    <x v="1"/>
    <n v="3"/>
    <s v="Certificate or Diploma"/>
    <s v="Medical"/>
    <n v="3"/>
    <n v="0"/>
    <n v="0"/>
    <n v="2"/>
    <n v="0"/>
    <n v="0"/>
    <n v="0"/>
    <n v="0"/>
    <x v="0"/>
    <m/>
    <x v="0"/>
    <m/>
    <x v="1"/>
    <x v="1"/>
    <x v="1"/>
    <x v="2"/>
    <x v="5"/>
  </r>
  <r>
    <x v="12"/>
    <s v="Yes"/>
    <x v="0"/>
    <s v="Research Scientist"/>
    <x v="0"/>
    <x v="0"/>
    <n v="3"/>
    <n v="46308"/>
    <n v="25"/>
    <n v="37.5"/>
    <s v="Yes"/>
    <n v="19"/>
    <s v="Woman"/>
    <s v="Single"/>
    <x v="2"/>
    <n v="10"/>
    <s v="Bachelor's Degree"/>
    <s v="Medical"/>
    <n v="4"/>
    <n v="0"/>
    <n v="1"/>
    <n v="2"/>
    <n v="1"/>
    <n v="1"/>
    <n v="0"/>
    <n v="0"/>
    <x v="0"/>
    <m/>
    <x v="0"/>
    <m/>
    <x v="3"/>
    <x v="3"/>
    <x v="2"/>
    <x v="2"/>
    <x v="6"/>
  </r>
  <r>
    <x v="13"/>
    <s v="No"/>
    <x v="1"/>
    <s v="Research Scientist"/>
    <x v="0"/>
    <x v="0"/>
    <n v="5"/>
    <n v="58932"/>
    <n v="17"/>
    <n v="37.5"/>
    <s v="No"/>
    <n v="31"/>
    <s v="Non-Binary"/>
    <s v="Divorced"/>
    <x v="0"/>
    <n v="26"/>
    <s v="Trades Apprenticeship"/>
    <s v="Life Sciences"/>
    <n v="3"/>
    <n v="1"/>
    <n v="5"/>
    <n v="1"/>
    <n v="5"/>
    <n v="2"/>
    <n v="4"/>
    <n v="3"/>
    <x v="1"/>
    <d v="2022-06-14T00:00:00"/>
    <x v="0"/>
    <s v="Involuntary"/>
    <x v="3"/>
    <x v="0"/>
    <x v="0"/>
    <x v="1"/>
    <x v="2"/>
  </r>
  <r>
    <x v="14"/>
    <s v="Yes"/>
    <x v="0"/>
    <s v="Laboratory Technician"/>
    <x v="0"/>
    <x v="0"/>
    <n v="3"/>
    <n v="48336"/>
    <n v="14"/>
    <n v="37.5"/>
    <s v="Yes"/>
    <n v="28"/>
    <s v="Non-Binary"/>
    <s v="Single"/>
    <x v="0"/>
    <n v="24"/>
    <s v="Bachelor's Degree"/>
    <s v="Life Sciences"/>
    <n v="3"/>
    <n v="0"/>
    <n v="6"/>
    <n v="4"/>
    <n v="4"/>
    <n v="2"/>
    <n v="0"/>
    <n v="3"/>
    <x v="1"/>
    <m/>
    <x v="0"/>
    <m/>
    <x v="2"/>
    <x v="0"/>
    <x v="2"/>
    <x v="0"/>
    <x v="1"/>
  </r>
  <r>
    <x v="15"/>
    <s v="Yes"/>
    <x v="0"/>
    <s v="Research Scientist"/>
    <x v="0"/>
    <x v="0"/>
    <n v="3"/>
    <n v="48264"/>
    <n v="19"/>
    <n v="37.5"/>
    <s v="Yes"/>
    <n v="35"/>
    <s v="Woman"/>
    <s v="Divorced"/>
    <x v="1"/>
    <n v="25"/>
    <s v="Master's Degree"/>
    <s v="Life Sciences"/>
    <n v="3"/>
    <n v="1"/>
    <n v="10"/>
    <n v="3"/>
    <n v="10"/>
    <n v="2"/>
    <n v="7"/>
    <n v="8"/>
    <x v="2"/>
    <m/>
    <x v="0"/>
    <m/>
    <x v="0"/>
    <x v="3"/>
    <x v="3"/>
    <x v="1"/>
    <x v="6"/>
  </r>
  <r>
    <x v="16"/>
    <s v="Yes"/>
    <x v="0"/>
    <s v="Sales Representative"/>
    <x v="0"/>
    <x v="1"/>
    <n v="6"/>
    <n v="64884"/>
    <n v="23"/>
    <n v="37.5"/>
    <s v="No"/>
    <n v="36"/>
    <s v="Non-Binary"/>
    <s v="Single"/>
    <x v="0"/>
    <n v="9"/>
    <s v="Master's Degree"/>
    <s v="Life Sciences"/>
    <n v="4"/>
    <n v="0"/>
    <n v="10"/>
    <n v="4"/>
    <n v="5"/>
    <n v="3"/>
    <n v="0"/>
    <n v="3"/>
    <x v="1"/>
    <m/>
    <x v="0"/>
    <m/>
    <x v="2"/>
    <x v="2"/>
    <x v="2"/>
    <x v="0"/>
    <x v="6"/>
  </r>
  <r>
    <x v="17"/>
    <s v="Yes"/>
    <x v="0"/>
    <s v="Research Scientist"/>
    <x v="0"/>
    <x v="0"/>
    <n v="5"/>
    <n v="59520"/>
    <n v="11"/>
    <n v="37.5"/>
    <s v="No"/>
    <n v="34"/>
    <s v="Non-Binary"/>
    <s v="Single"/>
    <x v="0"/>
    <n v="6"/>
    <s v="Trades Apprenticeship"/>
    <s v="Medical"/>
    <n v="3"/>
    <n v="0"/>
    <n v="8"/>
    <n v="2"/>
    <n v="4"/>
    <n v="2"/>
    <n v="1"/>
    <n v="3"/>
    <x v="1"/>
    <m/>
    <x v="0"/>
    <m/>
    <x v="1"/>
    <x v="2"/>
    <x v="1"/>
    <x v="0"/>
    <x v="6"/>
  </r>
  <r>
    <x v="18"/>
    <s v="Yes"/>
    <x v="0"/>
    <s v="Sales Representative"/>
    <x v="0"/>
    <x v="1"/>
    <n v="3"/>
    <n v="48528"/>
    <n v="13"/>
    <n v="37.5"/>
    <s v="No"/>
    <n v="20"/>
    <s v="Woman"/>
    <s v="Single"/>
    <x v="0"/>
    <n v="2"/>
    <s v="Bachelor's Degree"/>
    <s v="Medical"/>
    <n v="3"/>
    <n v="0"/>
    <n v="2"/>
    <n v="3"/>
    <n v="2"/>
    <n v="2"/>
    <n v="0"/>
    <n v="2"/>
    <x v="0"/>
    <m/>
    <x v="0"/>
    <m/>
    <x v="2"/>
    <x v="0"/>
    <x v="0"/>
    <x v="1"/>
    <x v="4"/>
  </r>
  <r>
    <x v="19"/>
    <s v="Yes"/>
    <x v="0"/>
    <s v="Sales Representative"/>
    <x v="0"/>
    <x v="1"/>
    <n v="3"/>
    <n v="49032"/>
    <n v="14"/>
    <n v="37.5"/>
    <s v="No"/>
    <n v="39"/>
    <s v="Non-Binary"/>
    <s v="Married"/>
    <x v="0"/>
    <n v="5"/>
    <s v="Bachelor's Degree"/>
    <s v="Technical Degree"/>
    <n v="3"/>
    <n v="1"/>
    <n v="19"/>
    <n v="6"/>
    <n v="1"/>
    <n v="0"/>
    <n v="0"/>
    <n v="0"/>
    <x v="0"/>
    <m/>
    <x v="0"/>
    <m/>
    <x v="0"/>
    <x v="1"/>
    <x v="1"/>
    <x v="2"/>
    <x v="7"/>
  </r>
  <r>
    <x v="20"/>
    <s v="Yes"/>
    <x v="0"/>
    <s v="Research Scientist"/>
    <x v="0"/>
    <x v="0"/>
    <n v="4"/>
    <n v="51516"/>
    <n v="16"/>
    <n v="37.5"/>
    <s v="Yes"/>
    <n v="24"/>
    <s v="Non-Binary"/>
    <s v="Married"/>
    <x v="0"/>
    <n v="1"/>
    <s v="Bachelor's Degree"/>
    <s v="Medical"/>
    <n v="3"/>
    <n v="1"/>
    <n v="6"/>
    <n v="2"/>
    <n v="2"/>
    <n v="0"/>
    <n v="2"/>
    <n v="0"/>
    <x v="0"/>
    <m/>
    <x v="0"/>
    <m/>
    <x v="1"/>
    <x v="1"/>
    <x v="3"/>
    <x v="1"/>
    <x v="6"/>
  </r>
  <r>
    <x v="21"/>
    <s v="Yes"/>
    <x v="0"/>
    <s v="Sales Representative"/>
    <x v="0"/>
    <x v="1"/>
    <n v="5"/>
    <n v="56196"/>
    <n v="14"/>
    <n v="37.5"/>
    <s v="Yes"/>
    <n v="50"/>
    <s v="Non-Binary"/>
    <s v="Married"/>
    <x v="0"/>
    <n v="3"/>
    <s v="Certificate or Diploma"/>
    <s v="Marketing"/>
    <n v="3"/>
    <n v="0"/>
    <n v="3"/>
    <n v="2"/>
    <n v="3"/>
    <n v="2"/>
    <n v="0"/>
    <n v="2"/>
    <x v="1"/>
    <m/>
    <x v="0"/>
    <m/>
    <x v="3"/>
    <x v="0"/>
    <x v="1"/>
    <x v="0"/>
    <x v="2"/>
  </r>
  <r>
    <x v="22"/>
    <s v="Yes"/>
    <x v="0"/>
    <s v="Laboratory Technician"/>
    <x v="0"/>
    <x v="0"/>
    <n v="4"/>
    <n v="51516"/>
    <n v="12"/>
    <n v="37.5"/>
    <s v="No"/>
    <n v="26"/>
    <s v="Non-Binary"/>
    <s v="Single"/>
    <x v="0"/>
    <n v="25"/>
    <s v="Bachelor's Degree"/>
    <s v="Life Sciences"/>
    <n v="3"/>
    <n v="0"/>
    <n v="1"/>
    <n v="2"/>
    <n v="1"/>
    <n v="0"/>
    <n v="0"/>
    <n v="1"/>
    <x v="0"/>
    <m/>
    <x v="0"/>
    <m/>
    <x v="3"/>
    <x v="0"/>
    <x v="1"/>
    <x v="1"/>
    <x v="6"/>
  </r>
  <r>
    <x v="23"/>
    <s v="Yes"/>
    <x v="0"/>
    <s v="Laboratory Technician"/>
    <x v="0"/>
    <x v="0"/>
    <n v="3"/>
    <n v="48888"/>
    <n v="12"/>
    <n v="37.5"/>
    <s v="Yes"/>
    <n v="35"/>
    <s v="Woman"/>
    <s v="Divorced"/>
    <x v="0"/>
    <n v="2"/>
    <s v="Bachelor's Degree"/>
    <s v="Life Sciences"/>
    <n v="3"/>
    <n v="1"/>
    <n v="1"/>
    <n v="2"/>
    <n v="1"/>
    <n v="0"/>
    <n v="0"/>
    <n v="0"/>
    <x v="0"/>
    <m/>
    <x v="0"/>
    <m/>
    <x v="3"/>
    <x v="2"/>
    <x v="0"/>
    <x v="0"/>
    <x v="6"/>
  </r>
  <r>
    <x v="24"/>
    <s v="Yes"/>
    <x v="0"/>
    <s v="Laboratory Technician"/>
    <x v="0"/>
    <x v="0"/>
    <n v="7"/>
    <n v="76572"/>
    <n v="13"/>
    <n v="37.5"/>
    <s v="Yes"/>
    <n v="48"/>
    <s v="Man"/>
    <s v="Single"/>
    <x v="0"/>
    <n v="1"/>
    <s v="Certificate or Diploma"/>
    <s v="Life Sciences"/>
    <n v="3"/>
    <n v="0"/>
    <n v="23"/>
    <n v="2"/>
    <n v="1"/>
    <n v="0"/>
    <n v="0"/>
    <n v="0"/>
    <x v="0"/>
    <m/>
    <x v="0"/>
    <m/>
    <x v="3"/>
    <x v="0"/>
    <x v="0"/>
    <x v="0"/>
    <x v="1"/>
  </r>
  <r>
    <x v="25"/>
    <s v="Yes"/>
    <x v="0"/>
    <s v="Laboratory Technician"/>
    <x v="0"/>
    <x v="0"/>
    <n v="6"/>
    <n v="65292"/>
    <n v="13"/>
    <n v="37.5"/>
    <s v="Yes"/>
    <n v="28"/>
    <s v="Man"/>
    <s v="Single"/>
    <x v="0"/>
    <n v="5"/>
    <s v="Master's Degree"/>
    <s v="Technical Degree"/>
    <n v="3"/>
    <n v="0"/>
    <n v="2"/>
    <n v="3"/>
    <n v="2"/>
    <n v="2"/>
    <n v="2"/>
    <n v="2"/>
    <x v="0"/>
    <m/>
    <x v="0"/>
    <m/>
    <x v="2"/>
    <x v="0"/>
    <x v="1"/>
    <x v="1"/>
    <x v="1"/>
  </r>
  <r>
    <x v="26"/>
    <s v="Yes"/>
    <x v="0"/>
    <s v="Research Scientist"/>
    <x v="0"/>
    <x v="0"/>
    <n v="6"/>
    <n v="64656"/>
    <n v="17"/>
    <n v="37.5"/>
    <s v="Yes"/>
    <n v="36"/>
    <s v="Man"/>
    <s v="Married"/>
    <x v="0"/>
    <n v="9"/>
    <s v="Bachelor's Degree"/>
    <s v="Medical"/>
    <n v="3"/>
    <n v="1"/>
    <n v="2"/>
    <n v="0"/>
    <n v="1"/>
    <n v="0"/>
    <n v="0"/>
    <n v="0"/>
    <x v="0"/>
    <m/>
    <x v="0"/>
    <m/>
    <x v="0"/>
    <x v="0"/>
    <x v="3"/>
    <x v="1"/>
    <x v="2"/>
  </r>
  <r>
    <x v="27"/>
    <s v="Yes"/>
    <x v="0"/>
    <s v="Research Scientist"/>
    <x v="0"/>
    <x v="0"/>
    <n v="3"/>
    <n v="49584"/>
    <n v="11"/>
    <n v="37.5"/>
    <s v="Yes"/>
    <n v="30"/>
    <s v="Woman"/>
    <s v="Married"/>
    <x v="0"/>
    <n v="22"/>
    <s v="Bachelor's Degree"/>
    <s v="Life Sciences"/>
    <n v="3"/>
    <n v="0"/>
    <n v="7"/>
    <n v="2"/>
    <n v="5"/>
    <n v="2"/>
    <n v="0"/>
    <n v="1"/>
    <x v="1"/>
    <m/>
    <x v="0"/>
    <m/>
    <x v="3"/>
    <x v="0"/>
    <x v="2"/>
    <x v="0"/>
    <x v="6"/>
  </r>
  <r>
    <x v="28"/>
    <s v="Yes"/>
    <x v="0"/>
    <s v="Compensation Analyst"/>
    <x v="0"/>
    <x v="2"/>
    <n v="3"/>
    <n v="49776"/>
    <n v="11"/>
    <n v="37.5"/>
    <s v="Yes"/>
    <n v="26"/>
    <s v="Woman"/>
    <s v="Married"/>
    <x v="0"/>
    <n v="20"/>
    <s v="Certificate or Diploma"/>
    <s v="Medical"/>
    <n v="3"/>
    <n v="0"/>
    <n v="6"/>
    <n v="3"/>
    <n v="5"/>
    <n v="1"/>
    <n v="1"/>
    <n v="4"/>
    <x v="1"/>
    <m/>
    <x v="0"/>
    <m/>
    <x v="0"/>
    <x v="3"/>
    <x v="1"/>
    <x v="0"/>
    <x v="4"/>
  </r>
  <r>
    <x v="29"/>
    <s v="Yes"/>
    <x v="0"/>
    <s v="Sales Representative"/>
    <x v="0"/>
    <x v="1"/>
    <n v="4"/>
    <n v="50088"/>
    <n v="11"/>
    <n v="37.5"/>
    <s v="Yes"/>
    <n v="21"/>
    <s v="Woman"/>
    <s v="Single"/>
    <x v="1"/>
    <n v="1"/>
    <s v="Trades Apprenticeship"/>
    <s v="Technical Degree"/>
    <n v="3"/>
    <n v="0"/>
    <n v="3"/>
    <n v="3"/>
    <n v="3"/>
    <n v="2"/>
    <n v="1"/>
    <n v="2"/>
    <x v="1"/>
    <m/>
    <x v="0"/>
    <m/>
    <x v="3"/>
    <x v="3"/>
    <x v="1"/>
    <x v="0"/>
    <x v="6"/>
  </r>
  <r>
    <x v="30"/>
    <s v="Yes"/>
    <x v="0"/>
    <s v="HR Operations Specialist"/>
    <x v="0"/>
    <x v="2"/>
    <n v="4"/>
    <n v="50160"/>
    <n v="11"/>
    <n v="37.5"/>
    <s v="No"/>
    <n v="30"/>
    <s v="Woman"/>
    <s v="Divorced"/>
    <x v="1"/>
    <n v="8"/>
    <s v="Bachelor's Degree"/>
    <s v="Human Resources"/>
    <n v="3"/>
    <n v="1"/>
    <n v="6"/>
    <n v="0"/>
    <n v="4"/>
    <n v="2"/>
    <n v="1"/>
    <n v="2"/>
    <x v="1"/>
    <m/>
    <x v="0"/>
    <m/>
    <x v="2"/>
    <x v="1"/>
    <x v="1"/>
    <x v="1"/>
    <x v="4"/>
  </r>
  <r>
    <x v="31"/>
    <s v="Yes"/>
    <x v="0"/>
    <s v="Sales Executive"/>
    <x v="0"/>
    <x v="1"/>
    <n v="9"/>
    <n v="127428"/>
    <n v="16"/>
    <n v="37.5"/>
    <s v="No"/>
    <n v="46"/>
    <s v="Man"/>
    <s v="Single"/>
    <x v="0"/>
    <n v="9"/>
    <s v="Certificate or Diploma"/>
    <s v="Medical"/>
    <n v="3"/>
    <n v="0"/>
    <n v="9"/>
    <n v="3"/>
    <n v="9"/>
    <n v="8"/>
    <n v="4"/>
    <n v="7"/>
    <x v="1"/>
    <m/>
    <x v="0"/>
    <m/>
    <x v="2"/>
    <x v="1"/>
    <x v="0"/>
    <x v="0"/>
    <x v="0"/>
  </r>
  <r>
    <x v="32"/>
    <s v="Yes"/>
    <x v="0"/>
    <s v="Laboratory Technician"/>
    <x v="0"/>
    <x v="0"/>
    <n v="4"/>
    <n v="50520"/>
    <n v="13"/>
    <n v="37.5"/>
    <s v="No"/>
    <n v="24"/>
    <s v="Woman"/>
    <s v="Married"/>
    <x v="0"/>
    <n v="17"/>
    <s v="Certificate or Diploma"/>
    <s v="Life Sciences"/>
    <n v="3"/>
    <n v="1"/>
    <n v="1"/>
    <n v="3"/>
    <n v="1"/>
    <n v="0"/>
    <n v="0"/>
    <n v="0"/>
    <x v="0"/>
    <m/>
    <x v="0"/>
    <m/>
    <x v="0"/>
    <x v="3"/>
    <x v="3"/>
    <x v="3"/>
    <x v="8"/>
  </r>
  <r>
    <x v="33"/>
    <s v="Yes"/>
    <x v="0"/>
    <s v="Research Scientist"/>
    <x v="0"/>
    <x v="0"/>
    <n v="4"/>
    <n v="50592"/>
    <n v="13"/>
    <n v="37.5"/>
    <s v="Yes"/>
    <n v="28"/>
    <s v="Woman"/>
    <s v="Single"/>
    <x v="0"/>
    <n v="1"/>
    <s v="Certificate or Diploma"/>
    <s v="Life Sciences"/>
    <n v="3"/>
    <n v="0"/>
    <n v="10"/>
    <n v="4"/>
    <n v="7"/>
    <n v="7"/>
    <n v="3"/>
    <n v="7"/>
    <x v="1"/>
    <m/>
    <x v="0"/>
    <m/>
    <x v="3"/>
    <x v="3"/>
    <x v="0"/>
    <x v="0"/>
    <x v="2"/>
  </r>
  <r>
    <x v="34"/>
    <s v="Yes"/>
    <x v="0"/>
    <s v="HR Business Partner"/>
    <x v="0"/>
    <x v="2"/>
    <n v="3"/>
    <n v="48876"/>
    <n v="22"/>
    <n v="37.5"/>
    <s v="Yes"/>
    <n v="37"/>
    <s v="Man"/>
    <s v="Divorced"/>
    <x v="0"/>
    <n v="6"/>
    <s v="Master's Degree"/>
    <s v="Human Resources"/>
    <n v="4"/>
    <n v="0"/>
    <n v="7"/>
    <n v="3"/>
    <n v="3"/>
    <n v="2"/>
    <n v="0"/>
    <n v="2"/>
    <x v="1"/>
    <m/>
    <x v="0"/>
    <m/>
    <x v="2"/>
    <x v="2"/>
    <x v="0"/>
    <x v="0"/>
    <x v="1"/>
  </r>
  <r>
    <x v="35"/>
    <s v="Yes"/>
    <x v="0"/>
    <s v="Sales Executive"/>
    <x v="0"/>
    <x v="1"/>
    <n v="7"/>
    <n v="80928"/>
    <n v="11"/>
    <n v="37.5"/>
    <s v="Yes"/>
    <n v="25"/>
    <s v="Man"/>
    <s v="Single"/>
    <x v="0"/>
    <n v="5"/>
    <s v="Bachelor's Degree"/>
    <s v="Marketing"/>
    <n v="3"/>
    <n v="0"/>
    <n v="6"/>
    <n v="1"/>
    <n v="6"/>
    <n v="4"/>
    <n v="0"/>
    <n v="3"/>
    <x v="1"/>
    <m/>
    <x v="0"/>
    <m/>
    <x v="2"/>
    <x v="0"/>
    <x v="0"/>
    <x v="0"/>
    <x v="5"/>
  </r>
  <r>
    <x v="36"/>
    <s v="Yes"/>
    <x v="0"/>
    <s v="Laboratory Technician"/>
    <x v="0"/>
    <x v="0"/>
    <n v="7"/>
    <n v="84888"/>
    <n v="24"/>
    <n v="37.5"/>
    <s v="Yes"/>
    <n v="34"/>
    <s v="Man"/>
    <s v="Single"/>
    <x v="1"/>
    <n v="7"/>
    <s v="Bachelor's Degree"/>
    <s v="Life Sciences"/>
    <n v="4"/>
    <n v="0"/>
    <n v="9"/>
    <n v="3"/>
    <n v="9"/>
    <n v="7"/>
    <n v="0"/>
    <n v="6"/>
    <x v="1"/>
    <m/>
    <x v="0"/>
    <m/>
    <x v="3"/>
    <x v="0"/>
    <x v="0"/>
    <x v="0"/>
    <x v="1"/>
  </r>
  <r>
    <x v="37"/>
    <s v="Yes"/>
    <x v="0"/>
    <s v="Sales Executive"/>
    <x v="0"/>
    <x v="1"/>
    <n v="8"/>
    <n v="86064"/>
    <n v="18"/>
    <n v="37.5"/>
    <s v="Yes"/>
    <n v="31"/>
    <s v="Man"/>
    <s v="Married"/>
    <x v="0"/>
    <n v="6"/>
    <s v="Master's Degree"/>
    <s v="Life Sciences"/>
    <n v="3"/>
    <n v="0"/>
    <n v="12"/>
    <n v="3"/>
    <n v="7"/>
    <n v="7"/>
    <n v="7"/>
    <n v="7"/>
    <x v="1"/>
    <m/>
    <x v="0"/>
    <m/>
    <x v="1"/>
    <x v="0"/>
    <x v="2"/>
    <x v="1"/>
    <x v="6"/>
  </r>
  <r>
    <x v="38"/>
    <s v="Yes"/>
    <x v="0"/>
    <s v="Sales Representative"/>
    <x v="0"/>
    <x v="1"/>
    <n v="4"/>
    <n v="51624"/>
    <n v="11"/>
    <n v="37.5"/>
    <s v="Yes"/>
    <n v="31"/>
    <s v="Non-Binary"/>
    <s v="Single"/>
    <x v="1"/>
    <n v="1"/>
    <s v="Bachelor's Degree"/>
    <s v="Life Sciences"/>
    <n v="3"/>
    <n v="0"/>
    <n v="3"/>
    <n v="2"/>
    <n v="3"/>
    <n v="2"/>
    <n v="2"/>
    <n v="2"/>
    <x v="1"/>
    <m/>
    <x v="0"/>
    <m/>
    <x v="0"/>
    <x v="3"/>
    <x v="3"/>
    <x v="2"/>
    <x v="1"/>
  </r>
  <r>
    <x v="39"/>
    <s v="Yes"/>
    <x v="0"/>
    <s v="Sales Representative"/>
    <x v="0"/>
    <x v="1"/>
    <n v="2"/>
    <n v="44100"/>
    <n v="19"/>
    <n v="37.5"/>
    <s v="Yes"/>
    <n v="19"/>
    <s v="Man"/>
    <s v="Single"/>
    <x v="0"/>
    <n v="22"/>
    <s v="Trades Apprenticeship"/>
    <s v="Marketing"/>
    <n v="3"/>
    <n v="0"/>
    <n v="0"/>
    <n v="2"/>
    <n v="0"/>
    <n v="0"/>
    <n v="0"/>
    <n v="0"/>
    <x v="0"/>
    <m/>
    <x v="0"/>
    <m/>
    <x v="0"/>
    <x v="0"/>
    <x v="0"/>
    <x v="1"/>
    <x v="5"/>
  </r>
  <r>
    <x v="40"/>
    <s v="Yes"/>
    <x v="0"/>
    <s v="Manufacturing Director"/>
    <x v="1"/>
    <x v="0"/>
    <n v="9"/>
    <n v="139800"/>
    <n v="15"/>
    <n v="37.5"/>
    <s v="No"/>
    <n v="51"/>
    <s v="Man"/>
    <s v="Single"/>
    <x v="1"/>
    <n v="8"/>
    <s v="Master's Degree"/>
    <s v="Life Sciences"/>
    <n v="3"/>
    <n v="0"/>
    <n v="18"/>
    <n v="2"/>
    <n v="4"/>
    <n v="2"/>
    <n v="0"/>
    <n v="3"/>
    <x v="1"/>
    <m/>
    <x v="0"/>
    <m/>
    <x v="3"/>
    <x v="1"/>
    <x v="0"/>
    <x v="0"/>
    <x v="4"/>
  </r>
  <r>
    <x v="41"/>
    <s v="Yes"/>
    <x v="0"/>
    <s v="Laboratory Technician"/>
    <x v="0"/>
    <x v="0"/>
    <n v="4"/>
    <n v="51828"/>
    <n v="11"/>
    <n v="37.5"/>
    <s v="Yes"/>
    <n v="29"/>
    <s v="Non-Binary"/>
    <s v="Married"/>
    <x v="0"/>
    <n v="1"/>
    <s v="Certificate or Diploma"/>
    <s v="Life Sciences"/>
    <n v="3"/>
    <n v="1"/>
    <n v="1"/>
    <n v="1"/>
    <n v="1"/>
    <n v="0"/>
    <n v="0"/>
    <n v="0"/>
    <x v="0"/>
    <m/>
    <x v="0"/>
    <m/>
    <x v="1"/>
    <x v="2"/>
    <x v="0"/>
    <x v="0"/>
    <x v="2"/>
  </r>
  <r>
    <x v="42"/>
    <s v="Yes"/>
    <x v="0"/>
    <s v="Sales Representative"/>
    <x v="0"/>
    <x v="1"/>
    <n v="4"/>
    <n v="51876"/>
    <n v="14"/>
    <n v="37.5"/>
    <s v="Yes"/>
    <n v="20"/>
    <s v="Non-Binary"/>
    <s v="Single"/>
    <x v="1"/>
    <n v="9"/>
    <s v="Bachelor's Degree"/>
    <s v="Marketing"/>
    <n v="3"/>
    <n v="0"/>
    <n v="2"/>
    <n v="3"/>
    <n v="2"/>
    <n v="2"/>
    <n v="0"/>
    <n v="2"/>
    <x v="0"/>
    <m/>
    <x v="0"/>
    <m/>
    <x v="0"/>
    <x v="1"/>
    <x v="2"/>
    <x v="0"/>
    <x v="5"/>
  </r>
  <r>
    <x v="43"/>
    <s v="Yes"/>
    <x v="0"/>
    <s v="Sales Representative"/>
    <x v="0"/>
    <x v="1"/>
    <n v="4"/>
    <n v="51900"/>
    <n v="21"/>
    <n v="37.5"/>
    <s v="No"/>
    <n v="19"/>
    <s v="Transgender"/>
    <s v="Single"/>
    <x v="1"/>
    <n v="1"/>
    <s v="Trades Apprenticeship"/>
    <s v="Technical Degree"/>
    <n v="4"/>
    <n v="0"/>
    <n v="1"/>
    <n v="5"/>
    <n v="0"/>
    <n v="0"/>
    <n v="0"/>
    <n v="0"/>
    <x v="0"/>
    <m/>
    <x v="0"/>
    <m/>
    <x v="2"/>
    <x v="2"/>
    <x v="3"/>
    <x v="2"/>
    <x v="6"/>
  </r>
  <r>
    <x v="44"/>
    <s v="Yes"/>
    <x v="0"/>
    <s v="Sales Representative"/>
    <x v="0"/>
    <x v="1"/>
    <n v="4"/>
    <n v="52212"/>
    <n v="16"/>
    <n v="37.5"/>
    <s v="No"/>
    <n v="34"/>
    <s v="Transgender"/>
    <s v="Divorced"/>
    <x v="1"/>
    <n v="6"/>
    <s v="Certificate or Diploma"/>
    <s v="Marketing"/>
    <n v="3"/>
    <n v="1"/>
    <n v="3"/>
    <n v="3"/>
    <n v="2"/>
    <n v="2"/>
    <n v="1"/>
    <n v="0"/>
    <x v="0"/>
    <m/>
    <x v="0"/>
    <m/>
    <x v="0"/>
    <x v="0"/>
    <x v="0"/>
    <x v="1"/>
    <x v="5"/>
  </r>
  <r>
    <x v="45"/>
    <s v="Yes"/>
    <x v="0"/>
    <s v="Research Scientist"/>
    <x v="0"/>
    <x v="0"/>
    <n v="4"/>
    <n v="52392"/>
    <n v="14"/>
    <n v="37.5"/>
    <s v="Yes"/>
    <n v="26"/>
    <s v="Transgender"/>
    <s v="Married"/>
    <x v="1"/>
    <n v="5"/>
    <s v="Certificate or Diploma"/>
    <s v="Medical"/>
    <n v="3"/>
    <n v="1"/>
    <n v="8"/>
    <n v="2"/>
    <n v="8"/>
    <n v="7"/>
    <n v="1"/>
    <n v="7"/>
    <x v="1"/>
    <m/>
    <x v="0"/>
    <m/>
    <x v="2"/>
    <x v="0"/>
    <x v="3"/>
    <x v="0"/>
    <x v="2"/>
  </r>
  <r>
    <x v="46"/>
    <s v="Yes"/>
    <x v="0"/>
    <s v="Research Scientist"/>
    <x v="0"/>
    <x v="0"/>
    <n v="4"/>
    <n v="52728"/>
    <n v="13"/>
    <n v="37.5"/>
    <s v="Yes"/>
    <n v="27"/>
    <s v="Transgender"/>
    <s v="Single"/>
    <x v="0"/>
    <n v="17"/>
    <s v="Master's Degree"/>
    <s v="Life Sciences"/>
    <n v="3"/>
    <n v="0"/>
    <n v="8"/>
    <n v="2"/>
    <n v="8"/>
    <n v="2"/>
    <n v="7"/>
    <n v="7"/>
    <x v="1"/>
    <m/>
    <x v="0"/>
    <m/>
    <x v="0"/>
    <x v="0"/>
    <x v="0"/>
    <x v="0"/>
    <x v="0"/>
  </r>
  <r>
    <x v="47"/>
    <s v="Yes"/>
    <x v="0"/>
    <s v="Laboratory Technician"/>
    <x v="0"/>
    <x v="0"/>
    <n v="4"/>
    <n v="52776"/>
    <n v="17"/>
    <n v="37.5"/>
    <s v="Yes"/>
    <n v="22"/>
    <s v="Transgender"/>
    <s v="Married"/>
    <x v="0"/>
    <n v="8"/>
    <s v="Trades Apprenticeship"/>
    <s v="Medical"/>
    <n v="3"/>
    <n v="0"/>
    <n v="1"/>
    <n v="6"/>
    <n v="1"/>
    <n v="0"/>
    <n v="0"/>
    <n v="0"/>
    <x v="0"/>
    <m/>
    <x v="0"/>
    <m/>
    <x v="2"/>
    <x v="2"/>
    <x v="1"/>
    <x v="0"/>
    <x v="2"/>
  </r>
  <r>
    <x v="48"/>
    <s v="Yes"/>
    <x v="0"/>
    <s v="Manufacturing Director"/>
    <x v="1"/>
    <x v="0"/>
    <n v="7"/>
    <n v="82992"/>
    <n v="13"/>
    <n v="37.5"/>
    <s v="Yes"/>
    <n v="35"/>
    <s v="Man"/>
    <s v="Married"/>
    <x v="0"/>
    <n v="23"/>
    <s v="Certificate or Diploma"/>
    <s v="Life Sciences"/>
    <n v="3"/>
    <n v="0"/>
    <n v="8"/>
    <n v="1"/>
    <n v="1"/>
    <n v="0"/>
    <n v="0"/>
    <n v="1"/>
    <x v="0"/>
    <m/>
    <x v="0"/>
    <m/>
    <x v="1"/>
    <x v="0"/>
    <x v="3"/>
    <x v="0"/>
    <x v="6"/>
  </r>
  <r>
    <x v="49"/>
    <s v="Yes"/>
    <x v="0"/>
    <s v="Research Scientist"/>
    <x v="0"/>
    <x v="0"/>
    <n v="4"/>
    <n v="52848"/>
    <n v="20"/>
    <n v="37.5"/>
    <s v="Yes"/>
    <n v="29"/>
    <s v="Transgender"/>
    <s v="Single"/>
    <x v="0"/>
    <n v="10"/>
    <s v="Bachelor's Degree"/>
    <s v="Life Sciences"/>
    <n v="4"/>
    <n v="0"/>
    <n v="3"/>
    <n v="5"/>
    <n v="0"/>
    <n v="0"/>
    <n v="0"/>
    <n v="0"/>
    <x v="0"/>
    <m/>
    <x v="0"/>
    <m/>
    <x v="0"/>
    <x v="2"/>
    <x v="1"/>
    <x v="0"/>
    <x v="1"/>
  </r>
  <r>
    <x v="50"/>
    <s v="Yes"/>
    <x v="0"/>
    <s v="Laboratory Technician"/>
    <x v="0"/>
    <x v="0"/>
    <n v="4"/>
    <n v="53064"/>
    <n v="17"/>
    <n v="37.5"/>
    <s v="No"/>
    <n v="30"/>
    <s v="Woman"/>
    <s v="Single"/>
    <x v="1"/>
    <n v="5"/>
    <s v="Bachelor's Degree"/>
    <s v="Medical"/>
    <n v="3"/>
    <n v="0"/>
    <n v="4"/>
    <n v="3"/>
    <n v="3"/>
    <n v="2"/>
    <n v="1"/>
    <n v="2"/>
    <x v="1"/>
    <m/>
    <x v="0"/>
    <m/>
    <x v="1"/>
    <x v="3"/>
    <x v="3"/>
    <x v="0"/>
    <x v="8"/>
  </r>
  <r>
    <x v="51"/>
    <s v="Yes"/>
    <x v="0"/>
    <s v="Research Scientist"/>
    <x v="0"/>
    <x v="0"/>
    <n v="4"/>
    <n v="53184"/>
    <n v="14"/>
    <n v="37.5"/>
    <s v="Yes"/>
    <n v="32"/>
    <s v="Woman"/>
    <s v="Single"/>
    <x v="1"/>
    <n v="5"/>
    <s v="Certificate or Diploma"/>
    <s v="Life Sciences"/>
    <n v="3"/>
    <n v="0"/>
    <n v="8"/>
    <n v="2"/>
    <n v="4"/>
    <n v="1"/>
    <n v="0"/>
    <n v="3"/>
    <x v="1"/>
    <m/>
    <x v="0"/>
    <m/>
    <x v="3"/>
    <x v="0"/>
    <x v="3"/>
    <x v="0"/>
    <x v="8"/>
  </r>
  <r>
    <x v="52"/>
    <s v="Yes"/>
    <x v="0"/>
    <s v="Healthcare Representative"/>
    <x v="0"/>
    <x v="0"/>
    <n v="8"/>
    <n v="92076"/>
    <n v="19"/>
    <n v="37.5"/>
    <s v="Yes"/>
    <n v="38"/>
    <s v="Man"/>
    <s v="Married"/>
    <x v="0"/>
    <n v="29"/>
    <s v="Trades Apprenticeship"/>
    <s v="Medical"/>
    <n v="3"/>
    <n v="0"/>
    <n v="17"/>
    <n v="2"/>
    <n v="1"/>
    <n v="0"/>
    <n v="0"/>
    <n v="0"/>
    <x v="0"/>
    <m/>
    <x v="0"/>
    <m/>
    <x v="1"/>
    <x v="2"/>
    <x v="2"/>
    <x v="0"/>
    <x v="8"/>
  </r>
  <r>
    <x v="53"/>
    <s v="Yes"/>
    <x v="0"/>
    <s v="Sales Executive"/>
    <x v="0"/>
    <x v="1"/>
    <n v="9"/>
    <n v="136800"/>
    <n v="11"/>
    <n v="37.5"/>
    <s v="No"/>
    <n v="32"/>
    <s v="Man"/>
    <s v="Married"/>
    <x v="0"/>
    <n v="4"/>
    <s v="Master's Degree"/>
    <s v="Medical"/>
    <n v="3"/>
    <n v="0"/>
    <n v="14"/>
    <n v="2"/>
    <n v="14"/>
    <n v="8"/>
    <n v="9"/>
    <n v="8"/>
    <x v="2"/>
    <m/>
    <x v="0"/>
    <m/>
    <x v="0"/>
    <x v="1"/>
    <x v="1"/>
    <x v="1"/>
    <x v="5"/>
  </r>
  <r>
    <x v="54"/>
    <s v="Yes"/>
    <x v="0"/>
    <s v="Research Scientist"/>
    <x v="0"/>
    <x v="0"/>
    <n v="3"/>
    <n v="48696"/>
    <n v="14"/>
    <n v="37.5"/>
    <s v="No"/>
    <n v="29"/>
    <s v="Man"/>
    <s v="Single"/>
    <x v="0"/>
    <n v="1"/>
    <s v="Bachelor's Degree"/>
    <s v="Technical Degree"/>
    <n v="3"/>
    <n v="0"/>
    <n v="7"/>
    <n v="1"/>
    <n v="6"/>
    <n v="2"/>
    <n v="1"/>
    <n v="5"/>
    <x v="1"/>
    <m/>
    <x v="0"/>
    <m/>
    <x v="2"/>
    <x v="0"/>
    <x v="0"/>
    <x v="1"/>
    <x v="4"/>
  </r>
  <r>
    <x v="55"/>
    <s v="Yes"/>
    <x v="0"/>
    <s v="Research Scientist"/>
    <x v="0"/>
    <x v="0"/>
    <n v="4"/>
    <n v="52668"/>
    <n v="13"/>
    <n v="37.5"/>
    <s v="Yes"/>
    <n v="29"/>
    <s v="Man"/>
    <s v="Single"/>
    <x v="0"/>
    <n v="18"/>
    <s v="Trades Apprenticeship"/>
    <s v="Medical"/>
    <n v="3"/>
    <n v="0"/>
    <n v="4"/>
    <n v="3"/>
    <n v="4"/>
    <n v="3"/>
    <n v="0"/>
    <n v="1"/>
    <x v="1"/>
    <m/>
    <x v="0"/>
    <m/>
    <x v="2"/>
    <x v="1"/>
    <x v="1"/>
    <x v="1"/>
    <x v="4"/>
  </r>
  <r>
    <x v="56"/>
    <s v="Yes"/>
    <x v="0"/>
    <s v="Laboratory Technician"/>
    <x v="0"/>
    <x v="0"/>
    <n v="4"/>
    <n v="54180"/>
    <n v="11"/>
    <n v="37.5"/>
    <s v="Yes"/>
    <n v="28"/>
    <s v="Woman"/>
    <s v="Married"/>
    <x v="0"/>
    <n v="12"/>
    <s v="Trades Apprenticeship"/>
    <s v="Life Sciences"/>
    <n v="3"/>
    <n v="0"/>
    <n v="1"/>
    <n v="4"/>
    <n v="1"/>
    <n v="1"/>
    <n v="0"/>
    <n v="0"/>
    <x v="0"/>
    <m/>
    <x v="0"/>
    <m/>
    <x v="2"/>
    <x v="1"/>
    <x v="0"/>
    <x v="1"/>
    <x v="5"/>
  </r>
  <r>
    <x v="57"/>
    <s v="Yes"/>
    <x v="0"/>
    <s v="Laboratory Technician"/>
    <x v="0"/>
    <x v="0"/>
    <n v="4"/>
    <n v="53232"/>
    <n v="13"/>
    <n v="37.5"/>
    <s v="Yes"/>
    <n v="33"/>
    <s v="Man"/>
    <s v="Married"/>
    <x v="0"/>
    <n v="14"/>
    <s v="Bachelor's Degree"/>
    <s v="Medical"/>
    <n v="3"/>
    <n v="1"/>
    <n v="8"/>
    <n v="2"/>
    <n v="5"/>
    <n v="4"/>
    <n v="0"/>
    <n v="4"/>
    <x v="1"/>
    <m/>
    <x v="0"/>
    <m/>
    <x v="2"/>
    <x v="1"/>
    <x v="1"/>
    <x v="3"/>
    <x v="1"/>
  </r>
  <r>
    <x v="58"/>
    <s v="Yes"/>
    <x v="0"/>
    <s v="Laboratory Technician"/>
    <x v="0"/>
    <x v="0"/>
    <n v="6"/>
    <n v="68760"/>
    <n v="14"/>
    <n v="37.5"/>
    <s v="Yes"/>
    <n v="32"/>
    <s v="Man"/>
    <s v="Single"/>
    <x v="0"/>
    <n v="1"/>
    <s v="Bachelor's Degree"/>
    <s v="Life Sciences"/>
    <n v="3"/>
    <n v="0"/>
    <n v="4"/>
    <n v="2"/>
    <n v="3"/>
    <n v="2"/>
    <n v="1"/>
    <n v="2"/>
    <x v="1"/>
    <m/>
    <x v="0"/>
    <m/>
    <x v="0"/>
    <x v="0"/>
    <x v="0"/>
    <x v="3"/>
    <x v="4"/>
  </r>
  <r>
    <x v="59"/>
    <s v="Yes"/>
    <x v="0"/>
    <s v="Research Scientist"/>
    <x v="0"/>
    <x v="0"/>
    <n v="4"/>
    <n v="54552"/>
    <n v="16"/>
    <n v="37.5"/>
    <s v="No"/>
    <n v="29"/>
    <s v="Woman"/>
    <s v="Married"/>
    <x v="0"/>
    <n v="25"/>
    <s v="Doctorate"/>
    <s v="Technical Degree"/>
    <n v="3"/>
    <n v="0"/>
    <n v="6"/>
    <n v="2"/>
    <n v="2"/>
    <n v="2"/>
    <n v="1"/>
    <n v="1"/>
    <x v="0"/>
    <m/>
    <x v="0"/>
    <m/>
    <x v="2"/>
    <x v="3"/>
    <x v="2"/>
    <x v="2"/>
    <x v="1"/>
  </r>
  <r>
    <x v="60"/>
    <s v="Yes"/>
    <x v="0"/>
    <s v="Manufacturing Director"/>
    <x v="1"/>
    <x v="0"/>
    <n v="9"/>
    <n v="132576"/>
    <n v="11"/>
    <n v="37.5"/>
    <s v="No"/>
    <n v="37"/>
    <s v="Man"/>
    <s v="Divorced"/>
    <x v="1"/>
    <n v="10"/>
    <s v="Bachelor's Degree"/>
    <s v="Medical"/>
    <n v="3"/>
    <n v="2"/>
    <n v="17"/>
    <n v="5"/>
    <n v="1"/>
    <n v="0"/>
    <n v="0"/>
    <n v="0"/>
    <x v="0"/>
    <m/>
    <x v="0"/>
    <m/>
    <x v="3"/>
    <x v="0"/>
    <x v="2"/>
    <x v="0"/>
    <x v="6"/>
  </r>
  <r>
    <x v="61"/>
    <s v="Yes"/>
    <x v="0"/>
    <s v="Laboratory Technician"/>
    <x v="0"/>
    <x v="0"/>
    <n v="6"/>
    <n v="65748"/>
    <n v="11"/>
    <n v="37.5"/>
    <s v="No"/>
    <n v="31"/>
    <s v="Man"/>
    <s v="Single"/>
    <x v="1"/>
    <n v="29"/>
    <s v="Certificate or Diploma"/>
    <s v="Medical"/>
    <n v="3"/>
    <n v="0"/>
    <n v="6"/>
    <n v="2"/>
    <n v="5"/>
    <n v="4"/>
    <n v="1"/>
    <n v="4"/>
    <x v="1"/>
    <m/>
    <x v="0"/>
    <m/>
    <x v="2"/>
    <x v="3"/>
    <x v="2"/>
    <x v="2"/>
    <x v="1"/>
  </r>
  <r>
    <x v="62"/>
    <s v="Yes"/>
    <x v="0"/>
    <s v="Research Scientist"/>
    <x v="0"/>
    <x v="0"/>
    <n v="5"/>
    <n v="55200"/>
    <n v="15"/>
    <n v="37.5"/>
    <s v="Yes"/>
    <n v="20"/>
    <s v="Two-Spirit"/>
    <s v="Single"/>
    <x v="0"/>
    <n v="11"/>
    <s v="Bachelor's Degree"/>
    <s v="Medical"/>
    <n v="3"/>
    <n v="0"/>
    <n v="1"/>
    <n v="2"/>
    <n v="1"/>
    <n v="0"/>
    <n v="0"/>
    <n v="0"/>
    <x v="0"/>
    <m/>
    <x v="0"/>
    <m/>
    <x v="0"/>
    <x v="2"/>
    <x v="3"/>
    <x v="0"/>
    <x v="6"/>
  </r>
  <r>
    <x v="63"/>
    <s v="Yes"/>
    <x v="0"/>
    <s v="Laboratory Technician"/>
    <x v="0"/>
    <x v="0"/>
    <n v="6"/>
    <n v="65820"/>
    <n v="11"/>
    <n v="37.5"/>
    <s v="No"/>
    <n v="28"/>
    <s v="Man"/>
    <s v="Single"/>
    <x v="0"/>
    <n v="2"/>
    <s v="Master's Degree"/>
    <s v="Life Sciences"/>
    <n v="3"/>
    <n v="0"/>
    <n v="5"/>
    <n v="5"/>
    <n v="0"/>
    <n v="0"/>
    <n v="0"/>
    <n v="0"/>
    <x v="0"/>
    <m/>
    <x v="0"/>
    <m/>
    <x v="3"/>
    <x v="0"/>
    <x v="1"/>
    <x v="3"/>
    <x v="8"/>
  </r>
  <r>
    <x v="64"/>
    <s v="Yes"/>
    <x v="0"/>
    <s v="Laboratory Technician"/>
    <x v="0"/>
    <x v="0"/>
    <n v="5"/>
    <n v="55500"/>
    <n v="20"/>
    <n v="37.5"/>
    <s v="No"/>
    <n v="21"/>
    <s v="Woman"/>
    <s v="Single"/>
    <x v="1"/>
    <n v="10"/>
    <s v="Certificate or Diploma"/>
    <s v="Life Sciences"/>
    <n v="4"/>
    <n v="0"/>
    <n v="2"/>
    <n v="2"/>
    <n v="2"/>
    <n v="2"/>
    <n v="2"/>
    <n v="2"/>
    <x v="0"/>
    <m/>
    <x v="0"/>
    <m/>
    <x v="3"/>
    <x v="0"/>
    <x v="1"/>
    <x v="3"/>
    <x v="8"/>
  </r>
  <r>
    <x v="65"/>
    <s v="Yes"/>
    <x v="0"/>
    <s v="Sales Representative"/>
    <x v="0"/>
    <x v="1"/>
    <n v="5"/>
    <n v="55860"/>
    <n v="11"/>
    <n v="37.5"/>
    <s v="Yes"/>
    <n v="48"/>
    <s v="Woman"/>
    <s v="Married"/>
    <x v="1"/>
    <n v="7"/>
    <s v="Certificate or Diploma"/>
    <s v="Medical"/>
    <n v="3"/>
    <n v="2"/>
    <n v="19"/>
    <n v="3"/>
    <n v="9"/>
    <n v="7"/>
    <n v="7"/>
    <n v="7"/>
    <x v="1"/>
    <m/>
    <x v="0"/>
    <m/>
    <x v="0"/>
    <x v="0"/>
    <x v="1"/>
    <x v="0"/>
    <x v="5"/>
  </r>
  <r>
    <x v="66"/>
    <s v="Yes"/>
    <x v="0"/>
    <s v="Research Scientist"/>
    <x v="0"/>
    <x v="0"/>
    <n v="5"/>
    <n v="55884"/>
    <n v="11"/>
    <n v="37.5"/>
    <s v="Yes"/>
    <n v="30"/>
    <s v="Woman"/>
    <s v="Single"/>
    <x v="0"/>
    <n v="3"/>
    <s v="Bachelor's Degree"/>
    <s v="Technical Degree"/>
    <n v="3"/>
    <n v="0"/>
    <n v="8"/>
    <n v="5"/>
    <n v="5"/>
    <n v="2"/>
    <n v="0"/>
    <n v="4"/>
    <x v="1"/>
    <m/>
    <x v="0"/>
    <m/>
    <x v="0"/>
    <x v="2"/>
    <x v="1"/>
    <x v="0"/>
    <x v="1"/>
  </r>
  <r>
    <x v="67"/>
    <s v="Yes"/>
    <x v="0"/>
    <s v="Manager, R&amp;D"/>
    <x v="1"/>
    <x v="0"/>
    <n v="10"/>
    <n v="154188"/>
    <n v="12"/>
    <n v="37.5"/>
    <s v="Yes"/>
    <n v="47"/>
    <s v="Man"/>
    <s v="Married"/>
    <x v="2"/>
    <n v="29"/>
    <s v="Master's Degree"/>
    <s v="Life Sciences"/>
    <n v="3"/>
    <n v="1"/>
    <n v="10"/>
    <n v="2"/>
    <n v="10"/>
    <n v="7"/>
    <n v="9"/>
    <n v="9"/>
    <x v="2"/>
    <m/>
    <x v="0"/>
    <m/>
    <x v="3"/>
    <x v="3"/>
    <x v="0"/>
    <x v="1"/>
    <x v="6"/>
  </r>
  <r>
    <x v="68"/>
    <s v="Yes"/>
    <x v="0"/>
    <s v="Laboratory Technician"/>
    <x v="0"/>
    <x v="0"/>
    <n v="6"/>
    <n v="61932"/>
    <n v="22"/>
    <n v="37.5"/>
    <s v="Yes"/>
    <n v="44"/>
    <s v="Man"/>
    <s v="Divorced"/>
    <x v="1"/>
    <n v="24"/>
    <s v="Bachelor's Degree"/>
    <s v="Life Sciences"/>
    <n v="4"/>
    <n v="1"/>
    <n v="19"/>
    <n v="0"/>
    <n v="1"/>
    <n v="0"/>
    <n v="0"/>
    <n v="0"/>
    <x v="0"/>
    <m/>
    <x v="0"/>
    <m/>
    <x v="0"/>
    <x v="0"/>
    <x v="0"/>
    <x v="3"/>
    <x v="4"/>
  </r>
  <r>
    <x v="69"/>
    <s v="Yes"/>
    <x v="0"/>
    <s v="Research Scientist"/>
    <x v="0"/>
    <x v="0"/>
    <n v="5"/>
    <n v="56316"/>
    <n v="19"/>
    <n v="37.5"/>
    <s v="No"/>
    <n v="21"/>
    <s v="Woman"/>
    <s v="Single"/>
    <x v="0"/>
    <n v="18"/>
    <s v="Trades Apprenticeship"/>
    <s v="Other"/>
    <n v="3"/>
    <n v="0"/>
    <n v="1"/>
    <n v="3"/>
    <n v="1"/>
    <n v="0"/>
    <n v="0"/>
    <n v="0"/>
    <x v="0"/>
    <m/>
    <x v="0"/>
    <m/>
    <x v="0"/>
    <x v="1"/>
    <x v="3"/>
    <x v="1"/>
    <x v="1"/>
  </r>
  <r>
    <x v="70"/>
    <s v="Yes"/>
    <x v="0"/>
    <s v="Laboratory Technician"/>
    <x v="0"/>
    <x v="0"/>
    <n v="4"/>
    <n v="52476"/>
    <n v="13"/>
    <n v="37.5"/>
    <s v="Yes"/>
    <n v="26"/>
    <s v="Man"/>
    <s v="Divorced"/>
    <x v="0"/>
    <n v="16"/>
    <s v="Master's Degree"/>
    <s v="Medical"/>
    <n v="3"/>
    <n v="1"/>
    <n v="5"/>
    <n v="2"/>
    <n v="3"/>
    <n v="2"/>
    <n v="0"/>
    <n v="2"/>
    <x v="1"/>
    <m/>
    <x v="0"/>
    <m/>
    <x v="3"/>
    <x v="3"/>
    <x v="0"/>
    <x v="0"/>
    <x v="2"/>
  </r>
  <r>
    <x v="71"/>
    <s v="Yes"/>
    <x v="0"/>
    <s v="Sales Executive"/>
    <x v="0"/>
    <x v="1"/>
    <n v="7"/>
    <n v="81936"/>
    <n v="12"/>
    <n v="37.5"/>
    <s v="Yes"/>
    <n v="26"/>
    <s v="Man"/>
    <s v="Single"/>
    <x v="0"/>
    <n v="4"/>
    <s v="Master's Degree"/>
    <s v="Marketing"/>
    <n v="3"/>
    <n v="0"/>
    <n v="8"/>
    <n v="0"/>
    <n v="8"/>
    <n v="7"/>
    <n v="7"/>
    <n v="4"/>
    <x v="1"/>
    <m/>
    <x v="0"/>
    <m/>
    <x v="0"/>
    <x v="1"/>
    <x v="2"/>
    <x v="0"/>
    <x v="5"/>
  </r>
  <r>
    <x v="72"/>
    <s v="Yes"/>
    <x v="0"/>
    <s v="Laboratory Technician"/>
    <x v="0"/>
    <x v="0"/>
    <n v="5"/>
    <n v="56484"/>
    <n v="20"/>
    <n v="37.5"/>
    <s v="No"/>
    <n v="33"/>
    <s v="Woman"/>
    <s v="Married"/>
    <x v="0"/>
    <n v="2"/>
    <s v="Certificate or Diploma"/>
    <s v="Life Sciences"/>
    <n v="4"/>
    <n v="0"/>
    <n v="13"/>
    <n v="3"/>
    <n v="9"/>
    <n v="7"/>
    <n v="1"/>
    <n v="7"/>
    <x v="1"/>
    <m/>
    <x v="0"/>
    <m/>
    <x v="3"/>
    <x v="2"/>
    <x v="3"/>
    <x v="2"/>
    <x v="3"/>
  </r>
  <r>
    <x v="73"/>
    <s v="Yes"/>
    <x v="0"/>
    <s v="Sales Representative"/>
    <x v="0"/>
    <x v="1"/>
    <n v="5"/>
    <n v="56592"/>
    <n v="15"/>
    <n v="37.5"/>
    <s v="No"/>
    <n v="21"/>
    <s v="Woman"/>
    <s v="Single"/>
    <x v="0"/>
    <n v="12"/>
    <s v="Bachelor's Degree"/>
    <s v="Life Sciences"/>
    <n v="3"/>
    <n v="0"/>
    <n v="1"/>
    <n v="0"/>
    <n v="1"/>
    <n v="0"/>
    <n v="0"/>
    <n v="0"/>
    <x v="0"/>
    <m/>
    <x v="0"/>
    <m/>
    <x v="2"/>
    <x v="3"/>
    <x v="0"/>
    <x v="0"/>
    <x v="4"/>
  </r>
  <r>
    <x v="74"/>
    <s v="Yes"/>
    <x v="0"/>
    <s v="HR Operations Specialist"/>
    <x v="0"/>
    <x v="2"/>
    <n v="5"/>
    <n v="56892"/>
    <n v="11"/>
    <n v="37.5"/>
    <s v="Yes"/>
    <n v="26"/>
    <s v="Woman"/>
    <s v="Divorced"/>
    <x v="1"/>
    <n v="17"/>
    <s v="Master's Degree"/>
    <s v="Life Sciences"/>
    <n v="3"/>
    <n v="1"/>
    <n v="8"/>
    <n v="2"/>
    <n v="7"/>
    <n v="7"/>
    <n v="1"/>
    <n v="0"/>
    <x v="1"/>
    <m/>
    <x v="0"/>
    <m/>
    <x v="1"/>
    <x v="0"/>
    <x v="2"/>
    <x v="1"/>
    <x v="6"/>
  </r>
  <r>
    <x v="75"/>
    <s v="Yes"/>
    <x v="0"/>
    <s v="HR Business Partner"/>
    <x v="0"/>
    <x v="2"/>
    <n v="5"/>
    <n v="56904"/>
    <n v="15"/>
    <n v="37.5"/>
    <s v="No"/>
    <n v="34"/>
    <s v="Woman"/>
    <s v="Married"/>
    <x v="0"/>
    <n v="9"/>
    <s v="Master's Degree"/>
    <s v="Technical Degree"/>
    <n v="3"/>
    <n v="0"/>
    <n v="2"/>
    <n v="0"/>
    <n v="2"/>
    <n v="2"/>
    <n v="2"/>
    <n v="2"/>
    <x v="0"/>
    <m/>
    <x v="0"/>
    <m/>
    <x v="3"/>
    <x v="0"/>
    <x v="0"/>
    <x v="0"/>
    <x v="1"/>
  </r>
  <r>
    <x v="76"/>
    <s v="Yes"/>
    <x v="0"/>
    <s v="Laboratory Technician"/>
    <x v="0"/>
    <x v="0"/>
    <n v="5"/>
    <n v="56916"/>
    <n v="16"/>
    <n v="37.5"/>
    <s v="No"/>
    <n v="36"/>
    <s v="Woman"/>
    <s v="Single"/>
    <x v="0"/>
    <n v="16"/>
    <s v="Master's Degree"/>
    <s v="Life Sciences"/>
    <n v="3"/>
    <n v="0"/>
    <n v="18"/>
    <n v="1"/>
    <n v="17"/>
    <n v="13"/>
    <n v="15"/>
    <n v="14"/>
    <x v="2"/>
    <m/>
    <x v="0"/>
    <m/>
    <x v="2"/>
    <x v="2"/>
    <x v="1"/>
    <x v="0"/>
    <x v="2"/>
  </r>
  <r>
    <x v="77"/>
    <s v="Yes"/>
    <x v="0"/>
    <s v="Sales Representative"/>
    <x v="0"/>
    <x v="1"/>
    <n v="5"/>
    <n v="57120"/>
    <n v="13"/>
    <n v="37.5"/>
    <s v="No"/>
    <n v="29"/>
    <s v="Woman"/>
    <s v="Single"/>
    <x v="0"/>
    <n v="9"/>
    <s v="Bachelor's Degree"/>
    <s v="Marketing"/>
    <n v="3"/>
    <n v="0"/>
    <n v="2"/>
    <n v="3"/>
    <n v="2"/>
    <n v="2"/>
    <n v="2"/>
    <n v="2"/>
    <x v="0"/>
    <m/>
    <x v="0"/>
    <m/>
    <x v="1"/>
    <x v="3"/>
    <x v="1"/>
    <x v="0"/>
    <x v="2"/>
  </r>
  <r>
    <x v="78"/>
    <s v="Yes"/>
    <x v="0"/>
    <s v="Research Scientist"/>
    <x v="0"/>
    <x v="0"/>
    <n v="7"/>
    <n v="71292"/>
    <n v="15"/>
    <n v="37.5"/>
    <s v="No"/>
    <n v="52"/>
    <s v="Man"/>
    <s v="Married"/>
    <x v="0"/>
    <n v="8"/>
    <s v="Master's Degree"/>
    <s v="Medical"/>
    <n v="3"/>
    <n v="0"/>
    <n v="11"/>
    <n v="3"/>
    <n v="8"/>
    <n v="2"/>
    <n v="7"/>
    <n v="7"/>
    <x v="1"/>
    <m/>
    <x v="0"/>
    <m/>
    <x v="2"/>
    <x v="3"/>
    <x v="3"/>
    <x v="1"/>
    <x v="8"/>
  </r>
  <r>
    <x v="79"/>
    <s v="Yes"/>
    <x v="0"/>
    <s v="Laboratory Technician"/>
    <x v="0"/>
    <x v="0"/>
    <n v="5"/>
    <n v="57336"/>
    <n v="13"/>
    <n v="37.5"/>
    <s v="Yes"/>
    <n v="41"/>
    <s v="Woman"/>
    <s v="Divorced"/>
    <x v="0"/>
    <n v="2"/>
    <s v="Master's Degree"/>
    <s v="Life Sciences"/>
    <n v="3"/>
    <n v="1"/>
    <n v="10"/>
    <n v="1"/>
    <n v="7"/>
    <n v="7"/>
    <n v="1"/>
    <n v="0"/>
    <x v="1"/>
    <m/>
    <x v="0"/>
    <m/>
    <x v="1"/>
    <x v="1"/>
    <x v="1"/>
    <x v="1"/>
    <x v="1"/>
  </r>
  <r>
    <x v="80"/>
    <s v="Yes"/>
    <x v="0"/>
    <s v="Research Scientist"/>
    <x v="0"/>
    <x v="0"/>
    <n v="6"/>
    <n v="65568"/>
    <n v="13"/>
    <n v="37.5"/>
    <s v="Yes"/>
    <n v="28"/>
    <s v="Man"/>
    <s v="Married"/>
    <x v="0"/>
    <n v="2"/>
    <s v="Master's Degree"/>
    <s v="Medical"/>
    <n v="3"/>
    <n v="0"/>
    <n v="5"/>
    <n v="4"/>
    <n v="3"/>
    <n v="2"/>
    <n v="2"/>
    <n v="2"/>
    <x v="1"/>
    <m/>
    <x v="0"/>
    <m/>
    <x v="3"/>
    <x v="1"/>
    <x v="0"/>
    <x v="1"/>
    <x v="1"/>
  </r>
  <r>
    <x v="81"/>
    <s v="Yes"/>
    <x v="0"/>
    <s v="Sales Representative"/>
    <x v="0"/>
    <x v="1"/>
    <n v="5"/>
    <n v="57420"/>
    <n v="14"/>
    <n v="37.5"/>
    <s v="No"/>
    <n v="31"/>
    <s v="Woman"/>
    <s v="Single"/>
    <x v="1"/>
    <n v="2"/>
    <s v="Bachelor's Degree"/>
    <s v="Life Sciences"/>
    <n v="3"/>
    <n v="0"/>
    <n v="3"/>
    <n v="3"/>
    <n v="1"/>
    <n v="0"/>
    <n v="0"/>
    <n v="0"/>
    <x v="0"/>
    <m/>
    <x v="0"/>
    <m/>
    <x v="2"/>
    <x v="1"/>
    <x v="1"/>
    <x v="2"/>
    <x v="0"/>
  </r>
  <r>
    <x v="82"/>
    <s v="Yes"/>
    <x v="0"/>
    <s v="Sales Representative"/>
    <x v="0"/>
    <x v="1"/>
    <n v="5"/>
    <n v="57600"/>
    <n v="19"/>
    <n v="37.5"/>
    <s v="Yes"/>
    <n v="29"/>
    <s v="Woman"/>
    <s v="Divorced"/>
    <x v="0"/>
    <n v="1"/>
    <s v="Bachelor's Degree"/>
    <s v="Medical"/>
    <n v="3"/>
    <n v="3"/>
    <n v="5"/>
    <n v="3"/>
    <n v="3"/>
    <n v="2"/>
    <n v="0"/>
    <n v="2"/>
    <x v="1"/>
    <m/>
    <x v="0"/>
    <m/>
    <x v="1"/>
    <x v="0"/>
    <x v="1"/>
    <x v="0"/>
    <x v="1"/>
  </r>
  <r>
    <x v="83"/>
    <s v="Yes"/>
    <x v="0"/>
    <s v="Laboratory Technician"/>
    <x v="0"/>
    <x v="0"/>
    <n v="3"/>
    <n v="49428"/>
    <n v="11"/>
    <n v="37.5"/>
    <s v="Yes"/>
    <n v="29"/>
    <s v="Man"/>
    <s v="Married"/>
    <x v="0"/>
    <n v="8"/>
    <s v="Master's Degree"/>
    <s v="Other"/>
    <n v="3"/>
    <n v="0"/>
    <n v="7"/>
    <n v="4"/>
    <n v="7"/>
    <n v="7"/>
    <n v="0"/>
    <n v="7"/>
    <x v="1"/>
    <m/>
    <x v="0"/>
    <m/>
    <x v="1"/>
    <x v="2"/>
    <x v="0"/>
    <x v="1"/>
    <x v="6"/>
  </r>
  <r>
    <x v="84"/>
    <s v="Yes"/>
    <x v="0"/>
    <s v="Sales Representative"/>
    <x v="0"/>
    <x v="1"/>
    <n v="5"/>
    <n v="58212"/>
    <n v="13"/>
    <n v="37.5"/>
    <s v="Yes"/>
    <n v="33"/>
    <s v="Woman"/>
    <s v="Single"/>
    <x v="0"/>
    <n v="5"/>
    <s v="Bachelor's Degree"/>
    <s v="Marketing"/>
    <n v="3"/>
    <n v="0"/>
    <n v="1"/>
    <n v="2"/>
    <n v="1"/>
    <n v="0"/>
    <n v="0"/>
    <n v="0"/>
    <x v="0"/>
    <m/>
    <x v="0"/>
    <m/>
    <x v="0"/>
    <x v="0"/>
    <x v="2"/>
    <x v="0"/>
    <x v="4"/>
  </r>
  <r>
    <x v="85"/>
    <s v="Yes"/>
    <x v="0"/>
    <s v="HR Business Partner"/>
    <x v="0"/>
    <x v="2"/>
    <n v="5"/>
    <n v="58356"/>
    <n v="12"/>
    <n v="37.5"/>
    <s v="No"/>
    <n v="27"/>
    <s v="Woman"/>
    <s v="Married"/>
    <x v="1"/>
    <n v="22"/>
    <s v="Bachelor's Degree"/>
    <s v="Human Resources"/>
    <n v="3"/>
    <n v="0"/>
    <n v="1"/>
    <n v="2"/>
    <n v="1"/>
    <n v="0"/>
    <n v="0"/>
    <n v="0"/>
    <x v="0"/>
    <m/>
    <x v="0"/>
    <m/>
    <x v="3"/>
    <x v="3"/>
    <x v="3"/>
    <x v="0"/>
    <x v="3"/>
  </r>
  <r>
    <x v="86"/>
    <s v="Yes"/>
    <x v="0"/>
    <s v="Laboratory Technician"/>
    <x v="0"/>
    <x v="0"/>
    <n v="5"/>
    <n v="58632"/>
    <n v="16"/>
    <n v="37.5"/>
    <s v="Yes"/>
    <n v="24"/>
    <s v="Woman"/>
    <s v="Married"/>
    <x v="1"/>
    <n v="7"/>
    <s v="Bachelor's Degree"/>
    <s v="Life Sciences"/>
    <n v="3"/>
    <n v="1"/>
    <n v="6"/>
    <n v="4"/>
    <n v="6"/>
    <n v="3"/>
    <n v="1"/>
    <n v="2"/>
    <x v="1"/>
    <m/>
    <x v="0"/>
    <m/>
    <x v="3"/>
    <x v="0"/>
    <x v="0"/>
    <x v="0"/>
    <x v="1"/>
  </r>
  <r>
    <x v="87"/>
    <s v="Yes"/>
    <x v="0"/>
    <s v="Sales Executive"/>
    <x v="0"/>
    <x v="1"/>
    <n v="9"/>
    <n v="124260"/>
    <n v="18"/>
    <n v="37.5"/>
    <s v="No"/>
    <n v="41"/>
    <s v="Man"/>
    <s v="Single"/>
    <x v="1"/>
    <n v="4"/>
    <s v="Bachelor's Degree"/>
    <s v="Marketing"/>
    <n v="3"/>
    <n v="0"/>
    <n v="8"/>
    <n v="5"/>
    <n v="8"/>
    <n v="7"/>
    <n v="7"/>
    <n v="7"/>
    <x v="1"/>
    <m/>
    <x v="0"/>
    <m/>
    <x v="3"/>
    <x v="3"/>
    <x v="1"/>
    <x v="0"/>
    <x v="6"/>
  </r>
  <r>
    <x v="88"/>
    <s v="Yes"/>
    <x v="0"/>
    <s v="Laboratory Technician"/>
    <x v="0"/>
    <x v="0"/>
    <n v="5"/>
    <n v="59112"/>
    <n v="18"/>
    <n v="37.5"/>
    <s v="Yes"/>
    <n v="20"/>
    <s v="Woman"/>
    <s v="Single"/>
    <x v="1"/>
    <n v="6"/>
    <s v="Bachelor's Degree"/>
    <s v="Life Sciences"/>
    <n v="3"/>
    <n v="0"/>
    <n v="1"/>
    <n v="5"/>
    <n v="1"/>
    <n v="0"/>
    <n v="1"/>
    <n v="0"/>
    <x v="0"/>
    <m/>
    <x v="0"/>
    <m/>
    <x v="0"/>
    <x v="1"/>
    <x v="2"/>
    <x v="0"/>
    <x v="5"/>
  </r>
  <r>
    <x v="89"/>
    <s v="Yes"/>
    <x v="0"/>
    <s v="Sales Executive"/>
    <x v="0"/>
    <x v="1"/>
    <n v="8"/>
    <n v="88560"/>
    <n v="12"/>
    <n v="37.5"/>
    <s v="Yes"/>
    <n v="40"/>
    <s v="Man"/>
    <s v="Married"/>
    <x v="0"/>
    <n v="22"/>
    <s v="Certificate or Diploma"/>
    <s v="Marketing"/>
    <n v="3"/>
    <n v="2"/>
    <n v="8"/>
    <n v="6"/>
    <n v="6"/>
    <n v="4"/>
    <n v="1"/>
    <n v="0"/>
    <x v="1"/>
    <m/>
    <x v="0"/>
    <m/>
    <x v="2"/>
    <x v="0"/>
    <x v="3"/>
    <x v="0"/>
    <x v="2"/>
  </r>
  <r>
    <x v="90"/>
    <s v="Yes"/>
    <x v="0"/>
    <s v="Sales Executive"/>
    <x v="0"/>
    <x v="1"/>
    <n v="7"/>
    <n v="75648"/>
    <n v="13"/>
    <n v="37.5"/>
    <s v="Yes"/>
    <n v="34"/>
    <s v="Man"/>
    <s v="Single"/>
    <x v="2"/>
    <n v="19"/>
    <s v="Bachelor's Degree"/>
    <s v="Marketing"/>
    <n v="3"/>
    <n v="0"/>
    <n v="9"/>
    <n v="3"/>
    <n v="5"/>
    <n v="2"/>
    <n v="0"/>
    <n v="4"/>
    <x v="1"/>
    <m/>
    <x v="0"/>
    <m/>
    <x v="3"/>
    <x v="1"/>
    <x v="2"/>
    <x v="1"/>
    <x v="6"/>
  </r>
  <r>
    <x v="91"/>
    <s v="Yes"/>
    <x v="0"/>
    <s v="Research Scientist"/>
    <x v="0"/>
    <x v="0"/>
    <n v="6"/>
    <n v="61224"/>
    <n v="22"/>
    <n v="37.5"/>
    <s v="No"/>
    <n v="26"/>
    <s v="Man"/>
    <s v="Single"/>
    <x v="1"/>
    <n v="3"/>
    <s v="Trades Apprenticeship"/>
    <s v="Technical Degree"/>
    <n v="4"/>
    <n v="0"/>
    <n v="7"/>
    <n v="2"/>
    <n v="6"/>
    <n v="4"/>
    <n v="0"/>
    <n v="4"/>
    <x v="1"/>
    <m/>
    <x v="0"/>
    <m/>
    <x v="2"/>
    <x v="2"/>
    <x v="1"/>
    <x v="0"/>
    <x v="2"/>
  </r>
  <r>
    <x v="92"/>
    <s v="Yes"/>
    <x v="0"/>
    <s v="Research Scientist"/>
    <x v="0"/>
    <x v="0"/>
    <n v="4"/>
    <n v="51420"/>
    <n v="23"/>
    <n v="37.5"/>
    <s v="Yes"/>
    <n v="30"/>
    <s v="Man"/>
    <s v="Single"/>
    <x v="1"/>
    <n v="4"/>
    <s v="Bachelor's Degree"/>
    <s v="Technical Degree"/>
    <n v="4"/>
    <n v="0"/>
    <n v="3"/>
    <n v="4"/>
    <n v="1"/>
    <n v="0"/>
    <n v="0"/>
    <n v="0"/>
    <x v="0"/>
    <m/>
    <x v="0"/>
    <m/>
    <x v="2"/>
    <x v="1"/>
    <x v="1"/>
    <x v="0"/>
    <x v="5"/>
  </r>
  <r>
    <x v="93"/>
    <s v="Yes"/>
    <x v="0"/>
    <s v="Laboratory Technician"/>
    <x v="0"/>
    <x v="0"/>
    <n v="6"/>
    <n v="60372"/>
    <n v="13"/>
    <n v="37.5"/>
    <s v="No"/>
    <n v="25"/>
    <s v="Man"/>
    <s v="Married"/>
    <x v="0"/>
    <n v="3"/>
    <s v="Bachelor's Degree"/>
    <s v="Medical"/>
    <n v="3"/>
    <n v="1"/>
    <n v="6"/>
    <n v="5"/>
    <n v="2"/>
    <n v="2"/>
    <n v="0"/>
    <n v="2"/>
    <x v="0"/>
    <m/>
    <x v="0"/>
    <m/>
    <x v="3"/>
    <x v="2"/>
    <x v="1"/>
    <x v="0"/>
    <x v="8"/>
  </r>
  <r>
    <x v="94"/>
    <s v="Yes"/>
    <x v="0"/>
    <s v="HR Business Partner"/>
    <x v="0"/>
    <x v="2"/>
    <n v="4"/>
    <n v="54768"/>
    <n v="12"/>
    <n v="37.5"/>
    <s v="No"/>
    <n v="19"/>
    <s v="Man"/>
    <s v="Single"/>
    <x v="0"/>
    <n v="2"/>
    <s v="Certificate or Diploma"/>
    <s v="Technical Degree"/>
    <n v="3"/>
    <n v="0"/>
    <n v="1"/>
    <n v="3"/>
    <n v="1"/>
    <n v="0"/>
    <n v="0"/>
    <n v="0"/>
    <x v="0"/>
    <m/>
    <x v="0"/>
    <m/>
    <x v="3"/>
    <x v="1"/>
    <x v="1"/>
    <x v="2"/>
    <x v="4"/>
  </r>
  <r>
    <x v="95"/>
    <s v="Yes"/>
    <x v="0"/>
    <s v="Manager, R&amp;D"/>
    <x v="1"/>
    <x v="0"/>
    <n v="3"/>
    <n v="175320"/>
    <n v="12"/>
    <n v="37.5"/>
    <s v="Yes"/>
    <n v="33"/>
    <s v="Man"/>
    <s v="Married"/>
    <x v="0"/>
    <n v="15"/>
    <s v="Trades Apprenticeship"/>
    <s v="Medical"/>
    <n v="3"/>
    <n v="0"/>
    <n v="15"/>
    <n v="2"/>
    <n v="7"/>
    <n v="6"/>
    <n v="7"/>
    <n v="7"/>
    <x v="1"/>
    <m/>
    <x v="0"/>
    <m/>
    <x v="1"/>
    <x v="0"/>
    <x v="0"/>
    <x v="2"/>
    <x v="5"/>
  </r>
  <r>
    <x v="96"/>
    <s v="Yes"/>
    <x v="0"/>
    <s v="Laboratory Technician"/>
    <x v="0"/>
    <x v="0"/>
    <n v="6"/>
    <n v="64896"/>
    <n v="13"/>
    <n v="37.5"/>
    <s v="No"/>
    <n v="33"/>
    <s v="Man"/>
    <s v="Divorced"/>
    <x v="0"/>
    <n v="10"/>
    <s v="Trades Apprenticeship"/>
    <s v="Medical"/>
    <n v="3"/>
    <n v="3"/>
    <n v="8"/>
    <n v="2"/>
    <n v="4"/>
    <n v="3"/>
    <n v="1"/>
    <n v="3"/>
    <x v="1"/>
    <m/>
    <x v="0"/>
    <m/>
    <x v="3"/>
    <x v="1"/>
    <x v="3"/>
    <x v="0"/>
    <x v="6"/>
  </r>
  <r>
    <x v="97"/>
    <s v="Yes"/>
    <x v="0"/>
    <s v="Healthcare Representative"/>
    <x v="0"/>
    <x v="0"/>
    <n v="9"/>
    <n v="129888"/>
    <n v="12"/>
    <n v="37.5"/>
    <s v="No"/>
    <n v="31"/>
    <s v="Man"/>
    <s v="Married"/>
    <x v="1"/>
    <n v="20"/>
    <s v="Bachelor's Degree"/>
    <s v="Life Sciences"/>
    <n v="3"/>
    <n v="0"/>
    <n v="12"/>
    <n v="2"/>
    <n v="1"/>
    <n v="0"/>
    <n v="0"/>
    <n v="0"/>
    <x v="0"/>
    <m/>
    <x v="0"/>
    <m/>
    <x v="3"/>
    <x v="0"/>
    <x v="3"/>
    <x v="0"/>
    <x v="8"/>
  </r>
  <r>
    <x v="98"/>
    <s v="Yes"/>
    <x v="0"/>
    <s v="Research Scientist"/>
    <x v="0"/>
    <x v="0"/>
    <n v="6"/>
    <n v="61008"/>
    <n v="12"/>
    <n v="37.5"/>
    <s v="No"/>
    <n v="31"/>
    <s v="Woman"/>
    <s v="Single"/>
    <x v="1"/>
    <n v="3"/>
    <s v="Bachelor's Degree"/>
    <s v="Life Sciences"/>
    <n v="3"/>
    <n v="0"/>
    <n v="7"/>
    <n v="2"/>
    <n v="7"/>
    <n v="2"/>
    <n v="7"/>
    <n v="7"/>
    <x v="1"/>
    <m/>
    <x v="0"/>
    <m/>
    <x v="0"/>
    <x v="0"/>
    <x v="3"/>
    <x v="3"/>
    <x v="6"/>
  </r>
  <r>
    <x v="99"/>
    <s v="Yes"/>
    <x v="0"/>
    <s v="Laboratory Technician"/>
    <x v="0"/>
    <x v="0"/>
    <n v="7"/>
    <n v="70728"/>
    <n v="16"/>
    <n v="37.5"/>
    <s v="No"/>
    <n v="22"/>
    <s v="Man"/>
    <s v="Single"/>
    <x v="1"/>
    <n v="4"/>
    <s v="Trades Apprenticeship"/>
    <s v="Technical Degree"/>
    <n v="3"/>
    <n v="0"/>
    <n v="4"/>
    <n v="3"/>
    <n v="2"/>
    <n v="2"/>
    <n v="1"/>
    <n v="2"/>
    <x v="0"/>
    <m/>
    <x v="0"/>
    <m/>
    <x v="2"/>
    <x v="0"/>
    <x v="1"/>
    <x v="0"/>
    <x v="4"/>
  </r>
  <r>
    <x v="100"/>
    <s v="Yes"/>
    <x v="0"/>
    <s v="Sales Representative"/>
    <x v="0"/>
    <x v="1"/>
    <n v="6"/>
    <n v="61680"/>
    <n v="22"/>
    <n v="37.5"/>
    <s v="Yes"/>
    <n v="41"/>
    <s v="Woman"/>
    <s v="Single"/>
    <x v="0"/>
    <n v="20"/>
    <s v="Certificate or Diploma"/>
    <s v="Marketing"/>
    <n v="4"/>
    <n v="0"/>
    <n v="4"/>
    <n v="5"/>
    <n v="4"/>
    <n v="3"/>
    <n v="0"/>
    <n v="2"/>
    <x v="1"/>
    <m/>
    <x v="0"/>
    <m/>
    <x v="1"/>
    <x v="3"/>
    <x v="0"/>
    <x v="1"/>
    <x v="2"/>
  </r>
  <r>
    <x v="101"/>
    <s v="Yes"/>
    <x v="0"/>
    <s v="Sales Representative"/>
    <x v="0"/>
    <x v="1"/>
    <n v="3"/>
    <n v="46536"/>
    <n v="14"/>
    <n v="37.5"/>
    <s v="Yes"/>
    <n v="18"/>
    <s v="Man"/>
    <s v="Single"/>
    <x v="1"/>
    <n v="5"/>
    <s v="Bachelor's Degree"/>
    <s v="Marketing"/>
    <n v="3"/>
    <n v="0"/>
    <n v="0"/>
    <n v="3"/>
    <n v="0"/>
    <n v="0"/>
    <n v="0"/>
    <n v="0"/>
    <x v="0"/>
    <m/>
    <x v="0"/>
    <m/>
    <x v="1"/>
    <x v="3"/>
    <x v="0"/>
    <x v="0"/>
    <x v="1"/>
  </r>
  <r>
    <x v="102"/>
    <s v="Yes"/>
    <x v="0"/>
    <s v="Manufacturing Director"/>
    <x v="1"/>
    <x v="0"/>
    <n v="6"/>
    <n v="62052"/>
    <n v="19"/>
    <n v="37.5"/>
    <s v="Yes"/>
    <n v="22"/>
    <s v="Woman"/>
    <s v="Married"/>
    <x v="0"/>
    <n v="3"/>
    <s v="Trades Apprenticeship"/>
    <s v="Life Sciences"/>
    <n v="3"/>
    <n v="1"/>
    <n v="4"/>
    <n v="3"/>
    <n v="3"/>
    <n v="2"/>
    <n v="0"/>
    <n v="2"/>
    <x v="1"/>
    <m/>
    <x v="0"/>
    <m/>
    <x v="1"/>
    <x v="0"/>
    <x v="3"/>
    <x v="2"/>
    <x v="2"/>
  </r>
  <r>
    <x v="103"/>
    <s v="Yes"/>
    <x v="0"/>
    <s v="Laboratory Technician"/>
    <x v="0"/>
    <x v="0"/>
    <n v="4"/>
    <n v="52080"/>
    <n v="18"/>
    <n v="37.5"/>
    <s v="Yes"/>
    <n v="26"/>
    <s v="Man"/>
    <s v="Single"/>
    <x v="0"/>
    <n v="24"/>
    <s v="Bachelor's Degree"/>
    <s v="Technical Degree"/>
    <n v="3"/>
    <n v="0"/>
    <n v="1"/>
    <n v="3"/>
    <n v="1"/>
    <n v="0"/>
    <n v="0"/>
    <n v="0"/>
    <x v="0"/>
    <m/>
    <x v="0"/>
    <m/>
    <x v="2"/>
    <x v="1"/>
    <x v="2"/>
    <x v="3"/>
    <x v="2"/>
  </r>
  <r>
    <x v="104"/>
    <s v="Yes"/>
    <x v="0"/>
    <s v="Sales Executive"/>
    <x v="0"/>
    <x v="1"/>
    <n v="6"/>
    <n v="68484"/>
    <n v="12"/>
    <n v="37.5"/>
    <s v="No"/>
    <n v="32"/>
    <s v="Man"/>
    <s v="Married"/>
    <x v="2"/>
    <n v="11"/>
    <s v="Master's Degree"/>
    <s v="Other"/>
    <n v="3"/>
    <n v="0"/>
    <n v="6"/>
    <n v="2"/>
    <n v="4"/>
    <n v="2"/>
    <n v="1"/>
    <n v="2"/>
    <x v="1"/>
    <m/>
    <x v="0"/>
    <m/>
    <x v="0"/>
    <x v="0"/>
    <x v="0"/>
    <x v="0"/>
    <x v="0"/>
  </r>
  <r>
    <x v="105"/>
    <s v="Yes"/>
    <x v="0"/>
    <s v="Laboratory Technician"/>
    <x v="0"/>
    <x v="0"/>
    <n v="6"/>
    <n v="62400"/>
    <n v="22"/>
    <n v="37.5"/>
    <s v="No"/>
    <n v="32"/>
    <s v="Woman"/>
    <s v="Single"/>
    <x v="0"/>
    <n v="9"/>
    <s v="Bachelor's Degree"/>
    <s v="Medical"/>
    <n v="4"/>
    <n v="0"/>
    <n v="10"/>
    <n v="2"/>
    <n v="5"/>
    <n v="4"/>
    <n v="0"/>
    <n v="4"/>
    <x v="1"/>
    <m/>
    <x v="0"/>
    <m/>
    <x v="3"/>
    <x v="2"/>
    <x v="3"/>
    <x v="2"/>
    <x v="3"/>
  </r>
  <r>
    <x v="106"/>
    <s v="Yes"/>
    <x v="0"/>
    <s v="Sales Representative"/>
    <x v="0"/>
    <x v="1"/>
    <n v="6"/>
    <n v="62424"/>
    <n v="16"/>
    <n v="37.5"/>
    <s v="Yes"/>
    <n v="24"/>
    <s v="Woman"/>
    <s v="Single"/>
    <x v="0"/>
    <n v="1"/>
    <s v="Trades Apprenticeship"/>
    <s v="Technical Degree"/>
    <n v="3"/>
    <n v="0"/>
    <n v="6"/>
    <n v="4"/>
    <n v="5"/>
    <n v="3"/>
    <n v="1"/>
    <n v="4"/>
    <x v="1"/>
    <m/>
    <x v="0"/>
    <m/>
    <x v="3"/>
    <x v="3"/>
    <x v="2"/>
    <x v="0"/>
    <x v="8"/>
  </r>
  <r>
    <x v="107"/>
    <s v="Yes"/>
    <x v="0"/>
    <s v="Sales Representative"/>
    <x v="0"/>
    <x v="1"/>
    <n v="3"/>
    <n v="48396"/>
    <n v="18"/>
    <n v="37.5"/>
    <s v="No"/>
    <n v="30"/>
    <s v="Man"/>
    <s v="Married"/>
    <x v="1"/>
    <n v="12"/>
    <s v="Master's Degree"/>
    <s v="Life Sciences"/>
    <n v="3"/>
    <n v="1"/>
    <n v="1"/>
    <n v="2"/>
    <n v="1"/>
    <n v="0"/>
    <n v="0"/>
    <n v="0"/>
    <x v="0"/>
    <m/>
    <x v="0"/>
    <m/>
    <x v="1"/>
    <x v="2"/>
    <x v="1"/>
    <x v="2"/>
    <x v="2"/>
  </r>
  <r>
    <x v="108"/>
    <s v="Yes"/>
    <x v="0"/>
    <s v="Sales Executive"/>
    <x v="0"/>
    <x v="1"/>
    <n v="6"/>
    <n v="62796"/>
    <n v="17"/>
    <n v="37.5"/>
    <s v="No"/>
    <n v="31"/>
    <s v="Man"/>
    <s v="Divorced"/>
    <x v="0"/>
    <n v="13"/>
    <s v="Master's Degree"/>
    <s v="Medical"/>
    <n v="3"/>
    <n v="0"/>
    <n v="9"/>
    <n v="2"/>
    <n v="3"/>
    <n v="1"/>
    <n v="1"/>
    <n v="2"/>
    <x v="1"/>
    <m/>
    <x v="0"/>
    <m/>
    <x v="1"/>
    <x v="2"/>
    <x v="1"/>
    <x v="3"/>
    <x v="3"/>
  </r>
  <r>
    <x v="109"/>
    <s v="Yes"/>
    <x v="0"/>
    <s v="Sales Representative"/>
    <x v="0"/>
    <x v="1"/>
    <n v="6"/>
    <n v="60492"/>
    <n v="11"/>
    <n v="37.5"/>
    <s v="No"/>
    <n v="27"/>
    <s v="Man"/>
    <s v="Divorced"/>
    <x v="0"/>
    <n v="2"/>
    <s v="Trades Apprenticeship"/>
    <s v="Marketing"/>
    <n v="3"/>
    <n v="1"/>
    <n v="5"/>
    <n v="3"/>
    <n v="4"/>
    <n v="3"/>
    <n v="0"/>
    <n v="2"/>
    <x v="1"/>
    <m/>
    <x v="0"/>
    <m/>
    <x v="2"/>
    <x v="2"/>
    <x v="2"/>
    <x v="0"/>
    <x v="6"/>
  </r>
  <r>
    <x v="110"/>
    <s v="Yes"/>
    <x v="0"/>
    <s v="Sales Executive"/>
    <x v="0"/>
    <x v="1"/>
    <n v="6"/>
    <n v="63432"/>
    <n v="14"/>
    <n v="37.5"/>
    <s v="No"/>
    <n v="45"/>
    <s v="Woman"/>
    <s v="Married"/>
    <x v="1"/>
    <n v="26"/>
    <s v="Master's Degree"/>
    <s v="Life Sciences"/>
    <n v="3"/>
    <n v="2"/>
    <n v="5"/>
    <n v="4"/>
    <n v="1"/>
    <n v="1"/>
    <n v="0"/>
    <n v="0"/>
    <x v="0"/>
    <m/>
    <x v="0"/>
    <m/>
    <x v="3"/>
    <x v="2"/>
    <x v="0"/>
    <x v="0"/>
    <x v="6"/>
  </r>
  <r>
    <x v="111"/>
    <s v="Yes"/>
    <x v="0"/>
    <s v="Research Scientist"/>
    <x v="0"/>
    <x v="0"/>
    <n v="6"/>
    <n v="64176"/>
    <n v="11"/>
    <n v="37.5"/>
    <s v="Yes"/>
    <n v="33"/>
    <s v="Man"/>
    <s v="Single"/>
    <x v="1"/>
    <n v="3"/>
    <s v="Bachelor's Degree"/>
    <s v="Life Sciences"/>
    <n v="3"/>
    <n v="0"/>
    <n v="10"/>
    <n v="3"/>
    <n v="10"/>
    <n v="8"/>
    <n v="9"/>
    <n v="7"/>
    <x v="2"/>
    <m/>
    <x v="0"/>
    <m/>
    <x v="3"/>
    <x v="2"/>
    <x v="3"/>
    <x v="0"/>
    <x v="9"/>
  </r>
  <r>
    <x v="112"/>
    <s v="Yes"/>
    <x v="0"/>
    <s v="Laboratory Technician"/>
    <x v="0"/>
    <x v="0"/>
    <n v="6"/>
    <n v="64068"/>
    <n v="13"/>
    <n v="37.5"/>
    <s v="Yes"/>
    <n v="29"/>
    <s v="Woman"/>
    <s v="Divorced"/>
    <x v="0"/>
    <n v="7"/>
    <s v="Bachelor's Degree"/>
    <s v="Technical Degree"/>
    <n v="3"/>
    <n v="2"/>
    <n v="10"/>
    <n v="2"/>
    <n v="7"/>
    <n v="7"/>
    <n v="7"/>
    <n v="7"/>
    <x v="1"/>
    <m/>
    <x v="0"/>
    <m/>
    <x v="1"/>
    <x v="0"/>
    <x v="3"/>
    <x v="0"/>
    <x v="6"/>
  </r>
  <r>
    <x v="113"/>
    <s v="Yes"/>
    <x v="0"/>
    <s v="Sales Executive"/>
    <x v="0"/>
    <x v="1"/>
    <n v="8"/>
    <n v="93552"/>
    <n v="14"/>
    <n v="37.5"/>
    <s v="Yes"/>
    <n v="50"/>
    <s v="Man"/>
    <s v="Married"/>
    <x v="1"/>
    <n v="8"/>
    <s v="Certificate or Diploma"/>
    <s v="Technical Degree"/>
    <n v="3"/>
    <n v="1"/>
    <n v="18"/>
    <n v="4"/>
    <n v="4"/>
    <n v="3"/>
    <n v="1"/>
    <n v="3"/>
    <x v="1"/>
    <m/>
    <x v="0"/>
    <m/>
    <x v="1"/>
    <x v="0"/>
    <x v="3"/>
    <x v="0"/>
    <x v="6"/>
  </r>
  <r>
    <x v="114"/>
    <s v="Yes"/>
    <x v="0"/>
    <s v="Research Scientist"/>
    <x v="0"/>
    <x v="0"/>
    <n v="5"/>
    <n v="57108"/>
    <n v="12"/>
    <n v="37.5"/>
    <s v="Yes"/>
    <n v="42"/>
    <s v="Man"/>
    <s v="Divorced"/>
    <x v="1"/>
    <n v="19"/>
    <s v="Bachelor's Degree"/>
    <s v="Medical"/>
    <n v="3"/>
    <n v="0"/>
    <n v="7"/>
    <n v="2"/>
    <n v="2"/>
    <n v="2"/>
    <n v="2"/>
    <n v="2"/>
    <x v="0"/>
    <m/>
    <x v="0"/>
    <m/>
    <x v="2"/>
    <x v="0"/>
    <x v="0"/>
    <x v="0"/>
    <x v="5"/>
  </r>
  <r>
    <x v="115"/>
    <s v="Yes"/>
    <x v="0"/>
    <s v="Research Scientist"/>
    <x v="0"/>
    <x v="0"/>
    <n v="5"/>
    <n v="56232"/>
    <n v="13"/>
    <n v="37.5"/>
    <s v="Yes"/>
    <n v="33"/>
    <s v="Man"/>
    <s v="Single"/>
    <x v="0"/>
    <n v="1"/>
    <s v="Master's Degree"/>
    <s v="Other"/>
    <n v="3"/>
    <n v="0"/>
    <n v="10"/>
    <n v="2"/>
    <n v="10"/>
    <n v="9"/>
    <n v="7"/>
    <n v="8"/>
    <x v="2"/>
    <m/>
    <x v="0"/>
    <m/>
    <x v="0"/>
    <x v="1"/>
    <x v="1"/>
    <x v="1"/>
    <x v="5"/>
  </r>
  <r>
    <x v="116"/>
    <s v="Yes"/>
    <x v="0"/>
    <s v="Manager, R&amp;D"/>
    <x v="1"/>
    <x v="0"/>
    <n v="5"/>
    <n v="250308"/>
    <n v="13"/>
    <n v="37.5"/>
    <s v="Yes"/>
    <n v="55"/>
    <s v="Man"/>
    <s v="Married"/>
    <x v="0"/>
    <n v="2"/>
    <s v="Bachelor's Degree"/>
    <s v="Medical"/>
    <n v="3"/>
    <n v="1"/>
    <n v="24"/>
    <n v="2"/>
    <n v="5"/>
    <n v="2"/>
    <n v="1"/>
    <n v="4"/>
    <x v="1"/>
    <m/>
    <x v="0"/>
    <m/>
    <x v="0"/>
    <x v="2"/>
    <x v="0"/>
    <x v="0"/>
    <x v="4"/>
  </r>
  <r>
    <x v="117"/>
    <s v="Yes"/>
    <x v="0"/>
    <s v="Sales Executive"/>
    <x v="0"/>
    <x v="1"/>
    <n v="7"/>
    <n v="75912"/>
    <n v="17"/>
    <n v="37.5"/>
    <s v="No"/>
    <n v="26"/>
    <s v="Man"/>
    <s v="Single"/>
    <x v="0"/>
    <n v="8"/>
    <s v="Bachelor's Degree"/>
    <s v="Technical Degree"/>
    <n v="3"/>
    <n v="0"/>
    <n v="6"/>
    <n v="2"/>
    <n v="4"/>
    <n v="3"/>
    <n v="1"/>
    <n v="2"/>
    <x v="1"/>
    <m/>
    <x v="0"/>
    <m/>
    <x v="0"/>
    <x v="2"/>
    <x v="1"/>
    <x v="1"/>
    <x v="2"/>
  </r>
  <r>
    <x v="118"/>
    <s v="Yes"/>
    <x v="0"/>
    <s v="Laboratory Technician"/>
    <x v="0"/>
    <x v="0"/>
    <n v="2"/>
    <n v="43212"/>
    <n v="21"/>
    <n v="37.5"/>
    <s v="Yes"/>
    <n v="23"/>
    <s v="Man"/>
    <s v="Married"/>
    <x v="0"/>
    <n v="6"/>
    <s v="Bachelor's Degree"/>
    <s v="Life Sciences"/>
    <n v="4"/>
    <n v="2"/>
    <n v="1"/>
    <n v="2"/>
    <n v="0"/>
    <n v="0"/>
    <n v="0"/>
    <n v="0"/>
    <x v="0"/>
    <m/>
    <x v="0"/>
    <m/>
    <x v="2"/>
    <x v="2"/>
    <x v="1"/>
    <x v="0"/>
    <x v="2"/>
  </r>
  <r>
    <x v="119"/>
    <s v="Yes"/>
    <x v="0"/>
    <s v="Research Scientist"/>
    <x v="0"/>
    <x v="0"/>
    <n v="6"/>
    <n v="66096"/>
    <n v="22"/>
    <n v="37.5"/>
    <s v="No"/>
    <n v="33"/>
    <s v="Woman"/>
    <s v="Single"/>
    <x v="1"/>
    <n v="29"/>
    <s v="Master's Degree"/>
    <s v="Medical"/>
    <n v="4"/>
    <n v="0"/>
    <n v="14"/>
    <n v="4"/>
    <n v="13"/>
    <n v="7"/>
    <n v="3"/>
    <n v="8"/>
    <x v="2"/>
    <m/>
    <x v="0"/>
    <m/>
    <x v="3"/>
    <x v="0"/>
    <x v="2"/>
    <x v="0"/>
    <x v="6"/>
  </r>
  <r>
    <x v="120"/>
    <s v="Yes"/>
    <x v="0"/>
    <s v="Research Director"/>
    <x v="1"/>
    <x v="0"/>
    <n v="5"/>
    <n v="242952"/>
    <n v="12"/>
    <n v="37.5"/>
    <s v="Yes"/>
    <n v="58"/>
    <s v="Man"/>
    <s v="Single"/>
    <x v="0"/>
    <n v="2"/>
    <s v="Master's Degree"/>
    <s v="Life Sciences"/>
    <n v="3"/>
    <n v="0"/>
    <n v="40"/>
    <n v="2"/>
    <n v="31"/>
    <n v="15"/>
    <n v="13"/>
    <n v="8"/>
    <x v="2"/>
    <m/>
    <x v="0"/>
    <m/>
    <x v="0"/>
    <x v="3"/>
    <x v="0"/>
    <x v="0"/>
    <x v="5"/>
  </r>
  <r>
    <x v="121"/>
    <s v="Yes"/>
    <x v="0"/>
    <s v="Research Scientist"/>
    <x v="0"/>
    <x v="0"/>
    <n v="6"/>
    <n v="64584"/>
    <n v="17"/>
    <n v="37.5"/>
    <s v="No"/>
    <n v="28"/>
    <s v="Man"/>
    <s v="Single"/>
    <x v="0"/>
    <n v="2"/>
    <s v="Master's Degree"/>
    <s v="Medical"/>
    <n v="3"/>
    <n v="0"/>
    <n v="5"/>
    <n v="3"/>
    <n v="2"/>
    <n v="2"/>
    <n v="2"/>
    <n v="1"/>
    <x v="0"/>
    <m/>
    <x v="0"/>
    <m/>
    <x v="2"/>
    <x v="0"/>
    <x v="0"/>
    <x v="1"/>
    <x v="4"/>
  </r>
  <r>
    <x v="122"/>
    <s v="Yes"/>
    <x v="0"/>
    <s v="Sales Executive"/>
    <x v="0"/>
    <x v="1"/>
    <n v="7"/>
    <n v="73920"/>
    <n v="16"/>
    <n v="37.5"/>
    <s v="No"/>
    <n v="55"/>
    <s v="Man"/>
    <s v="Single"/>
    <x v="0"/>
    <n v="2"/>
    <s v="Trades Apprenticeship"/>
    <s v="Medical"/>
    <n v="3"/>
    <n v="0"/>
    <n v="12"/>
    <n v="3"/>
    <n v="9"/>
    <n v="7"/>
    <n v="7"/>
    <n v="3"/>
    <x v="1"/>
    <m/>
    <x v="0"/>
    <m/>
    <x v="2"/>
    <x v="1"/>
    <x v="1"/>
    <x v="1"/>
    <x v="4"/>
  </r>
  <r>
    <x v="123"/>
    <s v="Yes"/>
    <x v="0"/>
    <s v="Sales Executive"/>
    <x v="0"/>
    <x v="1"/>
    <n v="6"/>
    <n v="66708"/>
    <n v="11"/>
    <n v="37.5"/>
    <s v="Yes"/>
    <n v="31"/>
    <s v="Woman"/>
    <s v="Married"/>
    <x v="0"/>
    <n v="20"/>
    <s v="Bachelor's Degree"/>
    <s v="Life Sciences"/>
    <n v="3"/>
    <n v="1"/>
    <n v="4"/>
    <n v="2"/>
    <n v="2"/>
    <n v="2"/>
    <n v="2"/>
    <n v="2"/>
    <x v="0"/>
    <m/>
    <x v="0"/>
    <m/>
    <x v="1"/>
    <x v="0"/>
    <x v="1"/>
    <x v="0"/>
    <x v="1"/>
  </r>
  <r>
    <x v="124"/>
    <s v="Yes"/>
    <x v="0"/>
    <s v="Sales Executive"/>
    <x v="0"/>
    <x v="1"/>
    <n v="6"/>
    <n v="66924"/>
    <n v="14"/>
    <n v="37.5"/>
    <s v="No"/>
    <n v="24"/>
    <s v="Woman"/>
    <s v="Single"/>
    <x v="0"/>
    <n v="3"/>
    <s v="Certificate or Diploma"/>
    <s v="Life Sciences"/>
    <n v="3"/>
    <n v="0"/>
    <n v="4"/>
    <n v="3"/>
    <n v="2"/>
    <n v="2"/>
    <n v="2"/>
    <n v="0"/>
    <x v="0"/>
    <m/>
    <x v="0"/>
    <m/>
    <x v="3"/>
    <x v="0"/>
    <x v="3"/>
    <x v="0"/>
    <x v="8"/>
  </r>
  <r>
    <x v="125"/>
    <s v="Yes"/>
    <x v="0"/>
    <s v="Sales Executive"/>
    <x v="0"/>
    <x v="1"/>
    <n v="6"/>
    <n v="67188"/>
    <n v="23"/>
    <n v="37.5"/>
    <s v="Yes"/>
    <n v="34"/>
    <s v="Woman"/>
    <s v="Single"/>
    <x v="0"/>
    <n v="24"/>
    <s v="Master's Degree"/>
    <s v="Medical"/>
    <n v="4"/>
    <n v="0"/>
    <n v="16"/>
    <n v="2"/>
    <n v="15"/>
    <n v="9"/>
    <n v="10"/>
    <n v="10"/>
    <x v="2"/>
    <m/>
    <x v="0"/>
    <m/>
    <x v="3"/>
    <x v="3"/>
    <x v="1"/>
    <x v="2"/>
    <x v="2"/>
  </r>
  <r>
    <x v="126"/>
    <s v="Yes"/>
    <x v="0"/>
    <s v="Sales Executive"/>
    <x v="0"/>
    <x v="1"/>
    <n v="6"/>
    <n v="67368"/>
    <n v="18"/>
    <n v="37.5"/>
    <s v="Yes"/>
    <n v="35"/>
    <s v="Woman"/>
    <s v="Married"/>
    <x v="1"/>
    <n v="18"/>
    <s v="Master's Degree"/>
    <s v="Marketing"/>
    <n v="3"/>
    <n v="1"/>
    <n v="5"/>
    <n v="0"/>
    <n v="4"/>
    <n v="2"/>
    <n v="3"/>
    <n v="2"/>
    <x v="1"/>
    <m/>
    <x v="0"/>
    <m/>
    <x v="0"/>
    <x v="0"/>
    <x v="1"/>
    <x v="1"/>
    <x v="4"/>
  </r>
  <r>
    <x v="127"/>
    <s v="Yes"/>
    <x v="0"/>
    <s v="Laboratory Technician"/>
    <x v="0"/>
    <x v="0"/>
    <n v="6"/>
    <n v="67752"/>
    <n v="23"/>
    <n v="37.5"/>
    <s v="Yes"/>
    <n v="39"/>
    <s v="Woman"/>
    <s v="Single"/>
    <x v="2"/>
    <n v="2"/>
    <s v="Bachelor's Degree"/>
    <s v="Life Sciences"/>
    <n v="4"/>
    <n v="0"/>
    <n v="11"/>
    <n v="2"/>
    <n v="1"/>
    <n v="0"/>
    <n v="0"/>
    <n v="0"/>
    <x v="0"/>
    <m/>
    <x v="0"/>
    <m/>
    <x v="3"/>
    <x v="2"/>
    <x v="2"/>
    <x v="2"/>
    <x v="8"/>
  </r>
  <r>
    <x v="128"/>
    <s v="Yes"/>
    <x v="0"/>
    <s v="Laboratory Technician"/>
    <x v="0"/>
    <x v="0"/>
    <n v="5"/>
    <n v="57540"/>
    <n v="24"/>
    <n v="37.5"/>
    <s v="Yes"/>
    <n v="32"/>
    <s v="Man"/>
    <s v="Single"/>
    <x v="0"/>
    <n v="25"/>
    <s v="Master's Degree"/>
    <s v="Life Sciences"/>
    <n v="4"/>
    <n v="0"/>
    <n v="1"/>
    <n v="2"/>
    <n v="1"/>
    <n v="0"/>
    <n v="0"/>
    <n v="1"/>
    <x v="0"/>
    <m/>
    <x v="0"/>
    <m/>
    <x v="3"/>
    <x v="1"/>
    <x v="1"/>
    <x v="3"/>
    <x v="6"/>
  </r>
  <r>
    <x v="129"/>
    <s v="Yes"/>
    <x v="0"/>
    <s v="Laboratory Technician"/>
    <x v="0"/>
    <x v="0"/>
    <n v="4"/>
    <n v="52560"/>
    <n v="14"/>
    <n v="37.5"/>
    <s v="Yes"/>
    <n v="58"/>
    <s v="Man"/>
    <s v="Divorced"/>
    <x v="1"/>
    <n v="2"/>
    <s v="Trades Apprenticeship"/>
    <s v="Life Sciences"/>
    <n v="3"/>
    <n v="1"/>
    <n v="3"/>
    <n v="3"/>
    <n v="1"/>
    <n v="0"/>
    <n v="0"/>
    <n v="0"/>
    <x v="0"/>
    <m/>
    <x v="0"/>
    <m/>
    <x v="0"/>
    <x v="1"/>
    <x v="0"/>
    <x v="1"/>
    <x v="0"/>
  </r>
  <r>
    <x v="130"/>
    <s v="Yes"/>
    <x v="0"/>
    <s v="Laboratory Technician"/>
    <x v="0"/>
    <x v="0"/>
    <n v="4"/>
    <n v="52848"/>
    <n v="21"/>
    <n v="37.5"/>
    <s v="Yes"/>
    <n v="39"/>
    <s v="Man"/>
    <s v="Married"/>
    <x v="0"/>
    <n v="6"/>
    <s v="Bachelor's Degree"/>
    <s v="Medical"/>
    <n v="4"/>
    <n v="0"/>
    <n v="8"/>
    <n v="2"/>
    <n v="2"/>
    <n v="2"/>
    <n v="2"/>
    <n v="2"/>
    <x v="0"/>
    <m/>
    <x v="0"/>
    <m/>
    <x v="0"/>
    <x v="2"/>
    <x v="0"/>
    <x v="3"/>
    <x v="2"/>
  </r>
  <r>
    <x v="131"/>
    <s v="Yes"/>
    <x v="0"/>
    <s v="Sales Representative"/>
    <x v="0"/>
    <x v="1"/>
    <n v="4"/>
    <n v="52956"/>
    <n v="18"/>
    <n v="37.5"/>
    <s v="Yes"/>
    <n v="25"/>
    <s v="Man"/>
    <s v="Married"/>
    <x v="0"/>
    <n v="19"/>
    <s v="Certificate or Diploma"/>
    <s v="Marketing"/>
    <n v="3"/>
    <n v="3"/>
    <n v="1"/>
    <n v="2"/>
    <n v="1"/>
    <n v="0"/>
    <n v="0"/>
    <n v="0"/>
    <x v="0"/>
    <m/>
    <x v="0"/>
    <m/>
    <x v="2"/>
    <x v="3"/>
    <x v="1"/>
    <x v="0"/>
    <x v="1"/>
  </r>
  <r>
    <x v="132"/>
    <s v="Yes"/>
    <x v="0"/>
    <s v="Sales Representative"/>
    <x v="0"/>
    <x v="1"/>
    <n v="3"/>
    <n v="49452"/>
    <n v="13"/>
    <n v="37.5"/>
    <s v="Yes"/>
    <n v="19"/>
    <s v="Man"/>
    <s v="Single"/>
    <x v="0"/>
    <n v="21"/>
    <s v="Bachelor's Degree"/>
    <s v="Other"/>
    <n v="3"/>
    <n v="0"/>
    <n v="1"/>
    <n v="3"/>
    <n v="1"/>
    <n v="0"/>
    <n v="0"/>
    <n v="0"/>
    <x v="0"/>
    <m/>
    <x v="0"/>
    <m/>
    <x v="0"/>
    <x v="3"/>
    <x v="2"/>
    <x v="2"/>
    <x v="4"/>
  </r>
  <r>
    <x v="133"/>
    <s v="Yes"/>
    <x v="0"/>
    <s v="Healthcare Representative"/>
    <x v="0"/>
    <x v="0"/>
    <n v="6"/>
    <n v="69324"/>
    <n v="15"/>
    <n v="37.5"/>
    <s v="No"/>
    <n v="37"/>
    <s v="Woman"/>
    <s v="Married"/>
    <x v="0"/>
    <n v="11"/>
    <s v="Certificate or Diploma"/>
    <s v="Medical"/>
    <n v="3"/>
    <n v="0"/>
    <n v="15"/>
    <n v="2"/>
    <n v="1"/>
    <n v="0"/>
    <n v="0"/>
    <n v="0"/>
    <x v="0"/>
    <m/>
    <x v="0"/>
    <m/>
    <x v="3"/>
    <x v="3"/>
    <x v="3"/>
    <x v="3"/>
    <x v="10"/>
  </r>
  <r>
    <x v="134"/>
    <s v="Yes"/>
    <x v="0"/>
    <s v="Laboratory Technician"/>
    <x v="0"/>
    <x v="0"/>
    <n v="5"/>
    <n v="59676"/>
    <n v="19"/>
    <n v="37.5"/>
    <s v="No"/>
    <n v="20"/>
    <s v="Man"/>
    <s v="Single"/>
    <x v="0"/>
    <n v="4"/>
    <s v="Bachelor's Degree"/>
    <s v="Technical Degree"/>
    <n v="3"/>
    <n v="0"/>
    <n v="1"/>
    <n v="2"/>
    <n v="1"/>
    <n v="0"/>
    <n v="0"/>
    <n v="0"/>
    <x v="0"/>
    <m/>
    <x v="0"/>
    <m/>
    <x v="3"/>
    <x v="2"/>
    <x v="2"/>
    <x v="0"/>
    <x v="3"/>
  </r>
  <r>
    <x v="135"/>
    <s v="Yes"/>
    <x v="0"/>
    <s v="Sales Executive"/>
    <x v="0"/>
    <x v="1"/>
    <n v="9"/>
    <n v="135900"/>
    <n v="11"/>
    <n v="37.5"/>
    <s v="Yes"/>
    <n v="36"/>
    <s v="Man"/>
    <s v="Married"/>
    <x v="0"/>
    <n v="3"/>
    <s v="Trades Apprenticeship"/>
    <s v="Life Sciences"/>
    <n v="3"/>
    <n v="1"/>
    <n v="16"/>
    <n v="6"/>
    <n v="16"/>
    <n v="7"/>
    <n v="3"/>
    <n v="7"/>
    <x v="2"/>
    <m/>
    <x v="0"/>
    <m/>
    <x v="2"/>
    <x v="1"/>
    <x v="3"/>
    <x v="0"/>
    <x v="1"/>
  </r>
  <r>
    <x v="136"/>
    <s v="Yes"/>
    <x v="0"/>
    <s v="Sales Executive"/>
    <x v="0"/>
    <x v="1"/>
    <n v="9"/>
    <n v="139308"/>
    <n v="11"/>
    <n v="37.5"/>
    <s v="No"/>
    <n v="37"/>
    <s v="Man"/>
    <s v="Married"/>
    <x v="0"/>
    <n v="1"/>
    <s v="Master's Degree"/>
    <s v="Life Sciences"/>
    <n v="3"/>
    <n v="0"/>
    <n v="17"/>
    <n v="2"/>
    <n v="14"/>
    <n v="1"/>
    <n v="11"/>
    <n v="7"/>
    <x v="2"/>
    <m/>
    <x v="0"/>
    <m/>
    <x v="3"/>
    <x v="0"/>
    <x v="1"/>
    <x v="3"/>
    <x v="8"/>
  </r>
  <r>
    <x v="137"/>
    <s v="Yes"/>
    <x v="0"/>
    <s v="Research Scientist"/>
    <x v="0"/>
    <x v="0"/>
    <n v="4"/>
    <n v="53748"/>
    <n v="24"/>
    <n v="37.5"/>
    <s v="No"/>
    <n v="58"/>
    <s v="Man"/>
    <s v="Single"/>
    <x v="0"/>
    <n v="2"/>
    <s v="Bachelor's Degree"/>
    <s v="Technical Degree"/>
    <n v="4"/>
    <n v="0"/>
    <n v="7"/>
    <n v="4"/>
    <n v="1"/>
    <n v="0"/>
    <n v="0"/>
    <n v="0"/>
    <x v="0"/>
    <m/>
    <x v="0"/>
    <m/>
    <x v="0"/>
    <x v="0"/>
    <x v="3"/>
    <x v="0"/>
    <x v="1"/>
  </r>
  <r>
    <x v="138"/>
    <s v="Yes"/>
    <x v="0"/>
    <s v="Research Scientist"/>
    <x v="0"/>
    <x v="0"/>
    <n v="4"/>
    <n v="51852"/>
    <n v="22"/>
    <n v="37.5"/>
    <s v="Yes"/>
    <n v="31"/>
    <s v="Man"/>
    <s v="Single"/>
    <x v="2"/>
    <n v="9"/>
    <s v="Certificate or Diploma"/>
    <s v="Medical"/>
    <n v="4"/>
    <n v="0"/>
    <n v="4"/>
    <n v="0"/>
    <n v="3"/>
    <n v="2"/>
    <n v="1"/>
    <n v="2"/>
    <x v="1"/>
    <m/>
    <x v="0"/>
    <m/>
    <x v="2"/>
    <x v="2"/>
    <x v="3"/>
    <x v="0"/>
    <x v="8"/>
  </r>
  <r>
    <x v="139"/>
    <s v="Yes"/>
    <x v="0"/>
    <s v="Laboratory Technician"/>
    <x v="0"/>
    <x v="0"/>
    <n v="6"/>
    <n v="68916"/>
    <n v="24"/>
    <n v="37.5"/>
    <s v="Yes"/>
    <n v="35"/>
    <s v="Man"/>
    <s v="Divorced"/>
    <x v="0"/>
    <n v="14"/>
    <s v="Master's Degree"/>
    <s v="Other"/>
    <n v="4"/>
    <n v="1"/>
    <n v="5"/>
    <n v="2"/>
    <n v="4"/>
    <n v="2"/>
    <n v="0"/>
    <n v="2"/>
    <x v="1"/>
    <m/>
    <x v="0"/>
    <m/>
    <x v="2"/>
    <x v="3"/>
    <x v="0"/>
    <x v="3"/>
    <x v="2"/>
  </r>
  <r>
    <x v="140"/>
    <s v="Yes"/>
    <x v="0"/>
    <s v="Research Scientist"/>
    <x v="0"/>
    <x v="0"/>
    <n v="7"/>
    <n v="71028"/>
    <n v="22"/>
    <n v="37.5"/>
    <s v="Yes"/>
    <n v="32"/>
    <s v="Woman"/>
    <s v="Single"/>
    <x v="1"/>
    <n v="16"/>
    <s v="Trades Apprenticeship"/>
    <s v="Life Sciences"/>
    <n v="4"/>
    <n v="0"/>
    <n v="10"/>
    <n v="5"/>
    <n v="10"/>
    <n v="2"/>
    <n v="6"/>
    <n v="7"/>
    <x v="2"/>
    <m/>
    <x v="0"/>
    <m/>
    <x v="1"/>
    <x v="2"/>
    <x v="2"/>
    <x v="0"/>
    <x v="8"/>
  </r>
  <r>
    <x v="141"/>
    <s v="Yes"/>
    <x v="0"/>
    <s v="Sales Executive"/>
    <x v="0"/>
    <x v="1"/>
    <n v="7"/>
    <n v="71628"/>
    <n v="18"/>
    <n v="37.5"/>
    <s v="No"/>
    <n v="26"/>
    <s v="Man"/>
    <s v="Single"/>
    <x v="2"/>
    <n v="29"/>
    <s v="Certificate or Diploma"/>
    <s v="Medical"/>
    <n v="3"/>
    <n v="0"/>
    <n v="7"/>
    <n v="6"/>
    <n v="2"/>
    <n v="2"/>
    <n v="2"/>
    <n v="2"/>
    <x v="0"/>
    <m/>
    <x v="0"/>
    <m/>
    <x v="1"/>
    <x v="2"/>
    <x v="0"/>
    <x v="0"/>
    <x v="2"/>
  </r>
  <r>
    <x v="142"/>
    <s v="Yes"/>
    <x v="0"/>
    <s v="Research Scientist"/>
    <x v="0"/>
    <x v="0"/>
    <n v="7"/>
    <n v="71556"/>
    <n v="18"/>
    <n v="37.5"/>
    <s v="Yes"/>
    <n v="56"/>
    <s v="Woman"/>
    <s v="Married"/>
    <x v="0"/>
    <n v="14"/>
    <s v="Master's Degree"/>
    <s v="Life Sciences"/>
    <n v="3"/>
    <n v="3"/>
    <n v="7"/>
    <n v="2"/>
    <n v="5"/>
    <n v="4"/>
    <n v="4"/>
    <n v="3"/>
    <x v="1"/>
    <m/>
    <x v="0"/>
    <m/>
    <x v="1"/>
    <x v="3"/>
    <x v="3"/>
    <x v="0"/>
    <x v="8"/>
  </r>
  <r>
    <x v="143"/>
    <s v="Yes"/>
    <x v="0"/>
    <s v="Laboratory Technician"/>
    <x v="0"/>
    <x v="0"/>
    <n v="7"/>
    <n v="70008"/>
    <n v="14"/>
    <n v="37.5"/>
    <s v="No"/>
    <n v="36"/>
    <s v="Man"/>
    <s v="Divorced"/>
    <x v="0"/>
    <n v="15"/>
    <s v="Bachelor's Degree"/>
    <s v="Other"/>
    <n v="3"/>
    <n v="1"/>
    <n v="9"/>
    <n v="3"/>
    <n v="1"/>
    <n v="0"/>
    <n v="0"/>
    <n v="0"/>
    <x v="0"/>
    <m/>
    <x v="0"/>
    <m/>
    <x v="3"/>
    <x v="0"/>
    <x v="2"/>
    <x v="1"/>
    <x v="8"/>
  </r>
  <r>
    <x v="144"/>
    <s v="Yes"/>
    <x v="0"/>
    <s v="Research Scientist"/>
    <x v="0"/>
    <x v="0"/>
    <n v="3"/>
    <n v="48504"/>
    <n v="14"/>
    <n v="37.5"/>
    <s v="Yes"/>
    <n v="26"/>
    <s v="Man"/>
    <s v="Married"/>
    <x v="1"/>
    <n v="2"/>
    <s v="Bachelor's Degree"/>
    <s v="Life Sciences"/>
    <n v="3"/>
    <n v="1"/>
    <n v="6"/>
    <n v="2"/>
    <n v="3"/>
    <n v="2"/>
    <n v="1"/>
    <n v="2"/>
    <x v="1"/>
    <m/>
    <x v="0"/>
    <m/>
    <x v="3"/>
    <x v="2"/>
    <x v="2"/>
    <x v="0"/>
    <x v="3"/>
  </r>
  <r>
    <x v="145"/>
    <s v="Yes"/>
    <x v="0"/>
    <s v="Research Scientist"/>
    <x v="0"/>
    <x v="0"/>
    <n v="4"/>
    <n v="53532"/>
    <n v="12"/>
    <n v="37.5"/>
    <s v="Yes"/>
    <n v="51"/>
    <s v="Man"/>
    <s v="Married"/>
    <x v="0"/>
    <n v="4"/>
    <s v="Master's Degree"/>
    <s v="Life Sciences"/>
    <n v="3"/>
    <n v="3"/>
    <n v="18"/>
    <n v="2"/>
    <n v="10"/>
    <n v="0"/>
    <n v="2"/>
    <n v="7"/>
    <x v="2"/>
    <m/>
    <x v="0"/>
    <m/>
    <x v="3"/>
    <x v="0"/>
    <x v="1"/>
    <x v="2"/>
    <x v="1"/>
  </r>
  <r>
    <x v="146"/>
    <s v="Yes"/>
    <x v="0"/>
    <s v="Healthcare Representative"/>
    <x v="0"/>
    <x v="0"/>
    <n v="9"/>
    <n v="116664"/>
    <n v="12"/>
    <n v="37.5"/>
    <s v="No"/>
    <n v="28"/>
    <s v="Man"/>
    <s v="Single"/>
    <x v="2"/>
    <n v="24"/>
    <s v="Certificate or Diploma"/>
    <s v="Technical Degree"/>
    <n v="3"/>
    <n v="0"/>
    <n v="10"/>
    <n v="2"/>
    <n v="10"/>
    <n v="7"/>
    <n v="1"/>
    <n v="9"/>
    <x v="2"/>
    <m/>
    <x v="0"/>
    <m/>
    <x v="1"/>
    <x v="2"/>
    <x v="3"/>
    <x v="1"/>
    <x v="9"/>
  </r>
  <r>
    <x v="147"/>
    <s v="Yes"/>
    <x v="0"/>
    <s v="Compensation Analyst"/>
    <x v="0"/>
    <x v="2"/>
    <n v="9"/>
    <n v="137784"/>
    <n v="14"/>
    <n v="37.5"/>
    <s v="No"/>
    <n v="44"/>
    <s v="Man"/>
    <s v="Married"/>
    <x v="0"/>
    <n v="1"/>
    <s v="Certificate or Diploma"/>
    <s v="Medical"/>
    <n v="3"/>
    <n v="1"/>
    <n v="24"/>
    <n v="1"/>
    <n v="20"/>
    <n v="6"/>
    <n v="3"/>
    <n v="6"/>
    <x v="2"/>
    <m/>
    <x v="0"/>
    <m/>
    <x v="1"/>
    <x v="2"/>
    <x v="0"/>
    <x v="0"/>
    <x v="2"/>
  </r>
  <r>
    <x v="148"/>
    <s v="Yes"/>
    <x v="0"/>
    <s v="Sales Executive"/>
    <x v="0"/>
    <x v="1"/>
    <n v="9"/>
    <n v="126984"/>
    <n v="22"/>
    <n v="37.5"/>
    <s v="Yes"/>
    <n v="35"/>
    <s v="Man"/>
    <s v="Single"/>
    <x v="0"/>
    <n v="4"/>
    <s v="Bachelor's Degree"/>
    <s v="Technical Degree"/>
    <n v="4"/>
    <n v="0"/>
    <n v="9"/>
    <n v="2"/>
    <n v="8"/>
    <n v="7"/>
    <n v="4"/>
    <n v="7"/>
    <x v="1"/>
    <m/>
    <x v="0"/>
    <m/>
    <x v="0"/>
    <x v="2"/>
    <x v="3"/>
    <x v="0"/>
    <x v="6"/>
  </r>
  <r>
    <x v="149"/>
    <s v="Yes"/>
    <x v="0"/>
    <s v="Laboratory Technician"/>
    <x v="0"/>
    <x v="0"/>
    <n v="6"/>
    <n v="68292"/>
    <n v="15"/>
    <n v="37.5"/>
    <s v="Yes"/>
    <n v="25"/>
    <s v="Man"/>
    <s v="Married"/>
    <x v="0"/>
    <n v="4"/>
    <s v="Trades Apprenticeship"/>
    <s v="Technical Degree"/>
    <n v="3"/>
    <n v="1"/>
    <n v="7"/>
    <n v="3"/>
    <n v="7"/>
    <n v="7"/>
    <n v="5"/>
    <n v="6"/>
    <x v="1"/>
    <m/>
    <x v="0"/>
    <m/>
    <x v="0"/>
    <x v="1"/>
    <x v="2"/>
    <x v="2"/>
    <x v="0"/>
  </r>
  <r>
    <x v="150"/>
    <s v="Yes"/>
    <x v="0"/>
    <s v="Laboratory Technician"/>
    <x v="0"/>
    <x v="0"/>
    <n v="4"/>
    <n v="52524"/>
    <n v="20"/>
    <n v="37.5"/>
    <s v="No"/>
    <n v="26"/>
    <s v="Man"/>
    <s v="Divorced"/>
    <x v="0"/>
    <n v="21"/>
    <s v="Bachelor's Degree"/>
    <s v="Medical"/>
    <n v="4"/>
    <n v="1"/>
    <n v="1"/>
    <n v="0"/>
    <n v="1"/>
    <n v="1"/>
    <n v="0"/>
    <n v="0"/>
    <x v="0"/>
    <m/>
    <x v="0"/>
    <m/>
    <x v="3"/>
    <x v="0"/>
    <x v="1"/>
    <x v="1"/>
    <x v="6"/>
  </r>
  <r>
    <x v="151"/>
    <s v="Yes"/>
    <x v="0"/>
    <s v="Research Scientist"/>
    <x v="0"/>
    <x v="0"/>
    <n v="4"/>
    <n v="51756"/>
    <n v="20"/>
    <n v="37.5"/>
    <s v="Yes"/>
    <n v="33"/>
    <s v="Man"/>
    <s v="Single"/>
    <x v="0"/>
    <n v="25"/>
    <s v="Bachelor's Degree"/>
    <s v="Medical"/>
    <n v="4"/>
    <n v="0"/>
    <n v="5"/>
    <n v="0"/>
    <n v="2"/>
    <n v="2"/>
    <n v="2"/>
    <n v="2"/>
    <x v="0"/>
    <m/>
    <x v="0"/>
    <m/>
    <x v="3"/>
    <x v="3"/>
    <x v="2"/>
    <x v="0"/>
    <x v="8"/>
  </r>
  <r>
    <x v="152"/>
    <s v="Yes"/>
    <x v="0"/>
    <s v="Laboratory Technician"/>
    <x v="0"/>
    <x v="0"/>
    <n v="5"/>
    <n v="55152"/>
    <n v="15"/>
    <n v="37.5"/>
    <s v="No"/>
    <n v="28"/>
    <s v="Man"/>
    <s v="Divorced"/>
    <x v="1"/>
    <n v="1"/>
    <s v="Bachelor's Degree"/>
    <s v="Medical"/>
    <n v="3"/>
    <n v="2"/>
    <n v="1"/>
    <n v="2"/>
    <n v="1"/>
    <n v="0"/>
    <n v="0"/>
    <n v="0"/>
    <x v="0"/>
    <m/>
    <x v="0"/>
    <m/>
    <x v="3"/>
    <x v="3"/>
    <x v="3"/>
    <x v="0"/>
    <x v="3"/>
  </r>
  <r>
    <x v="153"/>
    <s v="Yes"/>
    <x v="0"/>
    <s v="Sales Executive"/>
    <x v="0"/>
    <x v="1"/>
    <n v="6"/>
    <n v="68736"/>
    <n v="14"/>
    <n v="37.5"/>
    <s v="Yes"/>
    <n v="50"/>
    <s v="Man"/>
    <s v="Single"/>
    <x v="1"/>
    <n v="1"/>
    <s v="Master's Degree"/>
    <s v="Other"/>
    <n v="3"/>
    <n v="0"/>
    <n v="5"/>
    <n v="4"/>
    <n v="0"/>
    <n v="0"/>
    <n v="0"/>
    <n v="0"/>
    <x v="0"/>
    <m/>
    <x v="0"/>
    <m/>
    <x v="0"/>
    <x v="0"/>
    <x v="0"/>
    <x v="0"/>
    <x v="0"/>
  </r>
  <r>
    <x v="154"/>
    <s v="Yes"/>
    <x v="0"/>
    <s v="Healthcare Representative"/>
    <x v="0"/>
    <x v="0"/>
    <n v="10"/>
    <n v="158028"/>
    <n v="11"/>
    <n v="37.5"/>
    <s v="No"/>
    <n v="39"/>
    <s v="Man"/>
    <s v="Divorced"/>
    <x v="1"/>
    <n v="2"/>
    <s v="Bachelor's Degree"/>
    <s v="Life Sciences"/>
    <n v="3"/>
    <n v="3"/>
    <n v="21"/>
    <n v="4"/>
    <n v="18"/>
    <n v="7"/>
    <n v="11"/>
    <n v="5"/>
    <x v="2"/>
    <m/>
    <x v="0"/>
    <m/>
    <x v="3"/>
    <x v="1"/>
    <x v="0"/>
    <x v="0"/>
    <x v="4"/>
  </r>
  <r>
    <x v="155"/>
    <s v="Yes"/>
    <x v="0"/>
    <s v="Sales Executive"/>
    <x v="0"/>
    <x v="1"/>
    <n v="7"/>
    <n v="74856"/>
    <n v="18"/>
    <n v="37.5"/>
    <s v="Yes"/>
    <n v="39"/>
    <s v="Woman"/>
    <s v="Married"/>
    <x v="0"/>
    <n v="3"/>
    <s v="Certificate or Diploma"/>
    <s v="Medical"/>
    <n v="3"/>
    <n v="0"/>
    <n v="12"/>
    <n v="3"/>
    <n v="1"/>
    <n v="0"/>
    <n v="0"/>
    <n v="0"/>
    <x v="0"/>
    <m/>
    <x v="0"/>
    <m/>
    <x v="0"/>
    <x v="0"/>
    <x v="3"/>
    <x v="1"/>
    <x v="2"/>
  </r>
  <r>
    <x v="156"/>
    <s v="Yes"/>
    <x v="0"/>
    <s v="Sales Executive"/>
    <x v="0"/>
    <x v="1"/>
    <n v="7"/>
    <n v="75888"/>
    <n v="15"/>
    <n v="37.5"/>
    <s v="No"/>
    <n v="33"/>
    <s v="Woman"/>
    <s v="Single"/>
    <x v="0"/>
    <n v="16"/>
    <s v="Bachelor's Degree"/>
    <s v="Marketing"/>
    <n v="3"/>
    <n v="0"/>
    <n v="6"/>
    <n v="3"/>
    <n v="3"/>
    <n v="2"/>
    <n v="0"/>
    <n v="2"/>
    <x v="1"/>
    <m/>
    <x v="0"/>
    <m/>
    <x v="3"/>
    <x v="2"/>
    <x v="1"/>
    <x v="0"/>
    <x v="8"/>
  </r>
  <r>
    <x v="157"/>
    <s v="Yes"/>
    <x v="0"/>
    <s v="Laboratory Technician"/>
    <x v="0"/>
    <x v="0"/>
    <n v="3"/>
    <n v="46848"/>
    <n v="12"/>
    <n v="37.5"/>
    <s v="No"/>
    <n v="18"/>
    <s v="Man"/>
    <s v="Single"/>
    <x v="2"/>
    <n v="8"/>
    <s v="Trades Apprenticeship"/>
    <s v="Medical"/>
    <n v="3"/>
    <n v="0"/>
    <n v="0"/>
    <n v="0"/>
    <n v="0"/>
    <n v="0"/>
    <n v="0"/>
    <n v="0"/>
    <x v="0"/>
    <m/>
    <x v="0"/>
    <m/>
    <x v="2"/>
    <x v="0"/>
    <x v="0"/>
    <x v="0"/>
    <x v="5"/>
  </r>
  <r>
    <x v="158"/>
    <s v="Yes"/>
    <x v="0"/>
    <s v="Sales Executive"/>
    <x v="0"/>
    <x v="1"/>
    <n v="7"/>
    <n v="76152"/>
    <n v="13"/>
    <n v="37.5"/>
    <s v="No"/>
    <n v="43"/>
    <s v="Woman"/>
    <s v="Single"/>
    <x v="0"/>
    <n v="9"/>
    <s v="Bachelor's Degree"/>
    <s v="Marketing"/>
    <n v="3"/>
    <n v="0"/>
    <n v="7"/>
    <n v="2"/>
    <n v="4"/>
    <n v="3"/>
    <n v="1"/>
    <n v="3"/>
    <x v="1"/>
    <m/>
    <x v="0"/>
    <m/>
    <x v="3"/>
    <x v="0"/>
    <x v="2"/>
    <x v="1"/>
    <x v="8"/>
  </r>
  <r>
    <x v="159"/>
    <s v="Yes"/>
    <x v="0"/>
    <s v="Laboratory Technician"/>
    <x v="0"/>
    <x v="0"/>
    <n v="5"/>
    <n v="55320"/>
    <n v="12"/>
    <n v="37.5"/>
    <s v="No"/>
    <n v="31"/>
    <s v="Man"/>
    <s v="Married"/>
    <x v="1"/>
    <n v="15"/>
    <s v="Bachelor's Degree"/>
    <s v="Medical"/>
    <n v="3"/>
    <n v="1"/>
    <n v="2"/>
    <n v="5"/>
    <n v="2"/>
    <n v="2"/>
    <n v="2"/>
    <n v="2"/>
    <x v="0"/>
    <m/>
    <x v="0"/>
    <m/>
    <x v="2"/>
    <x v="0"/>
    <x v="1"/>
    <x v="1"/>
    <x v="1"/>
  </r>
  <r>
    <x v="160"/>
    <s v="Yes"/>
    <x v="0"/>
    <s v="Sales Executive"/>
    <x v="0"/>
    <x v="1"/>
    <n v="4"/>
    <n v="177096"/>
    <n v="12"/>
    <n v="37.5"/>
    <s v="Yes"/>
    <n v="42"/>
    <s v="Man"/>
    <s v="Single"/>
    <x v="1"/>
    <n v="12"/>
    <s v="Bachelor's Degree"/>
    <s v="Life Sciences"/>
    <n v="3"/>
    <n v="0"/>
    <n v="22"/>
    <n v="2"/>
    <n v="21"/>
    <n v="9"/>
    <n v="13"/>
    <n v="14"/>
    <x v="2"/>
    <m/>
    <x v="0"/>
    <m/>
    <x v="2"/>
    <x v="2"/>
    <x v="2"/>
    <x v="1"/>
    <x v="8"/>
  </r>
  <r>
    <x v="161"/>
    <s v="Yes"/>
    <x v="0"/>
    <s v="Research Scientist"/>
    <x v="0"/>
    <x v="0"/>
    <n v="5"/>
    <n v="59232"/>
    <n v="11"/>
    <n v="37.5"/>
    <s v="Yes"/>
    <n v="44"/>
    <s v="Man"/>
    <s v="Single"/>
    <x v="0"/>
    <n v="10"/>
    <s v="Master's Degree"/>
    <s v="Life Sciences"/>
    <n v="3"/>
    <n v="0"/>
    <n v="6"/>
    <n v="4"/>
    <n v="6"/>
    <n v="4"/>
    <n v="0"/>
    <n v="2"/>
    <x v="1"/>
    <m/>
    <x v="0"/>
    <m/>
    <x v="2"/>
    <x v="0"/>
    <x v="1"/>
    <x v="0"/>
    <x v="4"/>
  </r>
  <r>
    <x v="162"/>
    <s v="Yes"/>
    <x v="0"/>
    <s v="Research Scientist"/>
    <x v="0"/>
    <x v="0"/>
    <n v="5"/>
    <n v="58236"/>
    <n v="11"/>
    <n v="37.5"/>
    <s v="Yes"/>
    <n v="22"/>
    <s v="Man"/>
    <s v="Married"/>
    <x v="1"/>
    <n v="3"/>
    <s v="Master's Degree"/>
    <s v="Life Sciences"/>
    <n v="3"/>
    <n v="1"/>
    <n v="1"/>
    <n v="5"/>
    <n v="0"/>
    <n v="0"/>
    <n v="0"/>
    <n v="0"/>
    <x v="0"/>
    <m/>
    <x v="0"/>
    <m/>
    <x v="2"/>
    <x v="1"/>
    <x v="2"/>
    <x v="0"/>
    <x v="4"/>
  </r>
  <r>
    <x v="163"/>
    <s v="Yes"/>
    <x v="0"/>
    <s v="Research Scientist"/>
    <x v="0"/>
    <x v="0"/>
    <n v="3"/>
    <n v="49284"/>
    <n v="17"/>
    <n v="37.5"/>
    <s v="No"/>
    <n v="41"/>
    <s v="Man"/>
    <s v="Divorced"/>
    <x v="2"/>
    <n v="5"/>
    <s v="Certificate or Diploma"/>
    <s v="Life Sciences"/>
    <n v="3"/>
    <n v="1"/>
    <n v="5"/>
    <n v="2"/>
    <n v="1"/>
    <n v="0"/>
    <n v="0"/>
    <n v="0"/>
    <x v="0"/>
    <m/>
    <x v="0"/>
    <m/>
    <x v="3"/>
    <x v="2"/>
    <x v="3"/>
    <x v="3"/>
    <x v="11"/>
  </r>
  <r>
    <x v="164"/>
    <s v="Yes"/>
    <x v="0"/>
    <s v="Sales Executive"/>
    <x v="0"/>
    <x v="1"/>
    <n v="7"/>
    <n v="81180"/>
    <n v="11"/>
    <n v="37.5"/>
    <s v="No"/>
    <n v="29"/>
    <s v="Woman"/>
    <s v="Single"/>
    <x v="1"/>
    <n v="13"/>
    <s v="Bachelor's Degree"/>
    <s v="Technical Degree"/>
    <n v="3"/>
    <n v="0"/>
    <n v="7"/>
    <n v="4"/>
    <n v="5"/>
    <n v="3"/>
    <n v="0"/>
    <n v="0"/>
    <x v="1"/>
    <m/>
    <x v="0"/>
    <m/>
    <x v="3"/>
    <x v="3"/>
    <x v="3"/>
    <x v="3"/>
    <x v="10"/>
  </r>
  <r>
    <x v="165"/>
    <s v="Yes"/>
    <x v="0"/>
    <s v="Sales Executive"/>
    <x v="0"/>
    <x v="1"/>
    <n v="7"/>
    <n v="83916"/>
    <n v="11"/>
    <n v="37.5"/>
    <s v="Yes"/>
    <n v="41"/>
    <s v="Woman"/>
    <s v="Single"/>
    <x v="0"/>
    <n v="1"/>
    <s v="Certificate or Diploma"/>
    <s v="Life Sciences"/>
    <n v="3"/>
    <n v="0"/>
    <n v="8"/>
    <n v="0"/>
    <n v="6"/>
    <n v="4"/>
    <n v="0"/>
    <n v="5"/>
    <x v="1"/>
    <m/>
    <x v="0"/>
    <m/>
    <x v="1"/>
    <x v="1"/>
    <x v="3"/>
    <x v="3"/>
    <x v="8"/>
  </r>
  <r>
    <x v="166"/>
    <s v="Yes"/>
    <x v="0"/>
    <s v="Laboratory Technician"/>
    <x v="0"/>
    <x v="0"/>
    <n v="7"/>
    <n v="70596"/>
    <n v="18"/>
    <n v="37.5"/>
    <s v="No"/>
    <n v="32"/>
    <s v="Man"/>
    <s v="Married"/>
    <x v="0"/>
    <n v="7"/>
    <s v="Certificate or Diploma"/>
    <s v="Life Sciences"/>
    <n v="3"/>
    <n v="1"/>
    <n v="10"/>
    <n v="3"/>
    <n v="10"/>
    <n v="4"/>
    <n v="1"/>
    <n v="1"/>
    <x v="2"/>
    <m/>
    <x v="0"/>
    <m/>
    <x v="0"/>
    <x v="0"/>
    <x v="3"/>
    <x v="0"/>
    <x v="1"/>
  </r>
  <r>
    <x v="167"/>
    <s v="Yes"/>
    <x v="0"/>
    <s v="Research Scientist"/>
    <x v="0"/>
    <x v="0"/>
    <n v="7"/>
    <n v="70848"/>
    <n v="13"/>
    <n v="37.5"/>
    <s v="No"/>
    <n v="39"/>
    <s v="Man"/>
    <s v="Single"/>
    <x v="0"/>
    <n v="23"/>
    <s v="Bachelor's Degree"/>
    <s v="Medical"/>
    <n v="3"/>
    <n v="0"/>
    <n v="6"/>
    <n v="2"/>
    <n v="5"/>
    <n v="2"/>
    <n v="0"/>
    <n v="3"/>
    <x v="1"/>
    <m/>
    <x v="0"/>
    <m/>
    <x v="2"/>
    <x v="2"/>
    <x v="3"/>
    <x v="0"/>
    <x v="8"/>
  </r>
  <r>
    <x v="168"/>
    <s v="Yes"/>
    <x v="0"/>
    <s v="Sales Executive"/>
    <x v="0"/>
    <x v="1"/>
    <n v="9"/>
    <n v="121128"/>
    <n v="12"/>
    <n v="37.5"/>
    <s v="Yes"/>
    <n v="40"/>
    <s v="Man"/>
    <s v="Single"/>
    <x v="0"/>
    <n v="25"/>
    <s v="Master's Degree"/>
    <s v="Marketing"/>
    <n v="3"/>
    <n v="0"/>
    <n v="9"/>
    <n v="2"/>
    <n v="5"/>
    <n v="4"/>
    <n v="1"/>
    <n v="0"/>
    <x v="1"/>
    <m/>
    <x v="0"/>
    <m/>
    <x v="0"/>
    <x v="3"/>
    <x v="1"/>
    <x v="0"/>
    <x v="4"/>
  </r>
  <r>
    <x v="169"/>
    <s v="Yes"/>
    <x v="0"/>
    <s v="Sales Executive"/>
    <x v="0"/>
    <x v="1"/>
    <n v="9"/>
    <n v="113352"/>
    <n v="19"/>
    <n v="37.5"/>
    <s v="Yes"/>
    <n v="52"/>
    <s v="Man"/>
    <s v="Single"/>
    <x v="0"/>
    <n v="5"/>
    <s v="Bachelor's Degree"/>
    <s v="Life Sciences"/>
    <n v="3"/>
    <n v="0"/>
    <n v="10"/>
    <n v="2"/>
    <n v="8"/>
    <n v="7"/>
    <n v="7"/>
    <n v="7"/>
    <x v="1"/>
    <m/>
    <x v="0"/>
    <m/>
    <x v="1"/>
    <x v="3"/>
    <x v="1"/>
    <x v="1"/>
    <x v="6"/>
  </r>
  <r>
    <x v="170"/>
    <s v="Yes"/>
    <x v="0"/>
    <s v="Laboratory Technician"/>
    <x v="0"/>
    <x v="0"/>
    <n v="4"/>
    <n v="52344"/>
    <n v="12"/>
    <n v="37.5"/>
    <s v="No"/>
    <n v="44"/>
    <s v="Man"/>
    <s v="Married"/>
    <x v="0"/>
    <n v="3"/>
    <s v="Bachelor's Degree"/>
    <s v="Life Sciences"/>
    <n v="3"/>
    <n v="0"/>
    <n v="10"/>
    <n v="4"/>
    <n v="3"/>
    <n v="2"/>
    <n v="1"/>
    <n v="2"/>
    <x v="1"/>
    <m/>
    <x v="0"/>
    <m/>
    <x v="3"/>
    <x v="2"/>
    <x v="1"/>
    <x v="2"/>
    <x v="6"/>
  </r>
  <r>
    <x v="171"/>
    <s v="No"/>
    <x v="0"/>
    <s v="VP, HR"/>
    <x v="1"/>
    <x v="2"/>
    <n v="5"/>
    <n v="248604"/>
    <n v="14"/>
    <n v="37.5"/>
    <s v="No"/>
    <n v="56"/>
    <s v="Man"/>
    <s v="Single"/>
    <x v="0"/>
    <n v="8"/>
    <s v="Master's Degree"/>
    <s v="Human Resources"/>
    <n v="3"/>
    <n v="0"/>
    <n v="36"/>
    <n v="4"/>
    <n v="7"/>
    <n v="3"/>
    <n v="7"/>
    <n v="7"/>
    <x v="1"/>
    <d v="2023-09-28T00:00:00"/>
    <x v="0"/>
    <m/>
    <x v="0"/>
    <x v="3"/>
    <x v="3"/>
    <x v="0"/>
    <x v="2"/>
  </r>
  <r>
    <x v="172"/>
    <s v="Yes"/>
    <x v="0"/>
    <s v="Sales Executive"/>
    <x v="0"/>
    <x v="1"/>
    <n v="4"/>
    <n v="176340"/>
    <n v="17"/>
    <n v="37.5"/>
    <s v="Yes"/>
    <n v="55"/>
    <s v="Man"/>
    <s v="Single"/>
    <x v="0"/>
    <n v="13"/>
    <s v="Master's Degree"/>
    <s v="Marketing"/>
    <n v="3"/>
    <n v="0"/>
    <n v="24"/>
    <n v="2"/>
    <n v="19"/>
    <n v="7"/>
    <n v="3"/>
    <n v="8"/>
    <x v="2"/>
    <m/>
    <x v="0"/>
    <m/>
    <x v="3"/>
    <x v="0"/>
    <x v="1"/>
    <x v="1"/>
    <x v="6"/>
  </r>
  <r>
    <x v="173"/>
    <s v="Yes"/>
    <x v="0"/>
    <s v="Manufacturing Director"/>
    <x v="1"/>
    <x v="0"/>
    <n v="8"/>
    <n v="86148"/>
    <n v="15"/>
    <n v="37.5"/>
    <s v="Yes"/>
    <n v="31"/>
    <s v="Man"/>
    <s v="Married"/>
    <x v="0"/>
    <n v="22"/>
    <s v="Master's Degree"/>
    <s v="Medical"/>
    <n v="3"/>
    <n v="2"/>
    <n v="10"/>
    <n v="3"/>
    <n v="10"/>
    <n v="2"/>
    <n v="6"/>
    <n v="7"/>
    <x v="2"/>
    <m/>
    <x v="0"/>
    <m/>
    <x v="0"/>
    <x v="0"/>
    <x v="0"/>
    <x v="1"/>
    <x v="5"/>
  </r>
  <r>
    <x v="174"/>
    <s v="Yes"/>
    <x v="0"/>
    <s v="Sales Executive"/>
    <x v="0"/>
    <x v="1"/>
    <n v="8"/>
    <n v="88764"/>
    <n v="12"/>
    <n v="37.5"/>
    <s v="Yes"/>
    <n v="47"/>
    <s v="Woman"/>
    <s v="Single"/>
    <x v="1"/>
    <n v="27"/>
    <s v="Certificate or Diploma"/>
    <s v="Life Sciences"/>
    <n v="3"/>
    <n v="0"/>
    <n v="8"/>
    <n v="2"/>
    <n v="5"/>
    <n v="4"/>
    <n v="1"/>
    <n v="3"/>
    <x v="1"/>
    <m/>
    <x v="0"/>
    <m/>
    <x v="1"/>
    <x v="0"/>
    <x v="0"/>
    <x v="0"/>
    <x v="4"/>
  </r>
  <r>
    <x v="175"/>
    <s v="Yes"/>
    <x v="0"/>
    <s v="Laboratory Technician"/>
    <x v="0"/>
    <x v="0"/>
    <n v="6"/>
    <n v="63408"/>
    <n v="20"/>
    <n v="37.5"/>
    <s v="No"/>
    <n v="49"/>
    <s v="Man"/>
    <s v="Single"/>
    <x v="1"/>
    <n v="28"/>
    <s v="Certificate or Diploma"/>
    <s v="Life Sciences"/>
    <n v="4"/>
    <n v="0"/>
    <n v="20"/>
    <n v="2"/>
    <n v="4"/>
    <n v="3"/>
    <n v="1"/>
    <n v="3"/>
    <x v="1"/>
    <m/>
    <x v="0"/>
    <m/>
    <x v="3"/>
    <x v="2"/>
    <x v="3"/>
    <x v="0"/>
    <x v="9"/>
  </r>
  <r>
    <x v="176"/>
    <s v="Yes"/>
    <x v="0"/>
    <s v="Sales Representative"/>
    <x v="0"/>
    <x v="1"/>
    <n v="6"/>
    <n v="64800"/>
    <n v="12"/>
    <n v="37.5"/>
    <s v="No"/>
    <n v="25"/>
    <s v="Man"/>
    <s v="Married"/>
    <x v="0"/>
    <n v="9"/>
    <s v="Certificate or Diploma"/>
    <s v="Life Sciences"/>
    <n v="3"/>
    <n v="0"/>
    <n v="6"/>
    <n v="2"/>
    <n v="3"/>
    <n v="2"/>
    <n v="2"/>
    <n v="2"/>
    <x v="1"/>
    <m/>
    <x v="0"/>
    <m/>
    <x v="3"/>
    <x v="2"/>
    <x v="3"/>
    <x v="0"/>
    <x v="9"/>
  </r>
  <r>
    <x v="177"/>
    <s v="Yes"/>
    <x v="0"/>
    <s v="Sales Executive"/>
    <x v="0"/>
    <x v="1"/>
    <n v="9"/>
    <n v="133152"/>
    <n v="11"/>
    <n v="37.5"/>
    <s v="No"/>
    <n v="46"/>
    <s v="Man"/>
    <s v="Divorced"/>
    <x v="0"/>
    <n v="9"/>
    <s v="Bachelor's Degree"/>
    <s v="Marketing"/>
    <n v="3"/>
    <n v="1"/>
    <n v="28"/>
    <n v="1"/>
    <n v="7"/>
    <n v="7"/>
    <n v="4"/>
    <n v="3"/>
    <x v="1"/>
    <m/>
    <x v="0"/>
    <m/>
    <x v="3"/>
    <x v="1"/>
    <x v="3"/>
    <x v="2"/>
    <x v="2"/>
  </r>
  <r>
    <x v="178"/>
    <s v="Yes"/>
    <x v="0"/>
    <s v="Laboratory Technician"/>
    <x v="0"/>
    <x v="0"/>
    <n v="6"/>
    <n v="68664"/>
    <n v="13"/>
    <n v="37.5"/>
    <s v="Yes"/>
    <n v="31"/>
    <s v="Man"/>
    <s v="Married"/>
    <x v="1"/>
    <n v="2"/>
    <s v="Bachelor's Degree"/>
    <s v="Life Sciences"/>
    <n v="3"/>
    <n v="1"/>
    <n v="7"/>
    <n v="2"/>
    <n v="2"/>
    <n v="2"/>
    <n v="2"/>
    <n v="2"/>
    <x v="0"/>
    <m/>
    <x v="0"/>
    <m/>
    <x v="1"/>
    <x v="1"/>
    <x v="1"/>
    <x v="3"/>
    <x v="2"/>
  </r>
  <r>
    <x v="179"/>
    <s v="Yes"/>
    <x v="0"/>
    <s v="Sales Executive"/>
    <x v="0"/>
    <x v="1"/>
    <n v="8"/>
    <n v="92352"/>
    <n v="15"/>
    <n v="37.5"/>
    <s v="No"/>
    <n v="30"/>
    <s v="Woman"/>
    <s v="Single"/>
    <x v="1"/>
    <n v="26"/>
    <s v="Master's Degree"/>
    <s v="Marketing"/>
    <n v="3"/>
    <n v="0"/>
    <n v="9"/>
    <n v="5"/>
    <n v="6"/>
    <n v="3"/>
    <n v="0"/>
    <n v="1"/>
    <x v="1"/>
    <m/>
    <x v="0"/>
    <m/>
    <x v="2"/>
    <x v="2"/>
    <x v="1"/>
    <x v="1"/>
    <x v="6"/>
  </r>
  <r>
    <x v="180"/>
    <s v="Yes"/>
    <x v="0"/>
    <s v="Sales Representative"/>
    <x v="0"/>
    <x v="1"/>
    <n v="5"/>
    <n v="58908"/>
    <n v="15"/>
    <n v="37.5"/>
    <s v="No"/>
    <n v="28"/>
    <s v="Man"/>
    <s v="Married"/>
    <x v="1"/>
    <n v="1"/>
    <s v="Bachelor's Degree"/>
    <s v="Technical Degree"/>
    <n v="3"/>
    <n v="1"/>
    <n v="5"/>
    <n v="3"/>
    <n v="3"/>
    <n v="2"/>
    <n v="1"/>
    <n v="2"/>
    <x v="1"/>
    <m/>
    <x v="0"/>
    <m/>
    <x v="3"/>
    <x v="0"/>
    <x v="0"/>
    <x v="2"/>
    <x v="4"/>
  </r>
  <r>
    <x v="181"/>
    <s v="Yes"/>
    <x v="0"/>
    <s v="Laboratory Technician"/>
    <x v="0"/>
    <x v="0"/>
    <n v="6"/>
    <n v="62064"/>
    <n v="11"/>
    <n v="37.5"/>
    <s v="Yes"/>
    <n v="24"/>
    <s v="Man"/>
    <s v="Single"/>
    <x v="1"/>
    <n v="9"/>
    <s v="Bachelor's Degree"/>
    <s v="Medical"/>
    <n v="3"/>
    <n v="0"/>
    <n v="4"/>
    <n v="2"/>
    <n v="0"/>
    <n v="0"/>
    <n v="0"/>
    <n v="0"/>
    <x v="0"/>
    <m/>
    <x v="0"/>
    <m/>
    <x v="1"/>
    <x v="2"/>
    <x v="1"/>
    <x v="1"/>
    <x v="8"/>
  </r>
  <r>
    <x v="182"/>
    <s v="Yes"/>
    <x v="0"/>
    <s v="Laboratory Technician"/>
    <x v="0"/>
    <x v="0"/>
    <n v="4"/>
    <n v="54732"/>
    <n v="11"/>
    <n v="37.5"/>
    <s v="No"/>
    <n v="28"/>
    <s v="Man"/>
    <s v="Single"/>
    <x v="1"/>
    <n v="2"/>
    <s v="Certificate or Diploma"/>
    <s v="Medical"/>
    <n v="3"/>
    <n v="0"/>
    <n v="8"/>
    <n v="2"/>
    <n v="0"/>
    <n v="0"/>
    <n v="0"/>
    <n v="0"/>
    <x v="0"/>
    <m/>
    <x v="0"/>
    <m/>
    <x v="2"/>
    <x v="2"/>
    <x v="1"/>
    <x v="1"/>
    <x v="6"/>
  </r>
  <r>
    <x v="183"/>
    <s v="Yes"/>
    <x v="0"/>
    <s v="Research Scientist"/>
    <x v="0"/>
    <x v="0"/>
    <n v="4"/>
    <n v="52344"/>
    <n v="13"/>
    <n v="37.5"/>
    <s v="No"/>
    <n v="29"/>
    <s v="Man"/>
    <s v="Single"/>
    <x v="0"/>
    <n v="1"/>
    <s v="Master's Degree"/>
    <s v="Technical Degree"/>
    <n v="3"/>
    <n v="0"/>
    <n v="11"/>
    <n v="2"/>
    <n v="9"/>
    <n v="7"/>
    <n v="0"/>
    <n v="7"/>
    <x v="1"/>
    <m/>
    <x v="0"/>
    <m/>
    <x v="3"/>
    <x v="2"/>
    <x v="1"/>
    <x v="3"/>
    <x v="9"/>
  </r>
  <r>
    <x v="184"/>
    <s v="Yes"/>
    <x v="0"/>
    <s v="Sales Executive"/>
    <x v="0"/>
    <x v="1"/>
    <n v="8"/>
    <n v="99768"/>
    <n v="21"/>
    <n v="37.5"/>
    <s v="No"/>
    <n v="46"/>
    <s v="Woman"/>
    <s v="Married"/>
    <x v="0"/>
    <n v="10"/>
    <s v="Bachelor's Degree"/>
    <s v="Life Sciences"/>
    <n v="4"/>
    <n v="3"/>
    <n v="14"/>
    <n v="2"/>
    <n v="8"/>
    <n v="7"/>
    <n v="0"/>
    <n v="7"/>
    <x v="1"/>
    <m/>
    <x v="0"/>
    <m/>
    <x v="2"/>
    <x v="3"/>
    <x v="1"/>
    <x v="0"/>
    <x v="1"/>
  </r>
  <r>
    <x v="185"/>
    <s v="Yes"/>
    <x v="0"/>
    <s v="Sales Executive"/>
    <x v="0"/>
    <x v="1"/>
    <n v="9"/>
    <n v="100032"/>
    <n v="13"/>
    <n v="37.5"/>
    <s v="No"/>
    <n v="29"/>
    <s v="Woman"/>
    <s v="Married"/>
    <x v="0"/>
    <n v="23"/>
    <s v="Trades Apprenticeship"/>
    <s v="Life Sciences"/>
    <n v="3"/>
    <n v="1"/>
    <n v="11"/>
    <n v="3"/>
    <n v="11"/>
    <n v="8"/>
    <n v="3"/>
    <n v="10"/>
    <x v="2"/>
    <m/>
    <x v="0"/>
    <m/>
    <x v="0"/>
    <x v="2"/>
    <x v="3"/>
    <x v="3"/>
    <x v="3"/>
  </r>
  <r>
    <x v="186"/>
    <s v="Yes"/>
    <x v="0"/>
    <s v="Laboratory Technician"/>
    <x v="0"/>
    <x v="0"/>
    <n v="3"/>
    <n v="48216"/>
    <n v="14"/>
    <n v="37.5"/>
    <s v="No"/>
    <n v="40"/>
    <s v="Man"/>
    <s v="Single"/>
    <x v="0"/>
    <n v="9"/>
    <s v="Master's Degree"/>
    <s v="Life Sciences"/>
    <n v="3"/>
    <n v="0"/>
    <n v="15"/>
    <n v="3"/>
    <n v="5"/>
    <n v="4"/>
    <n v="1"/>
    <n v="0"/>
    <x v="1"/>
    <m/>
    <x v="0"/>
    <m/>
    <x v="0"/>
    <x v="2"/>
    <x v="2"/>
    <x v="3"/>
    <x v="8"/>
  </r>
  <r>
    <x v="187"/>
    <s v="Yes"/>
    <x v="0"/>
    <s v="Manufacturing Director"/>
    <x v="1"/>
    <x v="0"/>
    <n v="9"/>
    <n v="101352"/>
    <n v="11"/>
    <n v="37.5"/>
    <s v="No"/>
    <n v="31"/>
    <s v="Woman"/>
    <s v="Single"/>
    <x v="1"/>
    <n v="1"/>
    <s v="Doctorate"/>
    <s v="Life Sciences"/>
    <n v="3"/>
    <n v="0"/>
    <n v="10"/>
    <n v="2"/>
    <n v="10"/>
    <n v="8"/>
    <n v="4"/>
    <n v="7"/>
    <x v="2"/>
    <m/>
    <x v="0"/>
    <m/>
    <x v="2"/>
    <x v="3"/>
    <x v="3"/>
    <x v="0"/>
    <x v="6"/>
  </r>
  <r>
    <x v="188"/>
    <s v="Yes"/>
    <x v="0"/>
    <s v="Healthcare Representative"/>
    <x v="0"/>
    <x v="0"/>
    <n v="9"/>
    <n v="102636"/>
    <n v="12"/>
    <n v="37.5"/>
    <s v="Yes"/>
    <n v="29"/>
    <s v="Woman"/>
    <s v="Single"/>
    <x v="1"/>
    <n v="14"/>
    <s v="Trades Apprenticeship"/>
    <s v="Other"/>
    <n v="3"/>
    <n v="0"/>
    <n v="9"/>
    <n v="1"/>
    <n v="8"/>
    <n v="7"/>
    <n v="7"/>
    <n v="7"/>
    <x v="1"/>
    <m/>
    <x v="0"/>
    <m/>
    <x v="2"/>
    <x v="1"/>
    <x v="3"/>
    <x v="0"/>
    <x v="1"/>
  </r>
  <r>
    <x v="189"/>
    <s v="Yes"/>
    <x v="0"/>
    <s v="Sales Executive"/>
    <x v="0"/>
    <x v="1"/>
    <n v="9"/>
    <n v="103668"/>
    <n v="22"/>
    <n v="37.5"/>
    <s v="No"/>
    <n v="29"/>
    <s v="Woman"/>
    <s v="Married"/>
    <x v="0"/>
    <n v="27"/>
    <s v="Bachelor's Degree"/>
    <s v="Marketing"/>
    <n v="4"/>
    <n v="3"/>
    <n v="10"/>
    <n v="3"/>
    <n v="10"/>
    <n v="4"/>
    <n v="1"/>
    <n v="9"/>
    <x v="2"/>
    <m/>
    <x v="0"/>
    <m/>
    <x v="1"/>
    <x v="1"/>
    <x v="0"/>
    <x v="1"/>
    <x v="4"/>
  </r>
  <r>
    <x v="190"/>
    <s v="Yes"/>
    <x v="0"/>
    <s v="Sales Executive"/>
    <x v="0"/>
    <x v="1"/>
    <n v="9"/>
    <n v="103848"/>
    <n v="18"/>
    <n v="37.5"/>
    <s v="No"/>
    <n v="49"/>
    <s v="Woman"/>
    <s v="Married"/>
    <x v="0"/>
    <n v="11"/>
    <s v="Bachelor's Degree"/>
    <s v="Marketing"/>
    <n v="3"/>
    <n v="2"/>
    <n v="9"/>
    <n v="3"/>
    <n v="9"/>
    <n v="8"/>
    <n v="7"/>
    <n v="7"/>
    <x v="1"/>
    <m/>
    <x v="0"/>
    <m/>
    <x v="2"/>
    <x v="1"/>
    <x v="3"/>
    <x v="2"/>
    <x v="4"/>
  </r>
  <r>
    <x v="191"/>
    <s v="Yes"/>
    <x v="0"/>
    <s v="Sales Executive"/>
    <x v="0"/>
    <x v="1"/>
    <n v="9"/>
    <n v="128568"/>
    <n v="11"/>
    <n v="37.5"/>
    <s v="No"/>
    <n v="30"/>
    <s v="Man"/>
    <s v="Married"/>
    <x v="0"/>
    <n v="1"/>
    <s v="Bachelor's Degree"/>
    <s v="Life Sciences"/>
    <n v="3"/>
    <n v="1"/>
    <n v="10"/>
    <n v="4"/>
    <n v="10"/>
    <n v="8"/>
    <n v="6"/>
    <n v="7"/>
    <x v="2"/>
    <m/>
    <x v="0"/>
    <m/>
    <x v="1"/>
    <x v="2"/>
    <x v="0"/>
    <x v="0"/>
    <x v="2"/>
  </r>
  <r>
    <x v="192"/>
    <s v="Yes"/>
    <x v="0"/>
    <s v="Healthcare Representative"/>
    <x v="0"/>
    <x v="0"/>
    <n v="9"/>
    <n v="107736"/>
    <n v="11"/>
    <n v="37.5"/>
    <s v="No"/>
    <n v="44"/>
    <s v="Woman"/>
    <s v="Married"/>
    <x v="0"/>
    <n v="15"/>
    <s v="Bachelor's Degree"/>
    <s v="Medical"/>
    <n v="3"/>
    <n v="1"/>
    <n v="10"/>
    <n v="2"/>
    <n v="10"/>
    <n v="7"/>
    <n v="0"/>
    <n v="5"/>
    <x v="2"/>
    <m/>
    <x v="0"/>
    <m/>
    <x v="3"/>
    <x v="1"/>
    <x v="0"/>
    <x v="0"/>
    <x v="4"/>
  </r>
  <r>
    <x v="193"/>
    <s v="Yes"/>
    <x v="0"/>
    <s v="Manufacturing Director"/>
    <x v="1"/>
    <x v="0"/>
    <n v="7"/>
    <n v="70260"/>
    <n v="11"/>
    <n v="37.5"/>
    <s v="No"/>
    <n v="38"/>
    <s v="Man"/>
    <s v="Married"/>
    <x v="0"/>
    <n v="2"/>
    <s v="Bachelor's Degree"/>
    <s v="Medical"/>
    <n v="3"/>
    <n v="2"/>
    <n v="7"/>
    <n v="2"/>
    <n v="5"/>
    <n v="2"/>
    <n v="1"/>
    <n v="4"/>
    <x v="1"/>
    <m/>
    <x v="0"/>
    <m/>
    <x v="2"/>
    <x v="3"/>
    <x v="3"/>
    <x v="0"/>
    <x v="6"/>
  </r>
  <r>
    <x v="194"/>
    <s v="Yes"/>
    <x v="0"/>
    <s v="Sales Executive"/>
    <x v="0"/>
    <x v="1"/>
    <n v="9"/>
    <n v="110688"/>
    <n v="17"/>
    <n v="37.5"/>
    <s v="Yes"/>
    <n v="33"/>
    <s v="Woman"/>
    <s v="Single"/>
    <x v="0"/>
    <n v="9"/>
    <s v="Master's Degree"/>
    <s v="Marketing"/>
    <n v="3"/>
    <n v="0"/>
    <n v="6"/>
    <n v="3"/>
    <n v="5"/>
    <n v="2"/>
    <n v="0"/>
    <n v="3"/>
    <x v="1"/>
    <m/>
    <x v="0"/>
    <m/>
    <x v="3"/>
    <x v="2"/>
    <x v="3"/>
    <x v="0"/>
    <x v="9"/>
  </r>
  <r>
    <x v="195"/>
    <s v="Yes"/>
    <x v="0"/>
    <s v="Sales Executive"/>
    <x v="0"/>
    <x v="1"/>
    <n v="9"/>
    <n v="114768"/>
    <n v="20"/>
    <n v="37.5"/>
    <s v="Yes"/>
    <n v="33"/>
    <s v="Woman"/>
    <s v="Single"/>
    <x v="0"/>
    <n v="16"/>
    <s v="Bachelor's Degree"/>
    <s v="Life Sciences"/>
    <n v="4"/>
    <n v="0"/>
    <n v="11"/>
    <n v="2"/>
    <n v="0"/>
    <n v="0"/>
    <n v="0"/>
    <n v="0"/>
    <x v="0"/>
    <m/>
    <x v="0"/>
    <m/>
    <x v="3"/>
    <x v="2"/>
    <x v="1"/>
    <x v="1"/>
    <x v="3"/>
  </r>
  <r>
    <x v="196"/>
    <s v="Yes"/>
    <x v="0"/>
    <s v="Laboratory Technician"/>
    <x v="0"/>
    <x v="0"/>
    <n v="4"/>
    <n v="52896"/>
    <n v="17"/>
    <n v="37.5"/>
    <s v="Yes"/>
    <n v="28"/>
    <s v="Man"/>
    <s v="Married"/>
    <x v="0"/>
    <n v="24"/>
    <s v="Bachelor's Degree"/>
    <s v="Medical"/>
    <n v="3"/>
    <n v="3"/>
    <n v="1"/>
    <n v="3"/>
    <n v="1"/>
    <n v="1"/>
    <n v="0"/>
    <n v="0"/>
    <x v="0"/>
    <m/>
    <x v="0"/>
    <m/>
    <x v="2"/>
    <x v="3"/>
    <x v="1"/>
    <x v="0"/>
    <x v="1"/>
  </r>
  <r>
    <x v="197"/>
    <s v="Yes"/>
    <x v="0"/>
    <s v="Healthcare Representative"/>
    <x v="0"/>
    <x v="0"/>
    <n v="9"/>
    <n v="119112"/>
    <n v="22"/>
    <n v="37.5"/>
    <s v="No"/>
    <n v="46"/>
    <s v="Woman"/>
    <s v="Married"/>
    <x v="0"/>
    <n v="21"/>
    <s v="Certificate or Diploma"/>
    <s v="Medical"/>
    <n v="4"/>
    <n v="1"/>
    <n v="13"/>
    <n v="2"/>
    <n v="9"/>
    <n v="7"/>
    <n v="3"/>
    <n v="7"/>
    <x v="1"/>
    <m/>
    <x v="0"/>
    <m/>
    <x v="0"/>
    <x v="3"/>
    <x v="0"/>
    <x v="2"/>
    <x v="0"/>
  </r>
  <r>
    <x v="198"/>
    <s v="Yes"/>
    <x v="0"/>
    <s v="Sales Executive"/>
    <x v="0"/>
    <x v="1"/>
    <n v="9"/>
    <n v="135672"/>
    <n v="17"/>
    <n v="37.5"/>
    <s v="No"/>
    <n v="35"/>
    <s v="Man"/>
    <s v="Married"/>
    <x v="0"/>
    <n v="10"/>
    <s v="Bachelor's Degree"/>
    <s v="Medical"/>
    <n v="3"/>
    <n v="0"/>
    <n v="15"/>
    <n v="3"/>
    <n v="13"/>
    <n v="12"/>
    <n v="6"/>
    <n v="0"/>
    <x v="2"/>
    <m/>
    <x v="0"/>
    <m/>
    <x v="0"/>
    <x v="2"/>
    <x v="1"/>
    <x v="0"/>
    <x v="1"/>
  </r>
  <r>
    <x v="199"/>
    <s v="Yes"/>
    <x v="0"/>
    <s v="Sales Executive"/>
    <x v="0"/>
    <x v="1"/>
    <n v="7"/>
    <n v="77280"/>
    <n v="14"/>
    <n v="37.5"/>
    <s v="Yes"/>
    <n v="35"/>
    <s v="Man"/>
    <s v="Divorced"/>
    <x v="0"/>
    <n v="15"/>
    <s v="Certificate or Diploma"/>
    <s v="Medical"/>
    <n v="3"/>
    <n v="2"/>
    <n v="7"/>
    <n v="2"/>
    <n v="2"/>
    <n v="2"/>
    <n v="2"/>
    <n v="2"/>
    <x v="0"/>
    <m/>
    <x v="0"/>
    <m/>
    <x v="3"/>
    <x v="1"/>
    <x v="0"/>
    <x v="1"/>
    <x v="1"/>
  </r>
  <r>
    <x v="200"/>
    <s v="Yes"/>
    <x v="0"/>
    <s v="Laboratory Technician"/>
    <x v="0"/>
    <x v="0"/>
    <n v="3"/>
    <n v="49992"/>
    <n v="14"/>
    <n v="37.5"/>
    <s v="Yes"/>
    <n v="40"/>
    <s v="Man"/>
    <s v="Single"/>
    <x v="0"/>
    <n v="7"/>
    <s v="Bachelor's Degree"/>
    <s v="Life Sciences"/>
    <n v="3"/>
    <n v="0"/>
    <n v="10"/>
    <n v="3"/>
    <n v="4"/>
    <n v="2"/>
    <n v="0"/>
    <n v="3"/>
    <x v="1"/>
    <m/>
    <x v="0"/>
    <m/>
    <x v="3"/>
    <x v="2"/>
    <x v="2"/>
    <x v="3"/>
    <x v="10"/>
  </r>
  <r>
    <x v="201"/>
    <s v="Yes"/>
    <x v="0"/>
    <s v="Sales Executive"/>
    <x v="0"/>
    <x v="1"/>
    <n v="6"/>
    <n v="66972"/>
    <n v="24"/>
    <n v="37.5"/>
    <s v="Yes"/>
    <n v="35"/>
    <s v="Man"/>
    <s v="Single"/>
    <x v="1"/>
    <n v="12"/>
    <s v="Master's Degree"/>
    <s v="Other"/>
    <n v="4"/>
    <n v="0"/>
    <n v="13"/>
    <n v="2"/>
    <n v="11"/>
    <n v="9"/>
    <n v="6"/>
    <n v="7"/>
    <x v="2"/>
    <m/>
    <x v="0"/>
    <m/>
    <x v="0"/>
    <x v="1"/>
    <x v="3"/>
    <x v="2"/>
    <x v="5"/>
  </r>
  <r>
    <x v="202"/>
    <s v="Yes"/>
    <x v="0"/>
    <s v="Laboratory Technician"/>
    <x v="0"/>
    <x v="0"/>
    <n v="7"/>
    <n v="71868"/>
    <n v="11"/>
    <n v="37.5"/>
    <s v="Yes"/>
    <n v="23"/>
    <s v="Man"/>
    <s v="Single"/>
    <x v="0"/>
    <n v="8"/>
    <s v="Trades Apprenticeship"/>
    <s v="Medical"/>
    <n v="3"/>
    <n v="0"/>
    <n v="5"/>
    <n v="2"/>
    <n v="5"/>
    <n v="4"/>
    <n v="1"/>
    <n v="2"/>
    <x v="1"/>
    <m/>
    <x v="0"/>
    <m/>
    <x v="0"/>
    <x v="0"/>
    <x v="3"/>
    <x v="0"/>
    <x v="1"/>
  </r>
  <r>
    <x v="203"/>
    <s v="Yes"/>
    <x v="0"/>
    <s v="Sales Executive"/>
    <x v="0"/>
    <x v="1"/>
    <n v="9"/>
    <n v="130248"/>
    <n v="11"/>
    <n v="37.5"/>
    <s v="Yes"/>
    <n v="28"/>
    <s v="Woman"/>
    <s v="Single"/>
    <x v="0"/>
    <n v="13"/>
    <s v="Certificate or Diploma"/>
    <s v="Marketing"/>
    <n v="3"/>
    <n v="0"/>
    <n v="6"/>
    <n v="0"/>
    <n v="2"/>
    <n v="0"/>
    <n v="2"/>
    <n v="2"/>
    <x v="0"/>
    <m/>
    <x v="0"/>
    <m/>
    <x v="0"/>
    <x v="0"/>
    <x v="0"/>
    <x v="0"/>
    <x v="0"/>
  </r>
  <r>
    <x v="204"/>
    <s v="Yes"/>
    <x v="0"/>
    <s v="Sales Representative"/>
    <x v="0"/>
    <x v="1"/>
    <n v="4"/>
    <n v="51300"/>
    <n v="21"/>
    <n v="37.5"/>
    <s v="Yes"/>
    <n v="23"/>
    <s v="Man"/>
    <s v="Divorced"/>
    <x v="0"/>
    <n v="7"/>
    <s v="Bachelor's Degree"/>
    <s v="Life Sciences"/>
    <n v="4"/>
    <n v="1"/>
    <n v="3"/>
    <n v="2"/>
    <n v="3"/>
    <n v="2"/>
    <n v="0"/>
    <n v="2"/>
    <x v="1"/>
    <m/>
    <x v="0"/>
    <m/>
    <x v="2"/>
    <x v="1"/>
    <x v="2"/>
    <x v="0"/>
    <x v="4"/>
  </r>
  <r>
    <x v="205"/>
    <s v="Yes"/>
    <x v="0"/>
    <s v="Compensation Analyst"/>
    <x v="0"/>
    <x v="2"/>
    <n v="9"/>
    <n v="131400"/>
    <n v="15"/>
    <n v="37.5"/>
    <s v="Yes"/>
    <n v="34"/>
    <s v="Woman"/>
    <s v="Divorced"/>
    <x v="1"/>
    <n v="23"/>
    <s v="Bachelor's Degree"/>
    <s v="Human Resources"/>
    <n v="3"/>
    <n v="3"/>
    <n v="11"/>
    <n v="2"/>
    <n v="3"/>
    <n v="2"/>
    <n v="0"/>
    <n v="2"/>
    <x v="1"/>
    <m/>
    <x v="0"/>
    <m/>
    <x v="1"/>
    <x v="2"/>
    <x v="1"/>
    <x v="0"/>
    <x v="6"/>
  </r>
  <r>
    <x v="206"/>
    <s v="Yes"/>
    <x v="0"/>
    <s v="Manufacturing Director"/>
    <x v="1"/>
    <x v="0"/>
    <n v="9"/>
    <n v="132096"/>
    <n v="14"/>
    <n v="37.5"/>
    <s v="Yes"/>
    <n v="58"/>
    <s v="Woman"/>
    <s v="Married"/>
    <x v="0"/>
    <n v="7"/>
    <s v="Master's Degree"/>
    <s v="Medical"/>
    <n v="3"/>
    <n v="0"/>
    <n v="31"/>
    <n v="0"/>
    <n v="10"/>
    <n v="9"/>
    <n v="5"/>
    <n v="9"/>
    <x v="2"/>
    <m/>
    <x v="0"/>
    <m/>
    <x v="2"/>
    <x v="2"/>
    <x v="0"/>
    <x v="1"/>
    <x v="2"/>
  </r>
  <r>
    <x v="207"/>
    <s v="Yes"/>
    <x v="0"/>
    <s v="HR Business Partner"/>
    <x v="0"/>
    <x v="2"/>
    <n v="2"/>
    <n v="42660"/>
    <n v="11"/>
    <n v="37.5"/>
    <s v="No"/>
    <n v="24"/>
    <s v="Man"/>
    <s v="Married"/>
    <x v="0"/>
    <n v="22"/>
    <s v="Trades Apprenticeship"/>
    <s v="Human Resources"/>
    <n v="3"/>
    <n v="1"/>
    <n v="1"/>
    <n v="2"/>
    <n v="1"/>
    <n v="0"/>
    <n v="0"/>
    <n v="0"/>
    <x v="0"/>
    <m/>
    <x v="0"/>
    <m/>
    <x v="0"/>
    <x v="0"/>
    <x v="1"/>
    <x v="0"/>
    <x v="5"/>
  </r>
  <r>
    <x v="208"/>
    <s v="Yes"/>
    <x v="0"/>
    <s v="Sales Executive"/>
    <x v="0"/>
    <x v="1"/>
    <n v="10"/>
    <n v="167232"/>
    <n v="11"/>
    <n v="37.5"/>
    <s v="No"/>
    <n v="47"/>
    <s v="Man"/>
    <s v="Married"/>
    <x v="1"/>
    <n v="9"/>
    <s v="Bachelor's Degree"/>
    <s v="Life Sciences"/>
    <n v="3"/>
    <n v="0"/>
    <n v="25"/>
    <n v="3"/>
    <n v="23"/>
    <n v="5"/>
    <n v="14"/>
    <n v="10"/>
    <x v="2"/>
    <m/>
    <x v="0"/>
    <m/>
    <x v="2"/>
    <x v="0"/>
    <x v="1"/>
    <x v="3"/>
    <x v="2"/>
  </r>
  <r>
    <x v="209"/>
    <s v="Yes"/>
    <x v="0"/>
    <s v="Manufacturing Director"/>
    <x v="1"/>
    <x v="0"/>
    <n v="9"/>
    <n v="134028"/>
    <n v="16"/>
    <n v="37.5"/>
    <s v="No"/>
    <n v="53"/>
    <s v="Woman"/>
    <s v="Married"/>
    <x v="0"/>
    <n v="2"/>
    <s v="Doctorate"/>
    <s v="Technical Degree"/>
    <n v="3"/>
    <n v="1"/>
    <n v="34"/>
    <n v="4"/>
    <n v="33"/>
    <n v="7"/>
    <n v="1"/>
    <n v="9"/>
    <x v="2"/>
    <m/>
    <x v="0"/>
    <m/>
    <x v="2"/>
    <x v="1"/>
    <x v="2"/>
    <x v="0"/>
    <x v="4"/>
  </r>
  <r>
    <x v="210"/>
    <s v="Yes"/>
    <x v="0"/>
    <s v="Healthcare Representative"/>
    <x v="0"/>
    <x v="0"/>
    <n v="9"/>
    <n v="135744"/>
    <n v="12"/>
    <n v="37.5"/>
    <s v="No"/>
    <n v="58"/>
    <s v="Woman"/>
    <s v="Married"/>
    <x v="0"/>
    <n v="23"/>
    <s v="Master's Degree"/>
    <s v="Medical"/>
    <n v="3"/>
    <n v="1"/>
    <n v="40"/>
    <n v="3"/>
    <n v="40"/>
    <n v="10"/>
    <n v="15"/>
    <n v="6"/>
    <x v="2"/>
    <m/>
    <x v="0"/>
    <m/>
    <x v="0"/>
    <x v="1"/>
    <x v="0"/>
    <x v="1"/>
    <x v="0"/>
  </r>
  <r>
    <x v="211"/>
    <s v="Yes"/>
    <x v="0"/>
    <s v="Sales Executive"/>
    <x v="0"/>
    <x v="1"/>
    <n v="8"/>
    <n v="85608"/>
    <n v="13"/>
    <n v="37.5"/>
    <s v="Yes"/>
    <n v="36"/>
    <s v="Man"/>
    <s v="Divorced"/>
    <x v="0"/>
    <n v="13"/>
    <s v="Doctorate"/>
    <s v="Marketing"/>
    <n v="3"/>
    <n v="3"/>
    <n v="16"/>
    <n v="3"/>
    <n v="2"/>
    <n v="2"/>
    <n v="2"/>
    <n v="2"/>
    <x v="0"/>
    <m/>
    <x v="0"/>
    <m/>
    <x v="1"/>
    <x v="2"/>
    <x v="2"/>
    <x v="0"/>
    <x v="8"/>
  </r>
  <r>
    <x v="212"/>
    <s v="Yes"/>
    <x v="0"/>
    <s v="Sales Executive"/>
    <x v="0"/>
    <x v="1"/>
    <n v="8"/>
    <n v="92820"/>
    <n v="15"/>
    <n v="37.5"/>
    <s v="No"/>
    <n v="32"/>
    <s v="Man"/>
    <s v="Single"/>
    <x v="0"/>
    <n v="1"/>
    <s v="Certificate or Diploma"/>
    <s v="Life Sciences"/>
    <n v="3"/>
    <n v="0"/>
    <n v="10"/>
    <n v="2"/>
    <n v="0"/>
    <n v="0"/>
    <n v="0"/>
    <n v="0"/>
    <x v="0"/>
    <m/>
    <x v="0"/>
    <m/>
    <x v="3"/>
    <x v="3"/>
    <x v="2"/>
    <x v="0"/>
    <x v="8"/>
  </r>
  <r>
    <x v="213"/>
    <s v="Yes"/>
    <x v="0"/>
    <s v="Sales Executive"/>
    <x v="0"/>
    <x v="1"/>
    <n v="9"/>
    <n v="109932"/>
    <n v="13"/>
    <n v="37.5"/>
    <s v="No"/>
    <n v="31"/>
    <s v="Man"/>
    <s v="Married"/>
    <x v="0"/>
    <n v="16"/>
    <s v="Master's Degree"/>
    <s v="Marketing"/>
    <n v="3"/>
    <n v="3"/>
    <n v="10"/>
    <n v="2"/>
    <n v="1"/>
    <n v="0"/>
    <n v="0"/>
    <n v="0"/>
    <x v="0"/>
    <m/>
    <x v="0"/>
    <m/>
    <x v="3"/>
    <x v="0"/>
    <x v="3"/>
    <x v="0"/>
    <x v="8"/>
  </r>
  <r>
    <x v="214"/>
    <s v="Yes"/>
    <x v="0"/>
    <s v="Research Scientist"/>
    <x v="0"/>
    <x v="0"/>
    <n v="4"/>
    <n v="53244"/>
    <n v="16"/>
    <n v="37.5"/>
    <s v="Yes"/>
    <n v="43"/>
    <s v="Man"/>
    <s v="Married"/>
    <x v="1"/>
    <n v="17"/>
    <s v="Bachelor's Degree"/>
    <s v="Technical Degree"/>
    <n v="3"/>
    <n v="1"/>
    <n v="6"/>
    <n v="4"/>
    <n v="1"/>
    <n v="0"/>
    <n v="0"/>
    <n v="0"/>
    <x v="0"/>
    <m/>
    <x v="0"/>
    <m/>
    <x v="2"/>
    <x v="0"/>
    <x v="0"/>
    <x v="0"/>
    <x v="5"/>
  </r>
  <r>
    <x v="215"/>
    <s v="Yes"/>
    <x v="0"/>
    <s v="Sales Representative"/>
    <x v="0"/>
    <x v="1"/>
    <n v="5"/>
    <n v="56148"/>
    <n v="13"/>
    <n v="37.5"/>
    <s v="No"/>
    <n v="21"/>
    <s v="Man"/>
    <s v="Single"/>
    <x v="0"/>
    <n v="7"/>
    <s v="Trades Apprenticeship"/>
    <s v="Marketing"/>
    <n v="3"/>
    <n v="0"/>
    <n v="1"/>
    <n v="3"/>
    <n v="1"/>
    <n v="0"/>
    <n v="1"/>
    <n v="0"/>
    <x v="0"/>
    <m/>
    <x v="0"/>
    <m/>
    <x v="1"/>
    <x v="3"/>
    <x v="2"/>
    <x v="0"/>
    <x v="6"/>
  </r>
  <r>
    <x v="216"/>
    <s v="Yes"/>
    <x v="0"/>
    <s v="Research Scientist"/>
    <x v="0"/>
    <x v="0"/>
    <n v="4"/>
    <n v="52104"/>
    <n v="12"/>
    <n v="37.5"/>
    <s v="Yes"/>
    <n v="44"/>
    <s v="Man"/>
    <s v="Divorced"/>
    <x v="1"/>
    <n v="1"/>
    <s v="Certificate or Diploma"/>
    <s v="Medical"/>
    <n v="3"/>
    <n v="3"/>
    <n v="6"/>
    <n v="2"/>
    <n v="5"/>
    <n v="3"/>
    <n v="2"/>
    <n v="3"/>
    <x v="1"/>
    <m/>
    <x v="0"/>
    <m/>
    <x v="2"/>
    <x v="3"/>
    <x v="1"/>
    <x v="1"/>
    <x v="2"/>
  </r>
  <r>
    <x v="217"/>
    <s v="Yes"/>
    <x v="0"/>
    <s v="Sales Executive"/>
    <x v="0"/>
    <x v="1"/>
    <n v="7"/>
    <n v="81756"/>
    <n v="18"/>
    <n v="37.5"/>
    <s v="Yes"/>
    <n v="35"/>
    <s v="Man"/>
    <s v="Single"/>
    <x v="0"/>
    <n v="27"/>
    <s v="Bachelor's Degree"/>
    <s v="Life Sciences"/>
    <n v="3"/>
    <n v="0"/>
    <n v="10"/>
    <n v="2"/>
    <n v="10"/>
    <n v="7"/>
    <n v="7"/>
    <n v="7"/>
    <x v="2"/>
    <m/>
    <x v="0"/>
    <m/>
    <x v="2"/>
    <x v="1"/>
    <x v="0"/>
    <x v="0"/>
    <x v="0"/>
  </r>
  <r>
    <x v="218"/>
    <s v="Yes"/>
    <x v="0"/>
    <s v="Laboratory Technician"/>
    <x v="0"/>
    <x v="0"/>
    <n v="7"/>
    <n v="76152"/>
    <n v="17"/>
    <n v="37.5"/>
    <s v="No"/>
    <n v="34"/>
    <s v="Man"/>
    <s v="Married"/>
    <x v="1"/>
    <n v="9"/>
    <s v="Master's Degree"/>
    <s v="Life Sciences"/>
    <n v="3"/>
    <n v="1"/>
    <n v="11"/>
    <n v="3"/>
    <n v="7"/>
    <n v="1"/>
    <n v="0"/>
    <n v="7"/>
    <x v="1"/>
    <m/>
    <x v="0"/>
    <m/>
    <x v="0"/>
    <x v="2"/>
    <x v="1"/>
    <x v="1"/>
    <x v="2"/>
  </r>
  <r>
    <x v="219"/>
    <s v="Yes"/>
    <x v="0"/>
    <s v="Manufacturing Director"/>
    <x v="1"/>
    <x v="0"/>
    <n v="6"/>
    <n v="62556"/>
    <n v="15"/>
    <n v="37.5"/>
    <s v="No"/>
    <n v="37"/>
    <s v="Man"/>
    <s v="Single"/>
    <x v="0"/>
    <n v="10"/>
    <s v="Master's Degree"/>
    <s v="Medical"/>
    <n v="3"/>
    <n v="0"/>
    <n v="10"/>
    <n v="4"/>
    <n v="10"/>
    <n v="3"/>
    <n v="0"/>
    <n v="8"/>
    <x v="2"/>
    <m/>
    <x v="0"/>
    <m/>
    <x v="0"/>
    <x v="2"/>
    <x v="2"/>
    <x v="3"/>
    <x v="8"/>
  </r>
  <r>
    <x v="220"/>
    <s v="Yes"/>
    <x v="0"/>
    <s v="Sales Executive"/>
    <x v="0"/>
    <x v="1"/>
    <n v="10"/>
    <n v="170328"/>
    <n v="16"/>
    <n v="37.5"/>
    <s v="Yes"/>
    <n v="40"/>
    <s v="Woman"/>
    <s v="Single"/>
    <x v="2"/>
    <n v="24"/>
    <s v="Bachelor's Degree"/>
    <s v="Life Sciences"/>
    <n v="3"/>
    <n v="0"/>
    <n v="22"/>
    <n v="2"/>
    <n v="1"/>
    <n v="0"/>
    <n v="0"/>
    <n v="0"/>
    <x v="0"/>
    <m/>
    <x v="0"/>
    <m/>
    <x v="1"/>
    <x v="3"/>
    <x v="0"/>
    <x v="1"/>
    <x v="2"/>
  </r>
  <r>
    <x v="221"/>
    <s v="Yes"/>
    <x v="0"/>
    <s v="HR Operations Specialist"/>
    <x v="0"/>
    <x v="2"/>
    <n v="5"/>
    <n v="59472"/>
    <n v="17"/>
    <n v="37.5"/>
    <s v="No"/>
    <n v="31"/>
    <s v="Man"/>
    <s v="Married"/>
    <x v="0"/>
    <n v="18"/>
    <s v="Doctorate"/>
    <s v="Human Resources"/>
    <n v="3"/>
    <n v="0"/>
    <n v="2"/>
    <n v="4"/>
    <n v="1"/>
    <n v="0"/>
    <n v="0"/>
    <n v="0"/>
    <x v="0"/>
    <m/>
    <x v="0"/>
    <m/>
    <x v="0"/>
    <x v="2"/>
    <x v="1"/>
    <x v="0"/>
    <x v="1"/>
  </r>
  <r>
    <x v="222"/>
    <s v="Yes"/>
    <x v="0"/>
    <s v="HR Business Partner"/>
    <x v="0"/>
    <x v="2"/>
    <n v="4"/>
    <n v="52020"/>
    <n v="15"/>
    <n v="37.5"/>
    <s v="Yes"/>
    <n v="29"/>
    <s v="Man"/>
    <s v="Divorced"/>
    <x v="0"/>
    <n v="13"/>
    <s v="Bachelor's Degree"/>
    <s v="Human Resources"/>
    <n v="3"/>
    <n v="3"/>
    <n v="4"/>
    <n v="3"/>
    <n v="2"/>
    <n v="2"/>
    <n v="2"/>
    <n v="0"/>
    <x v="0"/>
    <m/>
    <x v="0"/>
    <m/>
    <x v="3"/>
    <x v="2"/>
    <x v="0"/>
    <x v="0"/>
    <x v="6"/>
  </r>
  <r>
    <x v="223"/>
    <s v="Yes"/>
    <x v="0"/>
    <s v="Sales Executive"/>
    <x v="0"/>
    <x v="1"/>
    <n v="9"/>
    <n v="130884"/>
    <n v="12"/>
    <n v="37.5"/>
    <s v="Yes"/>
    <n v="32"/>
    <s v="Man"/>
    <s v="Single"/>
    <x v="0"/>
    <n v="2"/>
    <s v="Master's Degree"/>
    <s v="Marketing"/>
    <n v="3"/>
    <n v="0"/>
    <n v="7"/>
    <n v="3"/>
    <n v="2"/>
    <n v="2"/>
    <n v="2"/>
    <n v="2"/>
    <x v="0"/>
    <m/>
    <x v="0"/>
    <m/>
    <x v="2"/>
    <x v="3"/>
    <x v="1"/>
    <x v="1"/>
    <x v="2"/>
  </r>
  <r>
    <x v="224"/>
    <s v="Yes"/>
    <x v="0"/>
    <s v="Research Scientist"/>
    <x v="0"/>
    <x v="0"/>
    <n v="4"/>
    <n v="53268"/>
    <n v="24"/>
    <n v="37.5"/>
    <s v="Yes"/>
    <n v="29"/>
    <s v="Man"/>
    <s v="Single"/>
    <x v="1"/>
    <n v="24"/>
    <s v="Certificate or Diploma"/>
    <s v="Life Sciences"/>
    <n v="4"/>
    <n v="0"/>
    <n v="1"/>
    <n v="3"/>
    <n v="1"/>
    <n v="0"/>
    <n v="1"/>
    <n v="0"/>
    <x v="0"/>
    <m/>
    <x v="0"/>
    <m/>
    <x v="0"/>
    <x v="1"/>
    <x v="2"/>
    <x v="1"/>
    <x v="4"/>
  </r>
  <r>
    <x v="225"/>
    <s v="Yes"/>
    <x v="0"/>
    <s v="Research Scientist"/>
    <x v="0"/>
    <x v="0"/>
    <n v="4"/>
    <n v="53664"/>
    <n v="23"/>
    <n v="37.5"/>
    <s v="Yes"/>
    <n v="22"/>
    <s v="Man"/>
    <s v="Single"/>
    <x v="0"/>
    <n v="7"/>
    <s v="Trades Apprenticeship"/>
    <s v="Life Sciences"/>
    <n v="4"/>
    <n v="0"/>
    <n v="1"/>
    <n v="2"/>
    <n v="1"/>
    <n v="0"/>
    <n v="0"/>
    <n v="0"/>
    <x v="0"/>
    <m/>
    <x v="0"/>
    <m/>
    <x v="0"/>
    <x v="3"/>
    <x v="3"/>
    <x v="0"/>
    <x v="2"/>
  </r>
  <r>
    <x v="226"/>
    <s v="Yes"/>
    <x v="0"/>
    <s v="Research Scientist"/>
    <x v="0"/>
    <x v="0"/>
    <n v="4"/>
    <n v="51684"/>
    <n v="23"/>
    <n v="37.5"/>
    <s v="Yes"/>
    <n v="34"/>
    <s v="Man"/>
    <s v="Married"/>
    <x v="2"/>
    <n v="16"/>
    <s v="Master's Degree"/>
    <s v="Technical Degree"/>
    <n v="4"/>
    <n v="1"/>
    <n v="5"/>
    <n v="2"/>
    <n v="5"/>
    <n v="2"/>
    <n v="3"/>
    <n v="0"/>
    <x v="1"/>
    <m/>
    <x v="0"/>
    <m/>
    <x v="0"/>
    <x v="2"/>
    <x v="2"/>
    <x v="0"/>
    <x v="2"/>
  </r>
  <r>
    <x v="227"/>
    <s v="Yes"/>
    <x v="0"/>
    <s v="Laboratory Technician"/>
    <x v="0"/>
    <x v="0"/>
    <n v="5"/>
    <n v="55044"/>
    <n v="16"/>
    <n v="37.5"/>
    <s v="No"/>
    <n v="56"/>
    <s v="Man"/>
    <s v="Single"/>
    <x v="0"/>
    <n v="24"/>
    <s v="Certificate or Diploma"/>
    <s v="Life Sciences"/>
    <n v="3"/>
    <n v="0"/>
    <n v="5"/>
    <n v="3"/>
    <n v="4"/>
    <n v="2"/>
    <n v="1"/>
    <n v="0"/>
    <x v="1"/>
    <m/>
    <x v="0"/>
    <m/>
    <x v="3"/>
    <x v="1"/>
    <x v="0"/>
    <x v="0"/>
    <x v="4"/>
  </r>
  <r>
    <x v="228"/>
    <s v="Yes"/>
    <x v="0"/>
    <s v="Laboratory Technician"/>
    <x v="0"/>
    <x v="0"/>
    <n v="4"/>
    <n v="52404"/>
    <n v="12"/>
    <n v="37.5"/>
    <s v="No"/>
    <n v="28"/>
    <s v="Man"/>
    <s v="Divorced"/>
    <x v="0"/>
    <n v="17"/>
    <s v="Bachelor's Degree"/>
    <s v="Technical Degree"/>
    <n v="3"/>
    <n v="1"/>
    <n v="6"/>
    <n v="2"/>
    <n v="4"/>
    <n v="1"/>
    <n v="0"/>
    <n v="3"/>
    <x v="1"/>
    <m/>
    <x v="0"/>
    <m/>
    <x v="2"/>
    <x v="1"/>
    <x v="3"/>
    <x v="1"/>
    <x v="2"/>
  </r>
  <r>
    <x v="229"/>
    <s v="Yes"/>
    <x v="0"/>
    <s v="Sales Executive"/>
    <x v="0"/>
    <x v="1"/>
    <n v="7"/>
    <n v="79404"/>
    <n v="11"/>
    <n v="37.5"/>
    <s v="Yes"/>
    <n v="31"/>
    <s v="Man"/>
    <s v="Married"/>
    <x v="1"/>
    <n v="26"/>
    <s v="Master's Degree"/>
    <s v="Marketing"/>
    <n v="3"/>
    <n v="0"/>
    <n v="10"/>
    <n v="4"/>
    <n v="10"/>
    <n v="7"/>
    <n v="0"/>
    <n v="8"/>
    <x v="2"/>
    <m/>
    <x v="0"/>
    <m/>
    <x v="3"/>
    <x v="1"/>
    <x v="1"/>
    <x v="0"/>
    <x v="1"/>
  </r>
  <r>
    <x v="230"/>
    <s v="Yes"/>
    <x v="0"/>
    <s v="Sales Executive"/>
    <x v="0"/>
    <x v="1"/>
    <n v="9"/>
    <n v="137376"/>
    <n v="13"/>
    <n v="37.5"/>
    <s v="Yes"/>
    <n v="53"/>
    <s v="Man"/>
    <s v="Single"/>
    <x v="0"/>
    <n v="24"/>
    <s v="Master's Degree"/>
    <s v="Life Sciences"/>
    <n v="3"/>
    <n v="0"/>
    <n v="15"/>
    <n v="2"/>
    <n v="2"/>
    <n v="2"/>
    <n v="2"/>
    <n v="2"/>
    <x v="0"/>
    <m/>
    <x v="0"/>
    <m/>
    <x v="3"/>
    <x v="2"/>
    <x v="2"/>
    <x v="1"/>
    <x v="9"/>
  </r>
  <r>
    <x v="231"/>
    <s v="Yes"/>
    <x v="0"/>
    <s v="Manager, Sales"/>
    <x v="1"/>
    <x v="1"/>
    <n v="5"/>
    <n v="237888"/>
    <n v="16"/>
    <n v="37.5"/>
    <s v="Yes"/>
    <n v="45"/>
    <s v="Woman"/>
    <s v="Single"/>
    <x v="0"/>
    <n v="2"/>
    <s v="Bachelor's Degree"/>
    <s v="Marketing"/>
    <n v="3"/>
    <n v="0"/>
    <n v="26"/>
    <n v="2"/>
    <n v="24"/>
    <n v="10"/>
    <n v="1"/>
    <n v="11"/>
    <x v="2"/>
    <m/>
    <x v="0"/>
    <m/>
    <x v="3"/>
    <x v="3"/>
    <x v="3"/>
    <x v="0"/>
    <x v="3"/>
  </r>
  <r>
    <x v="232"/>
    <s v="Yes"/>
    <x v="0"/>
    <s v="Sales Representative"/>
    <x v="0"/>
    <x v="1"/>
    <n v="2"/>
    <n v="45480"/>
    <n v="19"/>
    <n v="37.5"/>
    <s v="No"/>
    <n v="23"/>
    <s v="Man"/>
    <s v="Married"/>
    <x v="1"/>
    <n v="9"/>
    <s v="Bachelor's Degree"/>
    <s v="Marketing"/>
    <n v="3"/>
    <n v="1"/>
    <n v="1"/>
    <n v="3"/>
    <n v="1"/>
    <n v="0"/>
    <n v="1"/>
    <n v="0"/>
    <x v="0"/>
    <m/>
    <x v="0"/>
    <m/>
    <x v="0"/>
    <x v="2"/>
    <x v="3"/>
    <x v="1"/>
    <x v="8"/>
  </r>
  <r>
    <x v="233"/>
    <s v="Yes"/>
    <x v="0"/>
    <s v="Research Scientist"/>
    <x v="0"/>
    <x v="0"/>
    <n v="6"/>
    <n v="69444"/>
    <n v="14"/>
    <n v="37.5"/>
    <s v="Yes"/>
    <n v="29"/>
    <s v="Man"/>
    <s v="Married"/>
    <x v="0"/>
    <n v="1"/>
    <s v="Master's Degree"/>
    <s v="Medical"/>
    <n v="3"/>
    <n v="3"/>
    <n v="4"/>
    <n v="3"/>
    <n v="2"/>
    <n v="2"/>
    <n v="2"/>
    <n v="2"/>
    <x v="0"/>
    <m/>
    <x v="0"/>
    <m/>
    <x v="3"/>
    <x v="1"/>
    <x v="2"/>
    <x v="2"/>
    <x v="1"/>
  </r>
  <r>
    <x v="234"/>
    <s v="Yes"/>
    <x v="0"/>
    <s v="Laboratory Technician"/>
    <x v="0"/>
    <x v="0"/>
    <n v="4"/>
    <n v="52068"/>
    <n v="11"/>
    <n v="37.5"/>
    <s v="No"/>
    <n v="56"/>
    <s v="Man"/>
    <s v="Married"/>
    <x v="0"/>
    <n v="7"/>
    <s v="Certificate or Diploma"/>
    <s v="Technical Degree"/>
    <n v="3"/>
    <n v="1"/>
    <n v="14"/>
    <n v="4"/>
    <n v="10"/>
    <n v="9"/>
    <n v="9"/>
    <n v="8"/>
    <x v="2"/>
    <m/>
    <x v="0"/>
    <m/>
    <x v="0"/>
    <x v="0"/>
    <x v="0"/>
    <x v="3"/>
    <x v="4"/>
  </r>
  <r>
    <x v="235"/>
    <s v="Yes"/>
    <x v="0"/>
    <s v="Research Director"/>
    <x v="1"/>
    <x v="0"/>
    <n v="5"/>
    <n v="246540"/>
    <n v="12"/>
    <n v="37.5"/>
    <s v="No"/>
    <n v="41"/>
    <s v="Woman"/>
    <s v="Married"/>
    <x v="0"/>
    <n v="12"/>
    <s v="Bachelor's Degree"/>
    <s v="Technical Degree"/>
    <n v="3"/>
    <n v="0"/>
    <n v="23"/>
    <n v="0"/>
    <n v="22"/>
    <n v="15"/>
    <n v="15"/>
    <n v="8"/>
    <x v="2"/>
    <m/>
    <x v="0"/>
    <m/>
    <x v="1"/>
    <x v="0"/>
    <x v="0"/>
    <x v="0"/>
    <x v="4"/>
  </r>
  <r>
    <x v="236"/>
    <s v="Yes"/>
    <x v="0"/>
    <s v="Sales Executive"/>
    <x v="0"/>
    <x v="1"/>
    <n v="8"/>
    <n v="92736"/>
    <n v="12"/>
    <n v="37.5"/>
    <s v="No"/>
    <n v="50"/>
    <s v="Man"/>
    <s v="Divorced"/>
    <x v="1"/>
    <n v="1"/>
    <s v="Master's Degree"/>
    <s v="Life Sciences"/>
    <n v="3"/>
    <n v="2"/>
    <n v="12"/>
    <n v="3"/>
    <n v="6"/>
    <n v="3"/>
    <n v="0"/>
    <n v="1"/>
    <x v="1"/>
    <m/>
    <x v="0"/>
    <m/>
    <x v="1"/>
    <x v="0"/>
    <x v="0"/>
    <x v="0"/>
    <x v="4"/>
  </r>
  <r>
    <x v="237"/>
    <s v="Yes"/>
    <x v="0"/>
    <s v="Sales Executive"/>
    <x v="0"/>
    <x v="1"/>
    <n v="10"/>
    <n v="142248"/>
    <n v="13"/>
    <n v="37.5"/>
    <s v="Yes"/>
    <n v="50"/>
    <s v="Man"/>
    <s v="Divorced"/>
    <x v="0"/>
    <n v="28"/>
    <s v="Bachelor's Degree"/>
    <s v="Marketing"/>
    <n v="3"/>
    <n v="1"/>
    <n v="20"/>
    <n v="3"/>
    <n v="3"/>
    <n v="2"/>
    <n v="2"/>
    <n v="0"/>
    <x v="1"/>
    <m/>
    <x v="0"/>
    <m/>
    <x v="0"/>
    <x v="2"/>
    <x v="2"/>
    <x v="0"/>
    <x v="2"/>
  </r>
  <r>
    <x v="238"/>
    <s v="Yes"/>
    <x v="0"/>
    <s v="Manager, Sales"/>
    <x v="1"/>
    <x v="1"/>
    <n v="5"/>
    <n v="250140"/>
    <n v="15"/>
    <n v="37.5"/>
    <s v="No"/>
    <n v="52"/>
    <s v="Woman"/>
    <s v="Married"/>
    <x v="0"/>
    <n v="2"/>
    <s v="Trades Apprenticeship"/>
    <s v="Marketing"/>
    <n v="3"/>
    <n v="1"/>
    <n v="33"/>
    <n v="3"/>
    <n v="32"/>
    <n v="14"/>
    <n v="6"/>
    <n v="9"/>
    <x v="2"/>
    <m/>
    <x v="0"/>
    <m/>
    <x v="3"/>
    <x v="1"/>
    <x v="0"/>
    <x v="0"/>
    <x v="4"/>
  </r>
  <r>
    <x v="239"/>
    <s v="Yes"/>
    <x v="0"/>
    <s v="CEO"/>
    <x v="1"/>
    <x v="0"/>
    <n v="11"/>
    <n v="300000"/>
    <n v="19"/>
    <n v="37.5"/>
    <s v="No"/>
    <n v="47"/>
    <s v="Man"/>
    <s v="Married"/>
    <x v="0"/>
    <n v="23"/>
    <s v="Bachelor's Degree"/>
    <s v="Life Sciences"/>
    <n v="4"/>
    <n v="2"/>
    <n v="21"/>
    <n v="3"/>
    <n v="4"/>
    <n v="3"/>
    <n v="3"/>
    <n v="3"/>
    <x v="1"/>
    <m/>
    <x v="0"/>
    <m/>
    <x v="0"/>
    <x v="1"/>
    <x v="1"/>
    <x v="2"/>
    <x v="7"/>
  </r>
  <r>
    <x v="240"/>
    <s v="No"/>
    <x v="1"/>
    <s v="Research Scientist"/>
    <x v="0"/>
    <x v="0"/>
    <n v="1"/>
    <n v="36612"/>
    <n v="15"/>
    <n v="37.5"/>
    <s v="No"/>
    <n v="18"/>
    <s v="Man"/>
    <s v="Single"/>
    <x v="2"/>
    <n v="5"/>
    <s v="Certificate or Diploma"/>
    <s v="Life Sciences"/>
    <n v="3"/>
    <n v="0"/>
    <n v="0"/>
    <n v="2"/>
    <n v="0"/>
    <n v="0"/>
    <n v="0"/>
    <n v="0"/>
    <x v="0"/>
    <d v="2025-01-30T00:00:00"/>
    <x v="1"/>
    <s v="Involuntary"/>
    <x v="1"/>
    <x v="1"/>
    <x v="0"/>
    <x v="0"/>
    <x v="5"/>
  </r>
  <r>
    <x v="241"/>
    <s v="No"/>
    <x v="1"/>
    <s v="Sales Representative"/>
    <x v="0"/>
    <x v="1"/>
    <n v="1"/>
    <n v="36624"/>
    <n v="22"/>
    <n v="37.5"/>
    <s v="No"/>
    <n v="28"/>
    <s v="Non-Binary"/>
    <s v="Married"/>
    <x v="0"/>
    <n v="10"/>
    <s v="Trades Apprenticeship"/>
    <s v="Medical"/>
    <n v="4"/>
    <n v="0"/>
    <n v="1"/>
    <n v="5"/>
    <n v="1"/>
    <n v="0"/>
    <n v="0"/>
    <n v="0"/>
    <x v="0"/>
    <d v="2024-03-24T00:00:00"/>
    <x v="1"/>
    <s v="Involuntary"/>
    <x v="0"/>
    <x v="3"/>
    <x v="2"/>
    <x v="0"/>
    <x v="1"/>
  </r>
  <r>
    <x v="242"/>
    <s v="No"/>
    <x v="1"/>
    <s v="Laboratory Technician"/>
    <x v="0"/>
    <x v="0"/>
    <n v="1"/>
    <n v="37548"/>
    <n v="11"/>
    <n v="37.5"/>
    <s v="Yes"/>
    <n v="31"/>
    <s v="Woman"/>
    <s v="Divorced"/>
    <x v="0"/>
    <n v="2"/>
    <s v="Trades Apprenticeship"/>
    <s v="Medical"/>
    <n v="3"/>
    <n v="3"/>
    <n v="1"/>
    <n v="4"/>
    <n v="1"/>
    <n v="0"/>
    <n v="0"/>
    <n v="0"/>
    <x v="0"/>
    <d v="2025-02-20T00:00:00"/>
    <x v="1"/>
    <s v="Voluntary"/>
    <x v="0"/>
    <x v="1"/>
    <x v="1"/>
    <x v="0"/>
    <x v="0"/>
  </r>
  <r>
    <x v="243"/>
    <s v="No"/>
    <x v="1"/>
    <s v="Sales Representative"/>
    <x v="0"/>
    <x v="1"/>
    <n v="1"/>
    <n v="38400"/>
    <n v="12"/>
    <n v="37.5"/>
    <s v="No"/>
    <n v="18"/>
    <s v="Woman"/>
    <s v="Single"/>
    <x v="0"/>
    <n v="10"/>
    <s v="Bachelor's Degree"/>
    <s v="Medical"/>
    <n v="3"/>
    <n v="0"/>
    <n v="0"/>
    <n v="2"/>
    <n v="0"/>
    <n v="0"/>
    <n v="0"/>
    <n v="0"/>
    <x v="0"/>
    <d v="2023-05-19T00:00:00"/>
    <x v="0"/>
    <s v="Voluntary"/>
    <x v="0"/>
    <x v="0"/>
    <x v="3"/>
    <x v="0"/>
    <x v="1"/>
  </r>
  <r>
    <x v="244"/>
    <s v="No"/>
    <x v="1"/>
    <s v="Research Scientist"/>
    <x v="0"/>
    <x v="0"/>
    <n v="1"/>
    <n v="38676"/>
    <n v="22"/>
    <n v="37.5"/>
    <s v="No"/>
    <n v="23"/>
    <s v="Non-Binary"/>
    <s v="Married"/>
    <x v="0"/>
    <n v="1"/>
    <s v="Certificate or Diploma"/>
    <s v="Life Sciences"/>
    <n v="4"/>
    <n v="1"/>
    <n v="1"/>
    <n v="2"/>
    <n v="1"/>
    <n v="0"/>
    <n v="0"/>
    <n v="1"/>
    <x v="0"/>
    <d v="2023-01-28T00:00:00"/>
    <x v="0"/>
    <s v="Involuntary"/>
    <x v="0"/>
    <x v="0"/>
    <x v="0"/>
    <x v="0"/>
    <x v="0"/>
  </r>
  <r>
    <x v="245"/>
    <s v="No"/>
    <x v="1"/>
    <s v="Research Scientist"/>
    <x v="0"/>
    <x v="0"/>
    <n v="1"/>
    <n v="38784"/>
    <n v="14"/>
    <n v="37.5"/>
    <s v="No"/>
    <n v="21"/>
    <s v="Transgender"/>
    <s v="Single"/>
    <x v="0"/>
    <n v="15"/>
    <s v="Certificate or Diploma"/>
    <s v="Life Sciences"/>
    <n v="3"/>
    <n v="0"/>
    <n v="0"/>
    <n v="6"/>
    <n v="0"/>
    <n v="0"/>
    <n v="0"/>
    <n v="0"/>
    <x v="0"/>
    <d v="2023-03-23T00:00:00"/>
    <x v="0"/>
    <s v="Involuntary"/>
    <x v="2"/>
    <x v="1"/>
    <x v="0"/>
    <x v="0"/>
    <x v="0"/>
  </r>
  <r>
    <x v="246"/>
    <s v="No"/>
    <x v="1"/>
    <s v="Research Scientist"/>
    <x v="0"/>
    <x v="0"/>
    <n v="1"/>
    <n v="39288"/>
    <n v="13"/>
    <n v="37.5"/>
    <s v="No"/>
    <n v="30"/>
    <s v="Man"/>
    <s v="Divorced"/>
    <x v="2"/>
    <n v="7"/>
    <s v="Bachelor's Degree"/>
    <s v="Technical Degree"/>
    <n v="3"/>
    <n v="2"/>
    <n v="1"/>
    <n v="2"/>
    <n v="1"/>
    <n v="0"/>
    <n v="0"/>
    <n v="0"/>
    <x v="0"/>
    <d v="2024-01-06T00:00:00"/>
    <x v="1"/>
    <s v="Voluntary"/>
    <x v="2"/>
    <x v="0"/>
    <x v="2"/>
    <x v="1"/>
    <x v="2"/>
  </r>
  <r>
    <x v="247"/>
    <s v="No"/>
    <x v="1"/>
    <s v="Laboratory Technician"/>
    <x v="0"/>
    <x v="0"/>
    <n v="1"/>
    <n v="39372"/>
    <n v="18"/>
    <n v="37.5"/>
    <s v="No"/>
    <n v="35"/>
    <s v="Man"/>
    <s v="Married"/>
    <x v="2"/>
    <n v="3"/>
    <s v="Bachelor's Degree"/>
    <s v="Life Sciences"/>
    <n v="3"/>
    <n v="2"/>
    <n v="1"/>
    <n v="3"/>
    <n v="1"/>
    <n v="0"/>
    <n v="0"/>
    <n v="0"/>
    <x v="0"/>
    <d v="2024-02-26T00:00:00"/>
    <x v="1"/>
    <s v="Involuntary"/>
    <x v="2"/>
    <x v="0"/>
    <x v="1"/>
    <x v="0"/>
    <x v="4"/>
  </r>
  <r>
    <x v="248"/>
    <s v="No"/>
    <x v="1"/>
    <s v="Laboratory Technician"/>
    <x v="0"/>
    <x v="0"/>
    <n v="2"/>
    <n v="41796"/>
    <n v="14"/>
    <n v="37.5"/>
    <s v="No"/>
    <n v="19"/>
    <s v="Woman"/>
    <s v="Single"/>
    <x v="0"/>
    <n v="3"/>
    <s v="Trades Apprenticeship"/>
    <s v="Medical"/>
    <n v="3"/>
    <n v="0"/>
    <n v="1"/>
    <n v="3"/>
    <n v="1"/>
    <n v="0"/>
    <n v="0"/>
    <n v="0"/>
    <x v="0"/>
    <d v="2024-04-10T00:00:00"/>
    <x v="1"/>
    <s v="Voluntary"/>
    <x v="1"/>
    <x v="3"/>
    <x v="0"/>
    <x v="0"/>
    <x v="1"/>
  </r>
  <r>
    <x v="249"/>
    <s v="No"/>
    <x v="1"/>
    <s v="Research Scientist"/>
    <x v="0"/>
    <x v="0"/>
    <n v="2"/>
    <n v="42168"/>
    <n v="16"/>
    <n v="37.5"/>
    <s v="No"/>
    <n v="18"/>
    <s v="Woman"/>
    <s v="Single"/>
    <x v="2"/>
    <n v="14"/>
    <s v="Bachelor's Degree"/>
    <s v="Medical"/>
    <n v="3"/>
    <n v="0"/>
    <n v="0"/>
    <n v="4"/>
    <n v="0"/>
    <n v="0"/>
    <n v="0"/>
    <n v="0"/>
    <x v="0"/>
    <d v="2024-02-19T00:00:00"/>
    <x v="1"/>
    <s v="Involuntary"/>
    <x v="1"/>
    <x v="0"/>
    <x v="1"/>
    <x v="3"/>
    <x v="6"/>
  </r>
  <r>
    <x v="250"/>
    <s v="No"/>
    <x v="1"/>
    <s v="Research Scientist"/>
    <x v="0"/>
    <x v="0"/>
    <n v="7"/>
    <n v="73560"/>
    <n v="23"/>
    <n v="37.5"/>
    <s v="No"/>
    <n v="49"/>
    <s v="Man"/>
    <s v="Married"/>
    <x v="1"/>
    <n v="8"/>
    <s v="Trades Apprenticeship"/>
    <s v="Life Sciences"/>
    <n v="4"/>
    <n v="1"/>
    <n v="10"/>
    <n v="3"/>
    <n v="10"/>
    <n v="7"/>
    <n v="1"/>
    <n v="7"/>
    <x v="2"/>
    <d v="2023-02-06T00:00:00"/>
    <x v="0"/>
    <s v="Voluntary"/>
    <x v="2"/>
    <x v="3"/>
    <x v="0"/>
    <x v="0"/>
    <x v="4"/>
  </r>
  <r>
    <x v="251"/>
    <s v="No"/>
    <x v="1"/>
    <s v="Laboratory Technician"/>
    <x v="0"/>
    <x v="0"/>
    <n v="6"/>
    <n v="65616"/>
    <n v="12"/>
    <n v="37.5"/>
    <s v="No"/>
    <n v="27"/>
    <s v="Man"/>
    <s v="Married"/>
    <x v="0"/>
    <n v="2"/>
    <s v="Trades Apprenticeship"/>
    <s v="Medical"/>
    <n v="3"/>
    <n v="1"/>
    <n v="6"/>
    <n v="3"/>
    <n v="2"/>
    <n v="2"/>
    <n v="2"/>
    <n v="2"/>
    <x v="0"/>
    <d v="2025-03-07T00:00:00"/>
    <x v="1"/>
    <s v="Voluntary"/>
    <x v="3"/>
    <x v="3"/>
    <x v="0"/>
    <x v="0"/>
    <x v="2"/>
  </r>
  <r>
    <x v="252"/>
    <s v="No"/>
    <x v="1"/>
    <s v="Laboratory Technician"/>
    <x v="0"/>
    <x v="0"/>
    <n v="2"/>
    <n v="43332"/>
    <n v="15"/>
    <n v="37.5"/>
    <s v="No"/>
    <n v="18"/>
    <s v="Woman"/>
    <s v="Single"/>
    <x v="2"/>
    <n v="1"/>
    <s v="Bachelor's Degree"/>
    <s v="Life Sciences"/>
    <n v="3"/>
    <n v="0"/>
    <n v="0"/>
    <n v="5"/>
    <n v="0"/>
    <n v="0"/>
    <n v="0"/>
    <n v="0"/>
    <x v="0"/>
    <d v="2023-08-25T00:00:00"/>
    <x v="0"/>
    <s v="Involuntary"/>
    <x v="0"/>
    <x v="1"/>
    <x v="1"/>
    <x v="2"/>
    <x v="7"/>
  </r>
  <r>
    <x v="253"/>
    <s v="No"/>
    <x v="1"/>
    <s v="Laboratory Technician"/>
    <x v="0"/>
    <x v="0"/>
    <n v="6"/>
    <n v="60816"/>
    <n v="13"/>
    <n v="37.5"/>
    <s v="No"/>
    <n v="32"/>
    <s v="Non-Binary"/>
    <s v="Single"/>
    <x v="1"/>
    <n v="2"/>
    <s v="Certificate or Diploma"/>
    <s v="Life Sciences"/>
    <n v="3"/>
    <n v="0"/>
    <n v="8"/>
    <n v="2"/>
    <n v="7"/>
    <n v="7"/>
    <n v="3"/>
    <n v="6"/>
    <x v="1"/>
    <d v="2022-10-06T00:00:00"/>
    <x v="0"/>
    <s v="Voluntary"/>
    <x v="0"/>
    <x v="1"/>
    <x v="1"/>
    <x v="1"/>
    <x v="5"/>
  </r>
  <r>
    <x v="254"/>
    <s v="No"/>
    <x v="1"/>
    <s v="Laboratory Technician"/>
    <x v="0"/>
    <x v="0"/>
    <n v="5"/>
    <n v="56316"/>
    <n v="22"/>
    <n v="37.5"/>
    <s v="No"/>
    <n v="30"/>
    <s v="Non-Binary"/>
    <s v="Divorced"/>
    <x v="0"/>
    <n v="24"/>
    <s v="Trades Apprenticeship"/>
    <s v="Life Sciences"/>
    <n v="4"/>
    <n v="1"/>
    <n v="1"/>
    <n v="2"/>
    <n v="1"/>
    <n v="0"/>
    <n v="0"/>
    <n v="0"/>
    <x v="0"/>
    <d v="2025-09-24T00:00:00"/>
    <x v="1"/>
    <s v="Involuntary"/>
    <x v="0"/>
    <x v="0"/>
    <x v="2"/>
    <x v="0"/>
    <x v="4"/>
  </r>
  <r>
    <x v="255"/>
    <s v="No"/>
    <x v="1"/>
    <s v="Manufacturing Director"/>
    <x v="1"/>
    <x v="0"/>
    <n v="9"/>
    <n v="126312"/>
    <n v="21"/>
    <n v="37.5"/>
    <s v="No"/>
    <n v="38"/>
    <s v="Non-Binary"/>
    <s v="Single"/>
    <x v="1"/>
    <n v="23"/>
    <s v="Bachelor's Degree"/>
    <s v="Life Sciences"/>
    <n v="4"/>
    <n v="0"/>
    <n v="10"/>
    <n v="2"/>
    <n v="9"/>
    <n v="7"/>
    <n v="1"/>
    <n v="8"/>
    <x v="1"/>
    <d v="2024-09-25T00:00:00"/>
    <x v="1"/>
    <s v="Voluntary"/>
    <x v="0"/>
    <x v="0"/>
    <x v="2"/>
    <x v="0"/>
    <x v="4"/>
  </r>
  <r>
    <x v="256"/>
    <s v="No"/>
    <x v="1"/>
    <s v="Healthcare Representative"/>
    <x v="0"/>
    <x v="0"/>
    <n v="7"/>
    <n v="74844"/>
    <n v="13"/>
    <n v="37.5"/>
    <s v="No"/>
    <n v="36"/>
    <s v="Non-Binary"/>
    <s v="Married"/>
    <x v="0"/>
    <n v="27"/>
    <s v="Bachelor's Degree"/>
    <s v="Medical"/>
    <n v="3"/>
    <n v="2"/>
    <n v="17"/>
    <n v="3"/>
    <n v="7"/>
    <n v="7"/>
    <n v="7"/>
    <n v="7"/>
    <x v="1"/>
    <d v="2023-03-08T00:00:00"/>
    <x v="0"/>
    <s v="Voluntary"/>
    <x v="2"/>
    <x v="0"/>
    <x v="2"/>
    <x v="1"/>
    <x v="2"/>
  </r>
  <r>
    <x v="257"/>
    <s v="No"/>
    <x v="1"/>
    <s v="Laboratory Technician"/>
    <x v="0"/>
    <x v="0"/>
    <n v="4"/>
    <n v="53112"/>
    <n v="13"/>
    <n v="37.5"/>
    <s v="No"/>
    <n v="35"/>
    <s v="Non-Binary"/>
    <s v="Married"/>
    <x v="0"/>
    <n v="16"/>
    <s v="Bachelor's Degree"/>
    <s v="Medical"/>
    <n v="3"/>
    <n v="1"/>
    <n v="6"/>
    <n v="5"/>
    <n v="5"/>
    <n v="4"/>
    <n v="0"/>
    <n v="3"/>
    <x v="1"/>
    <d v="2022-01-16T00:00:00"/>
    <x v="0"/>
    <s v="Involuntary"/>
    <x v="3"/>
    <x v="3"/>
    <x v="1"/>
    <x v="0"/>
    <x v="6"/>
  </r>
  <r>
    <x v="258"/>
    <s v="No"/>
    <x v="1"/>
    <s v="Laboratory Technician"/>
    <x v="0"/>
    <x v="0"/>
    <n v="5"/>
    <n v="55932"/>
    <n v="11"/>
    <n v="37.5"/>
    <s v="No"/>
    <n v="34"/>
    <s v="Non-Binary"/>
    <s v="Divorced"/>
    <x v="0"/>
    <n v="19"/>
    <s v="Certificate or Diploma"/>
    <s v="Medical"/>
    <n v="3"/>
    <n v="1"/>
    <n v="3"/>
    <n v="2"/>
    <n v="2"/>
    <n v="2"/>
    <n v="1"/>
    <n v="2"/>
    <x v="0"/>
    <d v="2022-10-30T00:00:00"/>
    <x v="0"/>
    <s v="Involuntary"/>
    <x v="1"/>
    <x v="1"/>
    <x v="1"/>
    <x v="0"/>
    <x v="4"/>
  </r>
  <r>
    <x v="259"/>
    <s v="No"/>
    <x v="1"/>
    <s v="Research Scientist"/>
    <x v="0"/>
    <x v="0"/>
    <n v="3"/>
    <n v="48012"/>
    <n v="14"/>
    <n v="37.5"/>
    <s v="No"/>
    <n v="40"/>
    <s v="Woman"/>
    <s v="Married"/>
    <x v="0"/>
    <n v="2"/>
    <s v="Master's Degree"/>
    <s v="Medical"/>
    <n v="3"/>
    <n v="3"/>
    <n v="20"/>
    <n v="2"/>
    <n v="5"/>
    <n v="3"/>
    <n v="0"/>
    <n v="2"/>
    <x v="1"/>
    <d v="2022-05-04T00:00:00"/>
    <x v="0"/>
    <s v="Involuntary"/>
    <x v="2"/>
    <x v="0"/>
    <x v="2"/>
    <x v="0"/>
    <x v="1"/>
  </r>
  <r>
    <x v="260"/>
    <s v="No"/>
    <x v="1"/>
    <s v="Research Scientist"/>
    <x v="0"/>
    <x v="0"/>
    <n v="3"/>
    <n v="48084"/>
    <n v="13"/>
    <n v="37.5"/>
    <s v="No"/>
    <n v="26"/>
    <s v="Woman"/>
    <s v="Divorced"/>
    <x v="1"/>
    <n v="1"/>
    <s v="Trades Apprenticeship"/>
    <s v="Medical"/>
    <n v="3"/>
    <n v="2"/>
    <n v="5"/>
    <n v="5"/>
    <n v="5"/>
    <n v="3"/>
    <n v="1"/>
    <n v="3"/>
    <x v="1"/>
    <d v="2023-03-09T00:00:00"/>
    <x v="0"/>
    <s v="Voluntary"/>
    <x v="3"/>
    <x v="0"/>
    <x v="1"/>
    <x v="0"/>
    <x v="2"/>
  </r>
  <r>
    <x v="261"/>
    <s v="No"/>
    <x v="1"/>
    <s v="Research Scientist"/>
    <x v="0"/>
    <x v="0"/>
    <n v="6"/>
    <n v="63576"/>
    <n v="12"/>
    <n v="37.5"/>
    <s v="Yes"/>
    <n v="32"/>
    <s v="Non-Binary"/>
    <s v="Divorced"/>
    <x v="0"/>
    <n v="5"/>
    <s v="Certificate or Diploma"/>
    <s v="Life Sciences"/>
    <n v="3"/>
    <n v="2"/>
    <n v="7"/>
    <n v="5"/>
    <n v="6"/>
    <n v="2"/>
    <n v="0"/>
    <n v="5"/>
    <x v="1"/>
    <d v="2025-07-17T00:00:00"/>
    <x v="1"/>
    <s v="Voluntary"/>
    <x v="3"/>
    <x v="3"/>
    <x v="0"/>
    <x v="1"/>
    <x v="6"/>
  </r>
  <r>
    <x v="262"/>
    <s v="No"/>
    <x v="1"/>
    <s v="Research Scientist"/>
    <x v="0"/>
    <x v="0"/>
    <n v="3"/>
    <n v="48132"/>
    <n v="13"/>
    <n v="37.5"/>
    <s v="No"/>
    <n v="44"/>
    <s v="Woman"/>
    <s v="Married"/>
    <x v="0"/>
    <n v="2"/>
    <s v="Trades Apprenticeship"/>
    <s v="Life Sciences"/>
    <n v="3"/>
    <n v="1"/>
    <n v="10"/>
    <n v="5"/>
    <n v="10"/>
    <n v="5"/>
    <n v="7"/>
    <n v="7"/>
    <x v="2"/>
    <d v="2025-09-17T00:00:00"/>
    <x v="1"/>
    <s v="Involuntary"/>
    <x v="3"/>
    <x v="1"/>
    <x v="0"/>
    <x v="0"/>
    <x v="4"/>
  </r>
  <r>
    <x v="263"/>
    <s v="No"/>
    <x v="1"/>
    <s v="Laboratory Technician"/>
    <x v="0"/>
    <x v="0"/>
    <n v="5"/>
    <n v="59220"/>
    <n v="13"/>
    <n v="37.5"/>
    <s v="Yes"/>
    <n v="22"/>
    <s v="Non-Binary"/>
    <s v="Divorced"/>
    <x v="2"/>
    <n v="16"/>
    <s v="Certificate or Diploma"/>
    <s v="Medical"/>
    <n v="3"/>
    <n v="2"/>
    <n v="1"/>
    <n v="2"/>
    <n v="1"/>
    <n v="0"/>
    <n v="0"/>
    <n v="0"/>
    <x v="0"/>
    <d v="2022-06-21T00:00:00"/>
    <x v="0"/>
    <s v="Voluntary"/>
    <x v="0"/>
    <x v="1"/>
    <x v="2"/>
    <x v="1"/>
    <x v="4"/>
  </r>
  <r>
    <x v="264"/>
    <s v="No"/>
    <x v="1"/>
    <s v="Sales Representative"/>
    <x v="0"/>
    <x v="1"/>
    <n v="3"/>
    <n v="48168"/>
    <n v="13"/>
    <n v="37.5"/>
    <s v="No"/>
    <n v="35"/>
    <s v="Woman"/>
    <s v="Married"/>
    <x v="0"/>
    <n v="2"/>
    <s v="Bachelor's Degree"/>
    <s v="Marketing"/>
    <n v="3"/>
    <n v="0"/>
    <n v="2"/>
    <n v="3"/>
    <n v="2"/>
    <n v="2"/>
    <n v="2"/>
    <n v="2"/>
    <x v="0"/>
    <d v="2022-04-14T00:00:00"/>
    <x v="0"/>
    <s v="Involuntary"/>
    <x v="0"/>
    <x v="1"/>
    <x v="3"/>
    <x v="0"/>
    <x v="4"/>
  </r>
  <r>
    <x v="265"/>
    <s v="No"/>
    <x v="1"/>
    <s v="Research Scientist"/>
    <x v="0"/>
    <x v="0"/>
    <n v="7"/>
    <n v="71328"/>
    <n v="11"/>
    <n v="37.5"/>
    <s v="Yes"/>
    <n v="38"/>
    <s v="Non-Binary"/>
    <s v="Single"/>
    <x v="0"/>
    <n v="2"/>
    <s v="Bachelor's Degree"/>
    <s v="Life Sciences"/>
    <n v="3"/>
    <n v="0"/>
    <n v="6"/>
    <n v="3"/>
    <n v="3"/>
    <n v="2"/>
    <n v="1"/>
    <n v="2"/>
    <x v="1"/>
    <d v="2024-03-27T00:00:00"/>
    <x v="1"/>
    <s v="Involuntary"/>
    <x v="0"/>
    <x v="1"/>
    <x v="1"/>
    <x v="0"/>
    <x v="0"/>
  </r>
  <r>
    <x v="266"/>
    <s v="No"/>
    <x v="1"/>
    <s v="Sales Executive"/>
    <x v="0"/>
    <x v="1"/>
    <n v="8"/>
    <n v="93900"/>
    <n v="11"/>
    <n v="37.5"/>
    <s v="No"/>
    <n v="42"/>
    <s v="Non-Binary"/>
    <s v="Married"/>
    <x v="0"/>
    <n v="8"/>
    <s v="Master's Degree"/>
    <s v="Marketing"/>
    <n v="3"/>
    <n v="1"/>
    <n v="10"/>
    <n v="2"/>
    <n v="9"/>
    <n v="7"/>
    <n v="4"/>
    <n v="2"/>
    <x v="1"/>
    <d v="2023-05-14T00:00:00"/>
    <x v="0"/>
    <s v="Voluntary"/>
    <x v="2"/>
    <x v="3"/>
    <x v="0"/>
    <x v="0"/>
    <x v="4"/>
  </r>
  <r>
    <x v="267"/>
    <s v="No"/>
    <x v="1"/>
    <s v="Research Scientist"/>
    <x v="0"/>
    <x v="0"/>
    <n v="3"/>
    <n v="48348"/>
    <n v="20"/>
    <n v="37.5"/>
    <s v="No"/>
    <n v="34"/>
    <s v="Woman"/>
    <s v="Divorced"/>
    <x v="2"/>
    <n v="26"/>
    <s v="Trades Apprenticeship"/>
    <s v="Technical Degree"/>
    <n v="4"/>
    <n v="3"/>
    <n v="5"/>
    <n v="2"/>
    <n v="5"/>
    <n v="4"/>
    <n v="0"/>
    <n v="0"/>
    <x v="1"/>
    <d v="2023-07-29T00:00:00"/>
    <x v="0"/>
    <s v="Voluntary"/>
    <x v="3"/>
    <x v="0"/>
    <x v="1"/>
    <x v="0"/>
    <x v="2"/>
  </r>
  <r>
    <x v="268"/>
    <s v="No"/>
    <x v="1"/>
    <s v="Laboratory Technician"/>
    <x v="0"/>
    <x v="0"/>
    <n v="4"/>
    <n v="53952"/>
    <n v="11"/>
    <n v="37.5"/>
    <s v="No"/>
    <n v="33"/>
    <s v="Non-Binary"/>
    <s v="Single"/>
    <x v="0"/>
    <n v="2"/>
    <s v="Bachelor's Degree"/>
    <s v="Medical"/>
    <n v="3"/>
    <n v="0"/>
    <n v="7"/>
    <n v="3"/>
    <n v="1"/>
    <n v="1"/>
    <n v="0"/>
    <n v="0"/>
    <x v="0"/>
    <d v="2025-05-19T00:00:00"/>
    <x v="1"/>
    <s v="Voluntary"/>
    <x v="2"/>
    <x v="1"/>
    <x v="0"/>
    <x v="0"/>
    <x v="0"/>
  </r>
  <r>
    <x v="269"/>
    <s v="No"/>
    <x v="1"/>
    <s v="Sales Representative"/>
    <x v="0"/>
    <x v="1"/>
    <n v="3"/>
    <n v="48396"/>
    <n v="13"/>
    <n v="37.5"/>
    <s v="No"/>
    <n v="24"/>
    <s v="Woman"/>
    <s v="Married"/>
    <x v="2"/>
    <n v="13"/>
    <s v="Certificate or Diploma"/>
    <s v="Life Sciences"/>
    <n v="3"/>
    <n v="1"/>
    <n v="1"/>
    <n v="2"/>
    <n v="1"/>
    <n v="0"/>
    <n v="0"/>
    <n v="0"/>
    <x v="0"/>
    <d v="2023-12-14T00:00:00"/>
    <x v="0"/>
    <s v="Involuntary"/>
    <x v="0"/>
    <x v="3"/>
    <x v="1"/>
    <x v="0"/>
    <x v="4"/>
  </r>
  <r>
    <x v="270"/>
    <s v="No"/>
    <x v="1"/>
    <s v="Healthcare Representative"/>
    <x v="0"/>
    <x v="0"/>
    <n v="8"/>
    <n v="89580"/>
    <n v="13"/>
    <n v="37.5"/>
    <s v="Yes"/>
    <n v="44"/>
    <s v="Non-Binary"/>
    <s v="Married"/>
    <x v="0"/>
    <n v="10"/>
    <s v="Master's Degree"/>
    <s v="Other"/>
    <n v="3"/>
    <n v="0"/>
    <n v="9"/>
    <n v="5"/>
    <n v="4"/>
    <n v="2"/>
    <n v="1"/>
    <n v="3"/>
    <x v="1"/>
    <d v="2023-09-07T00:00:00"/>
    <x v="0"/>
    <s v="Involuntary"/>
    <x v="0"/>
    <x v="1"/>
    <x v="0"/>
    <x v="2"/>
    <x v="12"/>
  </r>
  <r>
    <x v="271"/>
    <s v="No"/>
    <x v="1"/>
    <s v="Laboratory Technician"/>
    <x v="0"/>
    <x v="0"/>
    <n v="4"/>
    <n v="50472"/>
    <n v="13"/>
    <n v="37.5"/>
    <s v="No"/>
    <n v="30"/>
    <s v="Non-Binary"/>
    <s v="Single"/>
    <x v="0"/>
    <n v="9"/>
    <s v="Certificate or Diploma"/>
    <s v="Medical"/>
    <n v="3"/>
    <n v="0"/>
    <n v="10"/>
    <n v="5"/>
    <n v="10"/>
    <n v="0"/>
    <n v="1"/>
    <n v="8"/>
    <x v="2"/>
    <d v="2024-12-23T00:00:00"/>
    <x v="1"/>
    <s v="Involuntary"/>
    <x v="0"/>
    <x v="0"/>
    <x v="3"/>
    <x v="0"/>
    <x v="1"/>
  </r>
  <r>
    <x v="272"/>
    <s v="No"/>
    <x v="1"/>
    <s v="Research Scientist"/>
    <x v="0"/>
    <x v="0"/>
    <n v="3"/>
    <n v="48732"/>
    <n v="21"/>
    <n v="37.5"/>
    <s v="No"/>
    <n v="26"/>
    <s v="Woman"/>
    <s v="Married"/>
    <x v="0"/>
    <n v="3"/>
    <s v="Bachelor's Degree"/>
    <s v="Life Sciences"/>
    <n v="4"/>
    <n v="0"/>
    <n v="1"/>
    <n v="5"/>
    <n v="1"/>
    <n v="0"/>
    <n v="0"/>
    <n v="0"/>
    <x v="0"/>
    <d v="2024-08-09T00:00:00"/>
    <x v="1"/>
    <s v="Involuntary"/>
    <x v="3"/>
    <x v="1"/>
    <x v="3"/>
    <x v="0"/>
    <x v="6"/>
  </r>
  <r>
    <x v="273"/>
    <s v="No"/>
    <x v="1"/>
    <s v="Laboratory Technician"/>
    <x v="0"/>
    <x v="0"/>
    <n v="3"/>
    <n v="47412"/>
    <n v="12"/>
    <n v="37.5"/>
    <s v="No"/>
    <n v="35"/>
    <s v="Non-Binary"/>
    <s v="Divorced"/>
    <x v="0"/>
    <n v="4"/>
    <s v="Certificate or Diploma"/>
    <s v="Other"/>
    <n v="3"/>
    <n v="1"/>
    <n v="1"/>
    <n v="3"/>
    <n v="1"/>
    <n v="0"/>
    <n v="0"/>
    <n v="0"/>
    <x v="0"/>
    <d v="2025-04-22T00:00:00"/>
    <x v="1"/>
    <s v="Involuntary"/>
    <x v="2"/>
    <x v="1"/>
    <x v="1"/>
    <x v="0"/>
    <x v="5"/>
  </r>
  <r>
    <x v="274"/>
    <s v="No"/>
    <x v="1"/>
    <s v="Research Scientist"/>
    <x v="0"/>
    <x v="0"/>
    <n v="3"/>
    <n v="48792"/>
    <n v="22"/>
    <n v="37.5"/>
    <s v="No"/>
    <n v="56"/>
    <s v="Woman"/>
    <s v="Married"/>
    <x v="0"/>
    <n v="1"/>
    <s v="Certificate or Diploma"/>
    <s v="Life Sciences"/>
    <n v="4"/>
    <n v="1"/>
    <n v="5"/>
    <n v="3"/>
    <n v="3"/>
    <n v="2"/>
    <n v="1"/>
    <n v="0"/>
    <x v="1"/>
    <d v="2023-05-30T00:00:00"/>
    <x v="0"/>
    <s v="Involuntary"/>
    <x v="3"/>
    <x v="2"/>
    <x v="0"/>
    <x v="2"/>
    <x v="2"/>
  </r>
  <r>
    <x v="275"/>
    <s v="No"/>
    <x v="1"/>
    <s v="Sales Executive"/>
    <x v="0"/>
    <x v="1"/>
    <n v="9"/>
    <n v="116712"/>
    <n v="15"/>
    <n v="37.5"/>
    <s v="No"/>
    <n v="27"/>
    <s v="Non-Binary"/>
    <s v="Single"/>
    <x v="1"/>
    <n v="8"/>
    <s v="Bachelor's Degree"/>
    <s v="Life Sciences"/>
    <n v="3"/>
    <n v="0"/>
    <n v="9"/>
    <n v="0"/>
    <n v="9"/>
    <n v="8"/>
    <n v="1"/>
    <n v="7"/>
    <x v="1"/>
    <d v="2023-03-18T00:00:00"/>
    <x v="0"/>
    <s v="Involuntary"/>
    <x v="0"/>
    <x v="0"/>
    <x v="0"/>
    <x v="0"/>
    <x v="0"/>
  </r>
  <r>
    <x v="276"/>
    <s v="No"/>
    <x v="1"/>
    <s v="Research Scientist"/>
    <x v="0"/>
    <x v="0"/>
    <n v="3"/>
    <n v="48840"/>
    <n v="11"/>
    <n v="37.5"/>
    <s v="Yes"/>
    <n v="21"/>
    <s v="Woman"/>
    <s v="Single"/>
    <x v="0"/>
    <n v="1"/>
    <s v="Trades Apprenticeship"/>
    <s v="Technical Degree"/>
    <n v="3"/>
    <n v="0"/>
    <n v="2"/>
    <n v="6"/>
    <n v="2"/>
    <n v="2"/>
    <n v="2"/>
    <n v="2"/>
    <x v="0"/>
    <d v="2025-12-18T00:00:00"/>
    <x v="1"/>
    <s v="Involuntary"/>
    <x v="0"/>
    <x v="3"/>
    <x v="1"/>
    <x v="2"/>
    <x v="5"/>
  </r>
  <r>
    <x v="277"/>
    <s v="No"/>
    <x v="1"/>
    <s v="Sales Executive"/>
    <x v="0"/>
    <x v="1"/>
    <n v="6"/>
    <n v="66816"/>
    <n v="20"/>
    <n v="37.5"/>
    <s v="No"/>
    <n v="34"/>
    <s v="Man"/>
    <s v="Single"/>
    <x v="2"/>
    <n v="23"/>
    <s v="Master's Degree"/>
    <s v="Marketing"/>
    <n v="4"/>
    <n v="0"/>
    <n v="10"/>
    <n v="2"/>
    <n v="9"/>
    <n v="5"/>
    <n v="8"/>
    <n v="7"/>
    <x v="1"/>
    <d v="2025-04-21T00:00:00"/>
    <x v="1"/>
    <s v="Involuntary"/>
    <x v="1"/>
    <x v="0"/>
    <x v="1"/>
    <x v="0"/>
    <x v="1"/>
  </r>
  <r>
    <x v="278"/>
    <s v="No"/>
    <x v="1"/>
    <s v="Research Scientist"/>
    <x v="0"/>
    <x v="0"/>
    <n v="6"/>
    <n v="60264"/>
    <n v="21"/>
    <n v="37.5"/>
    <s v="No"/>
    <n v="37"/>
    <s v="Man"/>
    <s v="Married"/>
    <x v="0"/>
    <n v="19"/>
    <s v="Certificate or Diploma"/>
    <s v="Life Sciences"/>
    <n v="4"/>
    <n v="0"/>
    <n v="8"/>
    <n v="1"/>
    <n v="1"/>
    <n v="0"/>
    <n v="0"/>
    <n v="0"/>
    <x v="0"/>
    <d v="2025-03-18T00:00:00"/>
    <x v="1"/>
    <s v="Voluntary"/>
    <x v="1"/>
    <x v="3"/>
    <x v="3"/>
    <x v="0"/>
    <x v="8"/>
  </r>
  <r>
    <x v="279"/>
    <s v="No"/>
    <x v="1"/>
    <s v="Sales Executive"/>
    <x v="0"/>
    <x v="1"/>
    <n v="7"/>
    <n v="81264"/>
    <n v="21"/>
    <n v="37.5"/>
    <s v="Yes"/>
    <n v="46"/>
    <s v="Man"/>
    <s v="Single"/>
    <x v="1"/>
    <n v="5"/>
    <s v="Master's Degree"/>
    <s v="Marketing"/>
    <n v="4"/>
    <n v="0"/>
    <n v="14"/>
    <n v="4"/>
    <n v="9"/>
    <n v="6"/>
    <n v="0"/>
    <n v="8"/>
    <x v="1"/>
    <d v="2024-07-23T00:00:00"/>
    <x v="1"/>
    <s v="Voluntary"/>
    <x v="3"/>
    <x v="1"/>
    <x v="1"/>
    <x v="0"/>
    <x v="1"/>
  </r>
  <r>
    <x v="280"/>
    <s v="No"/>
    <x v="1"/>
    <s v="Laboratory Technician"/>
    <x v="0"/>
    <x v="0"/>
    <n v="4"/>
    <n v="51228"/>
    <n v="19"/>
    <n v="37.5"/>
    <s v="No"/>
    <n v="35"/>
    <s v="Man"/>
    <s v="Married"/>
    <x v="0"/>
    <n v="8"/>
    <s v="Trades Apprenticeship"/>
    <s v="Life Sciences"/>
    <n v="3"/>
    <n v="0"/>
    <n v="1"/>
    <n v="2"/>
    <n v="1"/>
    <n v="0"/>
    <n v="0"/>
    <n v="1"/>
    <x v="0"/>
    <d v="2025-08-09T00:00:00"/>
    <x v="1"/>
    <s v="Voluntary"/>
    <x v="0"/>
    <x v="1"/>
    <x v="0"/>
    <x v="0"/>
    <x v="7"/>
  </r>
  <r>
    <x v="281"/>
    <s v="No"/>
    <x v="1"/>
    <s v="Research Scientist"/>
    <x v="0"/>
    <x v="0"/>
    <n v="3"/>
    <n v="48996"/>
    <n v="20"/>
    <n v="37.5"/>
    <s v="No"/>
    <n v="30"/>
    <s v="Woman"/>
    <s v="Divorced"/>
    <x v="1"/>
    <n v="3"/>
    <s v="Bachelor's Degree"/>
    <s v="Medical"/>
    <n v="4"/>
    <n v="1"/>
    <n v="1"/>
    <n v="2"/>
    <n v="1"/>
    <n v="0"/>
    <n v="0"/>
    <n v="0"/>
    <x v="0"/>
    <d v="2025-03-20T00:00:00"/>
    <x v="1"/>
    <s v="Voluntary"/>
    <x v="2"/>
    <x v="0"/>
    <x v="1"/>
    <x v="0"/>
    <x v="4"/>
  </r>
  <r>
    <x v="282"/>
    <s v="No"/>
    <x v="1"/>
    <s v="Healthcare Representative"/>
    <x v="0"/>
    <x v="0"/>
    <n v="9"/>
    <n v="130608"/>
    <n v="13"/>
    <n v="37.5"/>
    <s v="Yes"/>
    <n v="35"/>
    <s v="Man"/>
    <s v="Married"/>
    <x v="2"/>
    <n v="11"/>
    <s v="Certificate or Diploma"/>
    <s v="Medical"/>
    <n v="3"/>
    <n v="1"/>
    <n v="10"/>
    <n v="3"/>
    <n v="4"/>
    <n v="0"/>
    <n v="2"/>
    <n v="3"/>
    <x v="1"/>
    <d v="2023-06-16T00:00:00"/>
    <x v="0"/>
    <s v="Involuntary"/>
    <x v="2"/>
    <x v="2"/>
    <x v="1"/>
    <x v="0"/>
    <x v="2"/>
  </r>
  <r>
    <x v="283"/>
    <s v="No"/>
    <x v="1"/>
    <s v="Sales Executive"/>
    <x v="0"/>
    <x v="1"/>
    <n v="9"/>
    <n v="120828"/>
    <n v="22"/>
    <n v="37.5"/>
    <s v="No"/>
    <n v="35"/>
    <s v="Man"/>
    <s v="Married"/>
    <x v="1"/>
    <n v="18"/>
    <s v="Doctorate"/>
    <s v="Life Sciences"/>
    <n v="4"/>
    <n v="1"/>
    <n v="9"/>
    <n v="3"/>
    <n v="9"/>
    <n v="8"/>
    <n v="1"/>
    <n v="8"/>
    <x v="1"/>
    <d v="2025-07-13T00:00:00"/>
    <x v="1"/>
    <s v="Involuntary"/>
    <x v="1"/>
    <x v="2"/>
    <x v="0"/>
    <x v="1"/>
    <x v="6"/>
  </r>
  <r>
    <x v="284"/>
    <s v="No"/>
    <x v="1"/>
    <s v="Laboratory Technician"/>
    <x v="0"/>
    <x v="0"/>
    <n v="7"/>
    <n v="82980"/>
    <n v="22"/>
    <n v="37.5"/>
    <s v="No"/>
    <n v="31"/>
    <s v="Man"/>
    <s v="Divorced"/>
    <x v="0"/>
    <n v="7"/>
    <s v="Master's Degree"/>
    <s v="Life Sciences"/>
    <n v="4"/>
    <n v="1"/>
    <n v="10"/>
    <n v="3"/>
    <n v="7"/>
    <n v="7"/>
    <n v="1"/>
    <n v="7"/>
    <x v="1"/>
    <d v="2022-05-27T00:00:00"/>
    <x v="0"/>
    <s v="Involuntary"/>
    <x v="0"/>
    <x v="1"/>
    <x v="0"/>
    <x v="1"/>
    <x v="0"/>
  </r>
  <r>
    <x v="285"/>
    <s v="No"/>
    <x v="1"/>
    <s v="Manufacturing Director"/>
    <x v="1"/>
    <x v="0"/>
    <n v="7"/>
    <n v="83916"/>
    <n v="18"/>
    <n v="37.5"/>
    <s v="No"/>
    <n v="37"/>
    <s v="Man"/>
    <s v="Divorced"/>
    <x v="0"/>
    <n v="1"/>
    <s v="Master's Degree"/>
    <s v="Life Sciences"/>
    <n v="3"/>
    <n v="1"/>
    <n v="7"/>
    <n v="2"/>
    <n v="7"/>
    <n v="5"/>
    <n v="0"/>
    <n v="7"/>
    <x v="1"/>
    <d v="2023-05-13T00:00:00"/>
    <x v="0"/>
    <s v="Voluntary"/>
    <x v="3"/>
    <x v="0"/>
    <x v="1"/>
    <x v="2"/>
    <x v="1"/>
  </r>
  <r>
    <x v="286"/>
    <s v="No"/>
    <x v="1"/>
    <s v="Research Scientist"/>
    <x v="0"/>
    <x v="0"/>
    <n v="3"/>
    <n v="49152"/>
    <n v="18"/>
    <n v="37.5"/>
    <s v="No"/>
    <n v="25"/>
    <s v="Woman"/>
    <s v="Single"/>
    <x v="0"/>
    <n v="1"/>
    <s v="Bachelor's Degree"/>
    <s v="Medical"/>
    <n v="3"/>
    <n v="0"/>
    <n v="2"/>
    <n v="3"/>
    <n v="2"/>
    <n v="2"/>
    <n v="2"/>
    <n v="1"/>
    <x v="0"/>
    <d v="2025-11-29T00:00:00"/>
    <x v="1"/>
    <s v="Voluntary"/>
    <x v="0"/>
    <x v="3"/>
    <x v="0"/>
    <x v="1"/>
    <x v="4"/>
  </r>
  <r>
    <x v="287"/>
    <s v="No"/>
    <x v="1"/>
    <s v="Manufacturing Director"/>
    <x v="1"/>
    <x v="0"/>
    <n v="8"/>
    <n v="85944"/>
    <n v="22"/>
    <n v="37.5"/>
    <s v="Yes"/>
    <n v="32"/>
    <s v="Man"/>
    <s v="Married"/>
    <x v="0"/>
    <n v="1"/>
    <s v="Bachelor's Degree"/>
    <s v="Medical"/>
    <n v="4"/>
    <n v="1"/>
    <n v="9"/>
    <n v="3"/>
    <n v="9"/>
    <n v="8"/>
    <n v="7"/>
    <n v="8"/>
    <x v="1"/>
    <d v="2023-04-03T00:00:00"/>
    <x v="0"/>
    <s v="Voluntary"/>
    <x v="3"/>
    <x v="1"/>
    <x v="2"/>
    <x v="0"/>
    <x v="2"/>
  </r>
  <r>
    <x v="288"/>
    <s v="No"/>
    <x v="1"/>
    <s v="Manufacturing Director"/>
    <x v="1"/>
    <x v="0"/>
    <n v="8"/>
    <n v="89988"/>
    <n v="13"/>
    <n v="37.5"/>
    <s v="No"/>
    <n v="36"/>
    <s v="Man"/>
    <s v="Single"/>
    <x v="1"/>
    <n v="11"/>
    <s v="Bachelor's Degree"/>
    <s v="Life Sciences"/>
    <n v="3"/>
    <n v="0"/>
    <n v="6"/>
    <n v="3"/>
    <n v="6"/>
    <n v="5"/>
    <n v="0"/>
    <n v="3"/>
    <x v="1"/>
    <d v="2025-03-27T00:00:00"/>
    <x v="1"/>
    <s v="Voluntary"/>
    <x v="1"/>
    <x v="3"/>
    <x v="1"/>
    <x v="0"/>
    <x v="2"/>
  </r>
  <r>
    <x v="289"/>
    <s v="No"/>
    <x v="1"/>
    <s v="Laboratory Technician"/>
    <x v="0"/>
    <x v="0"/>
    <n v="3"/>
    <n v="49260"/>
    <n v="12"/>
    <n v="37.5"/>
    <s v="No"/>
    <n v="47"/>
    <s v="Woman"/>
    <s v="Single"/>
    <x v="0"/>
    <n v="9"/>
    <s v="Master's Degree"/>
    <s v="Life Sciences"/>
    <n v="3"/>
    <n v="0"/>
    <n v="7"/>
    <n v="2"/>
    <n v="2"/>
    <n v="2"/>
    <n v="2"/>
    <n v="0"/>
    <x v="0"/>
    <d v="2023-11-30T00:00:00"/>
    <x v="0"/>
    <s v="Voluntary"/>
    <x v="1"/>
    <x v="0"/>
    <x v="1"/>
    <x v="0"/>
    <x v="1"/>
  </r>
  <r>
    <x v="290"/>
    <s v="No"/>
    <x v="1"/>
    <s v="Research Scientist"/>
    <x v="0"/>
    <x v="0"/>
    <n v="9"/>
    <n v="128688"/>
    <n v="17"/>
    <n v="37.5"/>
    <s v="No"/>
    <n v="45"/>
    <s v="Man"/>
    <s v="Divorced"/>
    <x v="0"/>
    <n v="7"/>
    <s v="Bachelor's Degree"/>
    <s v="Life Sciences"/>
    <n v="3"/>
    <n v="1"/>
    <n v="25"/>
    <n v="2"/>
    <n v="1"/>
    <n v="0"/>
    <n v="0"/>
    <n v="0"/>
    <x v="0"/>
    <d v="2025-01-09T00:00:00"/>
    <x v="1"/>
    <s v="Voluntary"/>
    <x v="1"/>
    <x v="2"/>
    <x v="1"/>
    <x v="0"/>
    <x v="6"/>
  </r>
  <r>
    <x v="291"/>
    <s v="No"/>
    <x v="1"/>
    <s v="Compensation Analyst"/>
    <x v="0"/>
    <x v="2"/>
    <n v="3"/>
    <n v="49308"/>
    <n v="18"/>
    <n v="37.5"/>
    <s v="No"/>
    <n v="31"/>
    <s v="Woman"/>
    <s v="Single"/>
    <x v="0"/>
    <n v="8"/>
    <s v="Certificate or Diploma"/>
    <s v="Medical"/>
    <n v="3"/>
    <n v="0"/>
    <n v="8"/>
    <n v="3"/>
    <n v="3"/>
    <n v="2"/>
    <n v="0"/>
    <n v="2"/>
    <x v="1"/>
    <d v="2025-09-14T00:00:00"/>
    <x v="1"/>
    <s v="Involuntary"/>
    <x v="0"/>
    <x v="3"/>
    <x v="0"/>
    <x v="0"/>
    <x v="5"/>
  </r>
  <r>
    <x v="292"/>
    <s v="No"/>
    <x v="1"/>
    <s v="Research Scientist"/>
    <x v="0"/>
    <x v="0"/>
    <n v="3"/>
    <n v="49308"/>
    <n v="13"/>
    <n v="37.5"/>
    <s v="No"/>
    <n v="29"/>
    <s v="Woman"/>
    <s v="Divorced"/>
    <x v="0"/>
    <n v="4"/>
    <s v="Bachelor's Degree"/>
    <s v="Technical Degree"/>
    <n v="3"/>
    <n v="1"/>
    <n v="1"/>
    <n v="2"/>
    <n v="1"/>
    <n v="0"/>
    <n v="0"/>
    <n v="0"/>
    <x v="0"/>
    <d v="2023-10-12T00:00:00"/>
    <x v="0"/>
    <s v="Voluntary"/>
    <x v="0"/>
    <x v="2"/>
    <x v="1"/>
    <x v="0"/>
    <x v="1"/>
  </r>
  <r>
    <x v="293"/>
    <s v="No"/>
    <x v="1"/>
    <s v="Research Scientist"/>
    <x v="0"/>
    <x v="0"/>
    <n v="3"/>
    <n v="49380"/>
    <n v="12"/>
    <n v="37.5"/>
    <s v="No"/>
    <n v="37"/>
    <s v="Woman"/>
    <s v="Single"/>
    <x v="0"/>
    <n v="1"/>
    <s v="Bachelor's Degree"/>
    <s v="Life Sciences"/>
    <n v="3"/>
    <n v="0"/>
    <n v="17"/>
    <n v="3"/>
    <n v="17"/>
    <n v="12"/>
    <n v="5"/>
    <n v="7"/>
    <x v="2"/>
    <d v="2023-06-19T00:00:00"/>
    <x v="0"/>
    <s v="Involuntary"/>
    <x v="0"/>
    <x v="1"/>
    <x v="2"/>
    <x v="0"/>
    <x v="5"/>
  </r>
  <r>
    <x v="294"/>
    <s v="No"/>
    <x v="1"/>
    <s v="Research Scientist"/>
    <x v="0"/>
    <x v="0"/>
    <n v="4"/>
    <n v="50328"/>
    <n v="13"/>
    <n v="37.5"/>
    <s v="No"/>
    <n v="35"/>
    <s v="Man"/>
    <s v="Married"/>
    <x v="1"/>
    <n v="1"/>
    <s v="Bachelor's Degree"/>
    <s v="Medical"/>
    <n v="3"/>
    <n v="1"/>
    <n v="5"/>
    <n v="2"/>
    <n v="3"/>
    <n v="2"/>
    <n v="1"/>
    <n v="2"/>
    <x v="1"/>
    <d v="2025-02-14T00:00:00"/>
    <x v="1"/>
    <s v="Involuntary"/>
    <x v="1"/>
    <x v="2"/>
    <x v="0"/>
    <x v="1"/>
    <x v="6"/>
  </r>
  <r>
    <x v="295"/>
    <s v="No"/>
    <x v="1"/>
    <s v="Research Scientist"/>
    <x v="0"/>
    <x v="0"/>
    <n v="5"/>
    <n v="56436"/>
    <n v="23"/>
    <n v="37.5"/>
    <s v="No"/>
    <n v="29"/>
    <s v="Man"/>
    <s v="Married"/>
    <x v="0"/>
    <n v="2"/>
    <s v="Bachelor's Degree"/>
    <s v="Life Sciences"/>
    <n v="4"/>
    <n v="1"/>
    <n v="6"/>
    <n v="3"/>
    <n v="5"/>
    <n v="4"/>
    <n v="0"/>
    <n v="4"/>
    <x v="1"/>
    <d v="2022-12-22T00:00:00"/>
    <x v="0"/>
    <s v="Involuntary"/>
    <x v="2"/>
    <x v="3"/>
    <x v="0"/>
    <x v="0"/>
    <x v="4"/>
  </r>
  <r>
    <x v="296"/>
    <s v="No"/>
    <x v="1"/>
    <s v="Research Scientist"/>
    <x v="0"/>
    <x v="0"/>
    <n v="4"/>
    <n v="54012"/>
    <n v="17"/>
    <n v="37.5"/>
    <s v="No"/>
    <n v="31"/>
    <s v="Man"/>
    <s v="Single"/>
    <x v="0"/>
    <n v="1"/>
    <s v="Master's Degree"/>
    <s v="Medical"/>
    <n v="3"/>
    <n v="0"/>
    <n v="1"/>
    <n v="4"/>
    <n v="1"/>
    <n v="1"/>
    <n v="1"/>
    <n v="0"/>
    <x v="0"/>
    <d v="2023-04-01T00:00:00"/>
    <x v="0"/>
    <s v="Voluntary"/>
    <x v="2"/>
    <x v="3"/>
    <x v="2"/>
    <x v="0"/>
    <x v="2"/>
  </r>
  <r>
    <x v="297"/>
    <s v="No"/>
    <x v="1"/>
    <s v="Research Scientist"/>
    <x v="0"/>
    <x v="0"/>
    <n v="8"/>
    <n v="86640"/>
    <n v="17"/>
    <n v="37.5"/>
    <s v="No"/>
    <n v="32"/>
    <s v="Man"/>
    <s v="Married"/>
    <x v="0"/>
    <n v="1"/>
    <s v="Bachelor's Degree"/>
    <s v="Life Sciences"/>
    <n v="3"/>
    <n v="2"/>
    <n v="10"/>
    <n v="3"/>
    <n v="10"/>
    <n v="4"/>
    <n v="0"/>
    <n v="9"/>
    <x v="2"/>
    <d v="2022-10-27T00:00:00"/>
    <x v="0"/>
    <s v="Voluntary"/>
    <x v="1"/>
    <x v="3"/>
    <x v="2"/>
    <x v="0"/>
    <x v="6"/>
  </r>
  <r>
    <x v="298"/>
    <s v="No"/>
    <x v="1"/>
    <s v="Research Scientist"/>
    <x v="0"/>
    <x v="0"/>
    <n v="3"/>
    <n v="49596"/>
    <n v="16"/>
    <n v="37.5"/>
    <s v="Yes"/>
    <n v="38"/>
    <s v="Woman"/>
    <s v="Divorced"/>
    <x v="1"/>
    <n v="8"/>
    <s v="Bachelor's Degree"/>
    <s v="Medical"/>
    <n v="3"/>
    <n v="1"/>
    <n v="20"/>
    <n v="3"/>
    <n v="20"/>
    <n v="11"/>
    <n v="0"/>
    <n v="7"/>
    <x v="2"/>
    <d v="2025-11-13T00:00:00"/>
    <x v="1"/>
    <s v="Involuntary"/>
    <x v="0"/>
    <x v="3"/>
    <x v="1"/>
    <x v="0"/>
    <x v="4"/>
  </r>
  <r>
    <x v="299"/>
    <s v="No"/>
    <x v="1"/>
    <s v="Sales Executive"/>
    <x v="0"/>
    <x v="1"/>
    <n v="6"/>
    <n v="63744"/>
    <n v="14"/>
    <n v="37.5"/>
    <s v="No"/>
    <n v="35"/>
    <s v="Man"/>
    <s v="Single"/>
    <x v="0"/>
    <n v="1"/>
    <s v="Master's Degree"/>
    <s v="Marketing"/>
    <n v="3"/>
    <n v="0"/>
    <n v="16"/>
    <n v="2"/>
    <n v="15"/>
    <n v="13"/>
    <n v="2"/>
    <n v="8"/>
    <x v="2"/>
    <d v="2023-08-15T00:00:00"/>
    <x v="0"/>
    <s v="Voluntary"/>
    <x v="2"/>
    <x v="2"/>
    <x v="2"/>
    <x v="0"/>
    <x v="6"/>
  </r>
  <r>
    <x v="300"/>
    <s v="No"/>
    <x v="1"/>
    <s v="Research Director"/>
    <x v="1"/>
    <x v="0"/>
    <n v="10"/>
    <n v="170940"/>
    <n v="14"/>
    <n v="37.5"/>
    <s v="Yes"/>
    <n v="45"/>
    <s v="Man"/>
    <s v="Married"/>
    <x v="0"/>
    <n v="6"/>
    <s v="Master's Degree"/>
    <s v="Other"/>
    <n v="3"/>
    <n v="0"/>
    <n v="17"/>
    <n v="3"/>
    <n v="0"/>
    <n v="0"/>
    <n v="0"/>
    <n v="0"/>
    <x v="0"/>
    <d v="2024-04-26T00:00:00"/>
    <x v="1"/>
    <s v="Involuntary"/>
    <x v="0"/>
    <x v="2"/>
    <x v="2"/>
    <x v="2"/>
    <x v="1"/>
  </r>
  <r>
    <x v="301"/>
    <s v="No"/>
    <x v="1"/>
    <s v="Research Director"/>
    <x v="1"/>
    <x v="0"/>
    <n v="3"/>
    <n v="175968"/>
    <n v="13"/>
    <n v="37.5"/>
    <s v="No"/>
    <n v="37"/>
    <s v="Man"/>
    <s v="Single"/>
    <x v="0"/>
    <n v="7"/>
    <s v="Master's Degree"/>
    <s v="Medical"/>
    <n v="3"/>
    <n v="0"/>
    <n v="16"/>
    <n v="3"/>
    <n v="5"/>
    <n v="2"/>
    <n v="0"/>
    <n v="2"/>
    <x v="1"/>
    <d v="2025-09-18T00:00:00"/>
    <x v="1"/>
    <s v="Voluntary"/>
    <x v="3"/>
    <x v="0"/>
    <x v="3"/>
    <x v="2"/>
    <x v="6"/>
  </r>
  <r>
    <x v="302"/>
    <s v="No"/>
    <x v="1"/>
    <s v="HR Business Partner"/>
    <x v="0"/>
    <x v="2"/>
    <n v="7"/>
    <n v="72252"/>
    <n v="22"/>
    <n v="37.5"/>
    <s v="Yes"/>
    <n v="46"/>
    <s v="Man"/>
    <s v="Divorced"/>
    <x v="0"/>
    <n v="5"/>
    <s v="Certificate or Diploma"/>
    <s v="Medical"/>
    <n v="4"/>
    <n v="1"/>
    <n v="16"/>
    <n v="2"/>
    <n v="4"/>
    <n v="2"/>
    <n v="0"/>
    <n v="2"/>
    <x v="1"/>
    <d v="2024-05-26T00:00:00"/>
    <x v="1"/>
    <s v="Voluntary"/>
    <x v="1"/>
    <x v="3"/>
    <x v="0"/>
    <x v="0"/>
    <x v="1"/>
  </r>
  <r>
    <x v="303"/>
    <s v="No"/>
    <x v="1"/>
    <s v="Laboratory Technician"/>
    <x v="0"/>
    <x v="0"/>
    <n v="3"/>
    <n v="49836"/>
    <n v="13"/>
    <n v="37.5"/>
    <s v="No"/>
    <n v="36"/>
    <s v="Woman"/>
    <s v="Single"/>
    <x v="1"/>
    <n v="18"/>
    <s v="Trades Apprenticeship"/>
    <s v="Medical"/>
    <n v="3"/>
    <n v="0"/>
    <n v="8"/>
    <n v="2"/>
    <n v="8"/>
    <n v="1"/>
    <n v="1"/>
    <n v="7"/>
    <x v="1"/>
    <d v="2023-10-23T00:00:00"/>
    <x v="0"/>
    <s v="Involuntary"/>
    <x v="1"/>
    <x v="1"/>
    <x v="3"/>
    <x v="0"/>
    <x v="2"/>
  </r>
  <r>
    <x v="304"/>
    <s v="No"/>
    <x v="1"/>
    <s v="Laboratory Technician"/>
    <x v="0"/>
    <x v="0"/>
    <n v="7"/>
    <n v="73512"/>
    <n v="12"/>
    <n v="37.5"/>
    <s v="Yes"/>
    <n v="30"/>
    <s v="Man"/>
    <s v="Married"/>
    <x v="0"/>
    <n v="1"/>
    <s v="Trades Apprenticeship"/>
    <s v="Life Sciences"/>
    <n v="3"/>
    <n v="2"/>
    <n v="10"/>
    <n v="1"/>
    <n v="10"/>
    <n v="8"/>
    <n v="3"/>
    <n v="0"/>
    <x v="2"/>
    <d v="2024-07-28T00:00:00"/>
    <x v="1"/>
    <s v="Involuntary"/>
    <x v="0"/>
    <x v="1"/>
    <x v="1"/>
    <x v="1"/>
    <x v="5"/>
  </r>
  <r>
    <x v="305"/>
    <s v="No"/>
    <x v="1"/>
    <s v="Sales Representative"/>
    <x v="0"/>
    <x v="1"/>
    <n v="3"/>
    <n v="49884"/>
    <n v="15"/>
    <n v="37.5"/>
    <s v="No"/>
    <n v="29"/>
    <s v="Woman"/>
    <s v="Married"/>
    <x v="1"/>
    <n v="20"/>
    <s v="Bachelor's Degree"/>
    <s v="Technical Degree"/>
    <n v="3"/>
    <n v="1"/>
    <n v="3"/>
    <n v="5"/>
    <n v="3"/>
    <n v="1"/>
    <n v="0"/>
    <n v="2"/>
    <x v="1"/>
    <d v="2024-12-17T00:00:00"/>
    <x v="1"/>
    <s v="Involuntary"/>
    <x v="2"/>
    <x v="1"/>
    <x v="2"/>
    <x v="0"/>
    <x v="4"/>
  </r>
  <r>
    <x v="306"/>
    <s v="No"/>
    <x v="1"/>
    <s v="Research Scientist"/>
    <x v="0"/>
    <x v="0"/>
    <n v="5"/>
    <n v="58308"/>
    <n v="18"/>
    <n v="37.5"/>
    <s v="No"/>
    <n v="35"/>
    <s v="Man"/>
    <s v="Single"/>
    <x v="0"/>
    <n v="1"/>
    <s v="Bachelor's Degree"/>
    <s v="Medical"/>
    <n v="3"/>
    <n v="0"/>
    <n v="6"/>
    <n v="3"/>
    <n v="6"/>
    <n v="4"/>
    <n v="0"/>
    <n v="4"/>
    <x v="1"/>
    <d v="2022-04-08T00:00:00"/>
    <x v="0"/>
    <s v="Voluntary"/>
    <x v="1"/>
    <x v="0"/>
    <x v="3"/>
    <x v="0"/>
    <x v="6"/>
  </r>
  <r>
    <x v="307"/>
    <s v="No"/>
    <x v="1"/>
    <s v="Research Scientist"/>
    <x v="0"/>
    <x v="0"/>
    <n v="4"/>
    <n v="50016"/>
    <n v="18"/>
    <n v="37.5"/>
    <s v="Yes"/>
    <n v="29"/>
    <s v="Woman"/>
    <s v="Married"/>
    <x v="0"/>
    <n v="15"/>
    <s v="Trades Apprenticeship"/>
    <s v="Life Sciences"/>
    <n v="3"/>
    <n v="1"/>
    <n v="6"/>
    <n v="2"/>
    <n v="5"/>
    <n v="4"/>
    <n v="1"/>
    <n v="3"/>
    <x v="1"/>
    <d v="2023-01-28T00:00:00"/>
    <x v="0"/>
    <s v="Involuntary"/>
    <x v="1"/>
    <x v="1"/>
    <x v="3"/>
    <x v="1"/>
    <x v="6"/>
  </r>
  <r>
    <x v="308"/>
    <s v="No"/>
    <x v="1"/>
    <s v="Sales Executive"/>
    <x v="0"/>
    <x v="1"/>
    <n v="9"/>
    <n v="134868"/>
    <n v="14"/>
    <n v="37.5"/>
    <s v="No"/>
    <n v="55"/>
    <s v="Man"/>
    <s v="Married"/>
    <x v="0"/>
    <n v="1"/>
    <s v="Certificate or Diploma"/>
    <s v="Life Sciences"/>
    <n v="3"/>
    <n v="1"/>
    <n v="24"/>
    <n v="4"/>
    <n v="1"/>
    <n v="0"/>
    <n v="1"/>
    <n v="0"/>
    <x v="0"/>
    <d v="2022-03-16T00:00:00"/>
    <x v="0"/>
    <s v="Voluntary"/>
    <x v="3"/>
    <x v="1"/>
    <x v="0"/>
    <x v="0"/>
    <x v="4"/>
  </r>
  <r>
    <x v="309"/>
    <s v="No"/>
    <x v="1"/>
    <s v="Manufacturing Director"/>
    <x v="1"/>
    <x v="0"/>
    <n v="6"/>
    <n v="63900"/>
    <n v="15"/>
    <n v="37.5"/>
    <s v="No"/>
    <n v="34"/>
    <s v="Man"/>
    <s v="Married"/>
    <x v="0"/>
    <n v="1"/>
    <s v="Certificate or Diploma"/>
    <s v="Medical"/>
    <n v="3"/>
    <n v="0"/>
    <n v="5"/>
    <n v="2"/>
    <n v="5"/>
    <n v="2"/>
    <n v="1"/>
    <n v="3"/>
    <x v="1"/>
    <d v="2024-01-12T00:00:00"/>
    <x v="1"/>
    <s v="Involuntary"/>
    <x v="3"/>
    <x v="3"/>
    <x v="1"/>
    <x v="0"/>
    <x v="6"/>
  </r>
  <r>
    <x v="310"/>
    <s v="No"/>
    <x v="1"/>
    <s v="Manufacturing Director"/>
    <x v="1"/>
    <x v="0"/>
    <n v="8"/>
    <n v="99120"/>
    <n v="11"/>
    <n v="37.5"/>
    <s v="No"/>
    <n v="56"/>
    <s v="Man"/>
    <s v="Single"/>
    <x v="0"/>
    <n v="7"/>
    <s v="Bachelor's Degree"/>
    <s v="Life Sciences"/>
    <n v="3"/>
    <n v="0"/>
    <n v="37"/>
    <n v="3"/>
    <n v="6"/>
    <n v="4"/>
    <n v="0"/>
    <n v="2"/>
    <x v="1"/>
    <d v="2024-06-18T00:00:00"/>
    <x v="1"/>
    <s v="Involuntary"/>
    <x v="0"/>
    <x v="1"/>
    <x v="3"/>
    <x v="1"/>
    <x v="1"/>
  </r>
  <r>
    <x v="311"/>
    <s v="No"/>
    <x v="1"/>
    <s v="Research Scientist"/>
    <x v="0"/>
    <x v="0"/>
    <n v="4"/>
    <n v="50244"/>
    <n v="12"/>
    <n v="37.5"/>
    <s v="No"/>
    <n v="27"/>
    <s v="Woman"/>
    <s v="Divorced"/>
    <x v="0"/>
    <n v="6"/>
    <s v="Master's Degree"/>
    <s v="Medical"/>
    <n v="3"/>
    <n v="2"/>
    <n v="6"/>
    <n v="5"/>
    <n v="5"/>
    <n v="3"/>
    <n v="0"/>
    <n v="3"/>
    <x v="1"/>
    <d v="2024-02-29T00:00:00"/>
    <x v="1"/>
    <s v="Involuntary"/>
    <x v="3"/>
    <x v="0"/>
    <x v="1"/>
    <x v="1"/>
    <x v="6"/>
  </r>
  <r>
    <x v="312"/>
    <s v="No"/>
    <x v="1"/>
    <s v="HR Operations Specialist"/>
    <x v="0"/>
    <x v="2"/>
    <n v="4"/>
    <n v="50244"/>
    <n v="14"/>
    <n v="37.5"/>
    <s v="No"/>
    <n v="25"/>
    <s v="Woman"/>
    <s v="Married"/>
    <x v="0"/>
    <n v="2"/>
    <s v="Bachelor's Degree"/>
    <s v="Human Resources"/>
    <n v="3"/>
    <n v="0"/>
    <n v="6"/>
    <n v="3"/>
    <n v="2"/>
    <n v="0"/>
    <n v="1"/>
    <n v="2"/>
    <x v="0"/>
    <d v="2024-05-22T00:00:00"/>
    <x v="1"/>
    <s v="Involuntary"/>
    <x v="2"/>
    <x v="3"/>
    <x v="1"/>
    <x v="0"/>
    <x v="1"/>
  </r>
  <r>
    <x v="313"/>
    <s v="No"/>
    <x v="1"/>
    <s v="Sales Representative"/>
    <x v="0"/>
    <x v="1"/>
    <n v="4"/>
    <n v="51864"/>
    <n v="13"/>
    <n v="37.5"/>
    <s v="No"/>
    <n v="23"/>
    <s v="Man"/>
    <s v="Divorced"/>
    <x v="0"/>
    <n v="2"/>
    <s v="Trades Apprenticeship"/>
    <s v="Technical Degree"/>
    <n v="3"/>
    <n v="1"/>
    <n v="3"/>
    <n v="3"/>
    <n v="0"/>
    <n v="0"/>
    <n v="0"/>
    <n v="0"/>
    <x v="0"/>
    <d v="2022-05-28T00:00:00"/>
    <x v="0"/>
    <s v="Involuntary"/>
    <x v="2"/>
    <x v="2"/>
    <x v="1"/>
    <x v="0"/>
    <x v="2"/>
  </r>
  <r>
    <x v="314"/>
    <s v="No"/>
    <x v="1"/>
    <s v="Laboratory Technician"/>
    <x v="0"/>
    <x v="0"/>
    <n v="3"/>
    <n v="48900"/>
    <n v="23"/>
    <n v="37.5"/>
    <s v="No"/>
    <n v="51"/>
    <s v="Man"/>
    <s v="Married"/>
    <x v="0"/>
    <n v="9"/>
    <s v="Master's Degree"/>
    <s v="Life Sciences"/>
    <n v="4"/>
    <n v="2"/>
    <n v="10"/>
    <n v="4"/>
    <n v="4"/>
    <n v="2"/>
    <n v="0"/>
    <n v="3"/>
    <x v="1"/>
    <d v="2022-09-11T00:00:00"/>
    <x v="0"/>
    <s v="Voluntary"/>
    <x v="0"/>
    <x v="1"/>
    <x v="2"/>
    <x v="0"/>
    <x v="5"/>
  </r>
  <r>
    <x v="315"/>
    <s v="No"/>
    <x v="1"/>
    <s v="Healthcare Representative"/>
    <x v="0"/>
    <x v="0"/>
    <n v="6"/>
    <n v="61824"/>
    <n v="19"/>
    <n v="37.5"/>
    <s v="No"/>
    <n v="30"/>
    <s v="Man"/>
    <s v="Married"/>
    <x v="0"/>
    <n v="2"/>
    <s v="Bachelor's Degree"/>
    <s v="Life Sciences"/>
    <n v="3"/>
    <n v="3"/>
    <n v="11"/>
    <n v="3"/>
    <n v="11"/>
    <n v="10"/>
    <n v="10"/>
    <n v="8"/>
    <x v="2"/>
    <d v="2024-10-16T00:00:00"/>
    <x v="1"/>
    <s v="Involuntary"/>
    <x v="2"/>
    <x v="1"/>
    <x v="3"/>
    <x v="0"/>
    <x v="1"/>
  </r>
  <r>
    <x v="316"/>
    <s v="No"/>
    <x v="1"/>
    <s v="Laboratory Technician"/>
    <x v="0"/>
    <x v="0"/>
    <n v="4"/>
    <n v="50556"/>
    <n v="13"/>
    <n v="37.5"/>
    <s v="Yes"/>
    <n v="40"/>
    <s v="Woman"/>
    <s v="Married"/>
    <x v="0"/>
    <n v="10"/>
    <s v="Master's Degree"/>
    <s v="Life Sciences"/>
    <n v="3"/>
    <n v="1"/>
    <n v="10"/>
    <n v="3"/>
    <n v="7"/>
    <n v="7"/>
    <n v="1"/>
    <n v="7"/>
    <x v="1"/>
    <d v="2025-06-23T00:00:00"/>
    <x v="1"/>
    <s v="Voluntary"/>
    <x v="0"/>
    <x v="0"/>
    <x v="1"/>
    <x v="0"/>
    <x v="5"/>
  </r>
  <r>
    <x v="317"/>
    <s v="No"/>
    <x v="1"/>
    <s v="Healthcare Representative"/>
    <x v="0"/>
    <x v="0"/>
    <n v="10"/>
    <n v="174036"/>
    <n v="22"/>
    <n v="37.5"/>
    <s v="No"/>
    <n v="40"/>
    <s v="Man"/>
    <s v="Married"/>
    <x v="1"/>
    <n v="1"/>
    <s v="Master's Degree"/>
    <s v="Life Sciences"/>
    <n v="4"/>
    <n v="1"/>
    <n v="22"/>
    <n v="3"/>
    <n v="22"/>
    <n v="3"/>
    <n v="11"/>
    <n v="11"/>
    <x v="2"/>
    <d v="2023-05-21T00:00:00"/>
    <x v="0"/>
    <s v="Voluntary"/>
    <x v="2"/>
    <x v="3"/>
    <x v="0"/>
    <x v="1"/>
    <x v="1"/>
  </r>
  <r>
    <x v="318"/>
    <s v="No"/>
    <x v="1"/>
    <s v="Sales Representative"/>
    <x v="0"/>
    <x v="1"/>
    <n v="4"/>
    <n v="50640"/>
    <n v="19"/>
    <n v="37.5"/>
    <s v="Yes"/>
    <n v="34"/>
    <s v="Woman"/>
    <s v="Married"/>
    <x v="0"/>
    <n v="10"/>
    <s v="Master's Degree"/>
    <s v="Life Sciences"/>
    <n v="3"/>
    <n v="1"/>
    <n v="1"/>
    <n v="2"/>
    <n v="1"/>
    <n v="1"/>
    <n v="0"/>
    <n v="0"/>
    <x v="0"/>
    <d v="2025-03-03T00:00:00"/>
    <x v="1"/>
    <s v="Voluntary"/>
    <x v="2"/>
    <x v="0"/>
    <x v="0"/>
    <x v="0"/>
    <x v="5"/>
  </r>
  <r>
    <x v="319"/>
    <s v="No"/>
    <x v="1"/>
    <s v="Sales Executive"/>
    <x v="0"/>
    <x v="1"/>
    <n v="7"/>
    <n v="77292"/>
    <n v="22"/>
    <n v="37.5"/>
    <s v="Yes"/>
    <n v="51"/>
    <s v="Man"/>
    <s v="Single"/>
    <x v="0"/>
    <n v="21"/>
    <s v="Master's Degree"/>
    <s v="Marketing"/>
    <n v="4"/>
    <n v="0"/>
    <n v="11"/>
    <n v="2"/>
    <n v="10"/>
    <n v="7"/>
    <n v="1"/>
    <n v="0"/>
    <x v="2"/>
    <d v="2025-12-17T00:00:00"/>
    <x v="1"/>
    <s v="Involuntary"/>
    <x v="2"/>
    <x v="1"/>
    <x v="0"/>
    <x v="3"/>
    <x v="4"/>
  </r>
  <r>
    <x v="320"/>
    <s v="No"/>
    <x v="1"/>
    <s v="Sales Representative"/>
    <x v="0"/>
    <x v="1"/>
    <n v="4"/>
    <n v="50772"/>
    <n v="18"/>
    <n v="37.5"/>
    <s v="No"/>
    <n v="34"/>
    <s v="Non-Binary"/>
    <s v="Married"/>
    <x v="1"/>
    <n v="2"/>
    <s v="Master's Degree"/>
    <s v="Marketing"/>
    <n v="3"/>
    <n v="1"/>
    <n v="6"/>
    <n v="3"/>
    <n v="4"/>
    <n v="3"/>
    <n v="1"/>
    <n v="2"/>
    <x v="1"/>
    <d v="2022-05-16T00:00:00"/>
    <x v="0"/>
    <s v="Involuntary"/>
    <x v="2"/>
    <x v="0"/>
    <x v="0"/>
    <x v="0"/>
    <x v="5"/>
  </r>
  <r>
    <x v="321"/>
    <s v="No"/>
    <x v="1"/>
    <s v="Laboratory Technician"/>
    <x v="0"/>
    <x v="0"/>
    <n v="4"/>
    <n v="50784"/>
    <n v="14"/>
    <n v="37.5"/>
    <s v="No"/>
    <n v="39"/>
    <s v="Non-Binary"/>
    <s v="Divorced"/>
    <x v="0"/>
    <n v="1"/>
    <s v="Master's Degree"/>
    <s v="Medical"/>
    <n v="3"/>
    <n v="3"/>
    <n v="7"/>
    <n v="1"/>
    <n v="3"/>
    <n v="2"/>
    <n v="1"/>
    <n v="2"/>
    <x v="1"/>
    <d v="2024-05-16T00:00:00"/>
    <x v="1"/>
    <s v="Involuntary"/>
    <x v="2"/>
    <x v="0"/>
    <x v="1"/>
    <x v="0"/>
    <x v="4"/>
  </r>
  <r>
    <x v="322"/>
    <s v="No"/>
    <x v="1"/>
    <s v="Healthcare Representative"/>
    <x v="0"/>
    <x v="0"/>
    <n v="10"/>
    <n v="140076"/>
    <n v="13"/>
    <n v="37.5"/>
    <s v="Yes"/>
    <n v="46"/>
    <s v="Man"/>
    <s v="Married"/>
    <x v="1"/>
    <n v="1"/>
    <s v="Bachelor's Degree"/>
    <s v="Medical"/>
    <n v="3"/>
    <n v="1"/>
    <n v="21"/>
    <n v="5"/>
    <n v="10"/>
    <n v="9"/>
    <n v="9"/>
    <n v="5"/>
    <x v="2"/>
    <d v="2025-08-29T00:00:00"/>
    <x v="1"/>
    <s v="Involuntary"/>
    <x v="2"/>
    <x v="2"/>
    <x v="1"/>
    <x v="1"/>
    <x v="6"/>
  </r>
  <r>
    <x v="323"/>
    <s v="No"/>
    <x v="1"/>
    <s v="Sales Executive"/>
    <x v="0"/>
    <x v="1"/>
    <n v="7"/>
    <n v="72120"/>
    <n v="16"/>
    <n v="37.5"/>
    <s v="No"/>
    <n v="32"/>
    <s v="Man"/>
    <s v="Single"/>
    <x v="0"/>
    <n v="6"/>
    <s v="Master's Degree"/>
    <s v="Medical"/>
    <n v="3"/>
    <n v="0"/>
    <n v="12"/>
    <n v="0"/>
    <n v="11"/>
    <n v="8"/>
    <n v="5"/>
    <n v="7"/>
    <x v="2"/>
    <d v="2025-07-24T00:00:00"/>
    <x v="1"/>
    <s v="Involuntary"/>
    <x v="1"/>
    <x v="0"/>
    <x v="3"/>
    <x v="0"/>
    <x v="6"/>
  </r>
  <r>
    <x v="324"/>
    <s v="No"/>
    <x v="1"/>
    <s v="Research Scientist"/>
    <x v="0"/>
    <x v="0"/>
    <n v="4"/>
    <n v="50928"/>
    <n v="13"/>
    <n v="37.5"/>
    <s v="No"/>
    <n v="22"/>
    <s v="Non-Binary"/>
    <s v="Married"/>
    <x v="0"/>
    <n v="11"/>
    <s v="Bachelor's Degree"/>
    <s v="Medical"/>
    <n v="3"/>
    <n v="1"/>
    <n v="2"/>
    <n v="1"/>
    <n v="2"/>
    <n v="1"/>
    <n v="1"/>
    <n v="2"/>
    <x v="0"/>
    <d v="2022-09-29T00:00:00"/>
    <x v="0"/>
    <s v="Voluntary"/>
    <x v="3"/>
    <x v="3"/>
    <x v="0"/>
    <x v="0"/>
    <x v="2"/>
  </r>
  <r>
    <x v="325"/>
    <s v="No"/>
    <x v="1"/>
    <s v="Sales Executive"/>
    <x v="0"/>
    <x v="1"/>
    <n v="6"/>
    <n v="62652"/>
    <n v="15"/>
    <n v="37.5"/>
    <s v="No"/>
    <n v="28"/>
    <s v="Man"/>
    <s v="Married"/>
    <x v="2"/>
    <n v="4"/>
    <s v="Bachelor's Degree"/>
    <s v="Medical"/>
    <n v="3"/>
    <n v="0"/>
    <n v="5"/>
    <n v="3"/>
    <n v="5"/>
    <n v="4"/>
    <n v="0"/>
    <n v="4"/>
    <x v="1"/>
    <d v="2023-05-27T00:00:00"/>
    <x v="0"/>
    <s v="Voluntary"/>
    <x v="1"/>
    <x v="0"/>
    <x v="2"/>
    <x v="2"/>
    <x v="1"/>
  </r>
  <r>
    <x v="326"/>
    <s v="No"/>
    <x v="1"/>
    <s v="Sales Executive"/>
    <x v="0"/>
    <x v="1"/>
    <n v="4"/>
    <n v="178464"/>
    <n v="13"/>
    <n v="37.5"/>
    <s v="No"/>
    <n v="58"/>
    <s v="Man"/>
    <s v="Single"/>
    <x v="0"/>
    <n v="10"/>
    <s v="Master's Degree"/>
    <s v="Medical"/>
    <n v="3"/>
    <n v="0"/>
    <n v="38"/>
    <n v="1"/>
    <n v="37"/>
    <n v="10"/>
    <n v="1"/>
    <n v="8"/>
    <x v="2"/>
    <d v="2023-06-25T00:00:00"/>
    <x v="0"/>
    <s v="Involuntary"/>
    <x v="0"/>
    <x v="0"/>
    <x v="1"/>
    <x v="1"/>
    <x v="4"/>
  </r>
  <r>
    <x v="327"/>
    <s v="No"/>
    <x v="1"/>
    <s v="Laboratory Technician"/>
    <x v="0"/>
    <x v="0"/>
    <n v="3"/>
    <n v="48504"/>
    <n v="12"/>
    <n v="37.5"/>
    <s v="No"/>
    <n v="44"/>
    <s v="Man"/>
    <s v="Married"/>
    <x v="2"/>
    <n v="23"/>
    <s v="Bachelor's Degree"/>
    <s v="Medical"/>
    <n v="3"/>
    <n v="1"/>
    <n v="17"/>
    <n v="3"/>
    <n v="3"/>
    <n v="2"/>
    <n v="1"/>
    <n v="2"/>
    <x v="1"/>
    <d v="2024-05-14T00:00:00"/>
    <x v="1"/>
    <s v="Voluntary"/>
    <x v="1"/>
    <x v="3"/>
    <x v="1"/>
    <x v="2"/>
    <x v="1"/>
  </r>
  <r>
    <x v="328"/>
    <s v="No"/>
    <x v="1"/>
    <s v="Research Scientist"/>
    <x v="0"/>
    <x v="0"/>
    <n v="5"/>
    <n v="59472"/>
    <n v="13"/>
    <n v="37.5"/>
    <s v="No"/>
    <n v="32"/>
    <s v="Man"/>
    <s v="Single"/>
    <x v="0"/>
    <n v="1"/>
    <s v="Trades Apprenticeship"/>
    <s v="Life Sciences"/>
    <n v="3"/>
    <n v="0"/>
    <n v="1"/>
    <n v="2"/>
    <n v="1"/>
    <n v="0"/>
    <n v="0"/>
    <n v="0"/>
    <x v="0"/>
    <d v="2022-05-25T00:00:00"/>
    <x v="0"/>
    <s v="Involuntary"/>
    <x v="0"/>
    <x v="2"/>
    <x v="0"/>
    <x v="0"/>
    <x v="4"/>
  </r>
  <r>
    <x v="329"/>
    <s v="No"/>
    <x v="1"/>
    <s v="Healthcare Representative"/>
    <x v="0"/>
    <x v="0"/>
    <n v="7"/>
    <n v="73956"/>
    <n v="14"/>
    <n v="37.5"/>
    <s v="No"/>
    <n v="37"/>
    <s v="Man"/>
    <s v="Divorced"/>
    <x v="2"/>
    <n v="2"/>
    <s v="Certificate or Diploma"/>
    <s v="Life Sciences"/>
    <n v="3"/>
    <n v="1"/>
    <n v="17"/>
    <n v="2"/>
    <n v="1"/>
    <n v="0"/>
    <n v="0"/>
    <n v="0"/>
    <x v="0"/>
    <d v="2022-02-14T00:00:00"/>
    <x v="0"/>
    <s v="Involuntary"/>
    <x v="2"/>
    <x v="1"/>
    <x v="0"/>
    <x v="2"/>
    <x v="7"/>
  </r>
  <r>
    <x v="330"/>
    <s v="No"/>
    <x v="1"/>
    <s v="Laboratory Technician"/>
    <x v="0"/>
    <x v="0"/>
    <n v="4"/>
    <n v="51240"/>
    <n v="14"/>
    <n v="37.5"/>
    <s v="No"/>
    <n v="45"/>
    <s v="Non-Binary"/>
    <s v="Divorced"/>
    <x v="0"/>
    <n v="1"/>
    <s v="Master's Degree"/>
    <s v="Medical"/>
    <n v="3"/>
    <n v="2"/>
    <n v="8"/>
    <n v="2"/>
    <n v="5"/>
    <n v="3"/>
    <n v="0"/>
    <n v="2"/>
    <x v="1"/>
    <d v="2025-08-22T00:00:00"/>
    <x v="1"/>
    <s v="Involuntary"/>
    <x v="0"/>
    <x v="1"/>
    <x v="0"/>
    <x v="0"/>
    <x v="7"/>
  </r>
  <r>
    <x v="331"/>
    <s v="No"/>
    <x v="1"/>
    <s v="Research Scientist"/>
    <x v="0"/>
    <x v="0"/>
    <n v="4"/>
    <n v="51288"/>
    <n v="14"/>
    <n v="37.5"/>
    <s v="No"/>
    <n v="45"/>
    <s v="Non-Binary"/>
    <s v="Single"/>
    <x v="0"/>
    <n v="2"/>
    <s v="Bachelor's Degree"/>
    <s v="Life Sciences"/>
    <n v="3"/>
    <n v="0"/>
    <n v="1"/>
    <n v="3"/>
    <n v="1"/>
    <n v="0"/>
    <n v="0"/>
    <n v="0"/>
    <x v="0"/>
    <d v="2025-07-17T00:00:00"/>
    <x v="1"/>
    <s v="Voluntary"/>
    <x v="1"/>
    <x v="0"/>
    <x v="0"/>
    <x v="0"/>
    <x v="4"/>
  </r>
  <r>
    <x v="332"/>
    <s v="No"/>
    <x v="1"/>
    <s v="Research Scientist"/>
    <x v="0"/>
    <x v="0"/>
    <n v="5"/>
    <n v="58668"/>
    <n v="11"/>
    <n v="37.5"/>
    <s v="No"/>
    <n v="25"/>
    <s v="Man"/>
    <s v="Married"/>
    <x v="0"/>
    <n v="7"/>
    <s v="Trades Apprenticeship"/>
    <s v="Medical"/>
    <n v="3"/>
    <n v="2"/>
    <n v="2"/>
    <n v="2"/>
    <n v="2"/>
    <n v="2"/>
    <n v="2"/>
    <n v="1"/>
    <x v="0"/>
    <d v="2022-01-09T00:00:00"/>
    <x v="0"/>
    <s v="Voluntary"/>
    <x v="0"/>
    <x v="1"/>
    <x v="1"/>
    <x v="0"/>
    <x v="0"/>
  </r>
  <r>
    <x v="333"/>
    <s v="No"/>
    <x v="1"/>
    <s v="Research Scientist"/>
    <x v="0"/>
    <x v="0"/>
    <n v="4"/>
    <n v="51348"/>
    <n v="16"/>
    <n v="37.5"/>
    <s v="No"/>
    <n v="27"/>
    <s v="Non-Binary"/>
    <s v="Single"/>
    <x v="0"/>
    <n v="9"/>
    <s v="Bachelor's Degree"/>
    <s v="Medical"/>
    <n v="3"/>
    <n v="0"/>
    <n v="7"/>
    <n v="2"/>
    <n v="7"/>
    <n v="7"/>
    <n v="0"/>
    <n v="3"/>
    <x v="1"/>
    <d v="2024-01-06T00:00:00"/>
    <x v="1"/>
    <s v="Involuntary"/>
    <x v="0"/>
    <x v="3"/>
    <x v="0"/>
    <x v="1"/>
    <x v="4"/>
  </r>
  <r>
    <x v="334"/>
    <s v="No"/>
    <x v="1"/>
    <s v="Laboratory Technician"/>
    <x v="0"/>
    <x v="0"/>
    <n v="5"/>
    <n v="57288"/>
    <n v="12"/>
    <n v="37.5"/>
    <s v="No"/>
    <n v="24"/>
    <s v="Man"/>
    <s v="Married"/>
    <x v="0"/>
    <n v="18"/>
    <s v="Trades Apprenticeship"/>
    <s v="Life Sciences"/>
    <n v="3"/>
    <n v="1"/>
    <n v="6"/>
    <n v="2"/>
    <n v="5"/>
    <n v="3"/>
    <n v="1"/>
    <n v="2"/>
    <x v="1"/>
    <d v="2022-02-16T00:00:00"/>
    <x v="0"/>
    <s v="Involuntary"/>
    <x v="1"/>
    <x v="0"/>
    <x v="1"/>
    <x v="0"/>
    <x v="1"/>
  </r>
  <r>
    <x v="335"/>
    <s v="No"/>
    <x v="1"/>
    <s v="Laboratory Technician"/>
    <x v="0"/>
    <x v="0"/>
    <n v="4"/>
    <n v="51456"/>
    <n v="12"/>
    <n v="37.5"/>
    <s v="No"/>
    <n v="38"/>
    <s v="Non-Binary"/>
    <s v="Single"/>
    <x v="0"/>
    <n v="9"/>
    <s v="Certificate or Diploma"/>
    <s v="Life Sciences"/>
    <n v="3"/>
    <n v="0"/>
    <n v="2"/>
    <n v="3"/>
    <n v="2"/>
    <n v="2"/>
    <n v="2"/>
    <n v="1"/>
    <x v="0"/>
    <d v="2024-05-25T00:00:00"/>
    <x v="1"/>
    <s v="Voluntary"/>
    <x v="2"/>
    <x v="1"/>
    <x v="1"/>
    <x v="0"/>
    <x v="5"/>
  </r>
  <r>
    <x v="336"/>
    <s v="No"/>
    <x v="1"/>
    <s v="Sales Executive"/>
    <x v="0"/>
    <x v="1"/>
    <n v="9"/>
    <n v="101136"/>
    <n v="12"/>
    <n v="37.5"/>
    <s v="No"/>
    <n v="37"/>
    <s v="Man"/>
    <s v="Single"/>
    <x v="0"/>
    <n v="3"/>
    <s v="Bachelor's Degree"/>
    <s v="Life Sciences"/>
    <n v="3"/>
    <n v="0"/>
    <n v="12"/>
    <n v="3"/>
    <n v="5"/>
    <n v="3"/>
    <n v="1"/>
    <n v="3"/>
    <x v="1"/>
    <d v="2023-03-09T00:00:00"/>
    <x v="0"/>
    <s v="Involuntary"/>
    <x v="2"/>
    <x v="1"/>
    <x v="3"/>
    <x v="0"/>
    <x v="1"/>
  </r>
  <r>
    <x v="337"/>
    <s v="No"/>
    <x v="1"/>
    <s v="Manager, Sales"/>
    <x v="1"/>
    <x v="1"/>
    <n v="4"/>
    <n v="215508"/>
    <n v="12"/>
    <n v="37.5"/>
    <s v="Yes"/>
    <n v="43"/>
    <s v="Man"/>
    <s v="Married"/>
    <x v="1"/>
    <n v="26"/>
    <s v="Certificate or Diploma"/>
    <s v="Life Sciences"/>
    <n v="3"/>
    <n v="2"/>
    <n v="25"/>
    <n v="3"/>
    <n v="25"/>
    <n v="12"/>
    <n v="4"/>
    <n v="12"/>
    <x v="2"/>
    <d v="2023-01-21T00:00:00"/>
    <x v="0"/>
    <s v="Involuntary"/>
    <x v="2"/>
    <x v="1"/>
    <x v="0"/>
    <x v="2"/>
    <x v="7"/>
  </r>
  <r>
    <x v="338"/>
    <s v="No"/>
    <x v="1"/>
    <s v="Research Scientist"/>
    <x v="0"/>
    <x v="0"/>
    <n v="5"/>
    <n v="55356"/>
    <n v="25"/>
    <n v="37.5"/>
    <s v="No"/>
    <n v="30"/>
    <s v="Man"/>
    <s v="Divorced"/>
    <x v="1"/>
    <n v="23"/>
    <s v="Bachelor's Degree"/>
    <s v="Life Sciences"/>
    <n v="4"/>
    <n v="3"/>
    <n v="10"/>
    <n v="2"/>
    <n v="10"/>
    <n v="7"/>
    <n v="0"/>
    <n v="9"/>
    <x v="2"/>
    <d v="2024-10-14T00:00:00"/>
    <x v="1"/>
    <s v="Voluntary"/>
    <x v="3"/>
    <x v="0"/>
    <x v="1"/>
    <x v="1"/>
    <x v="6"/>
  </r>
  <r>
    <x v="339"/>
    <s v="No"/>
    <x v="1"/>
    <s v="Sales Executive"/>
    <x v="0"/>
    <x v="1"/>
    <n v="8"/>
    <n v="85752"/>
    <n v="13"/>
    <n v="37.5"/>
    <s v="No"/>
    <n v="33"/>
    <s v="Man"/>
    <s v="Married"/>
    <x v="2"/>
    <n v="22"/>
    <s v="Certificate or Diploma"/>
    <s v="Marketing"/>
    <n v="3"/>
    <n v="1"/>
    <n v="8"/>
    <n v="2"/>
    <n v="7"/>
    <n v="7"/>
    <n v="0"/>
    <n v="7"/>
    <x v="1"/>
    <d v="2023-03-08T00:00:00"/>
    <x v="0"/>
    <s v="Involuntary"/>
    <x v="2"/>
    <x v="3"/>
    <x v="3"/>
    <x v="2"/>
    <x v="2"/>
  </r>
  <r>
    <x v="340"/>
    <s v="No"/>
    <x v="1"/>
    <s v="Research Director"/>
    <x v="1"/>
    <x v="0"/>
    <n v="5"/>
    <n v="246444"/>
    <n v="13"/>
    <n v="37.5"/>
    <s v="No"/>
    <n v="51"/>
    <s v="Man"/>
    <s v="Single"/>
    <x v="0"/>
    <n v="6"/>
    <s v="Bachelor's Degree"/>
    <s v="Life Sciences"/>
    <n v="3"/>
    <n v="0"/>
    <n v="23"/>
    <n v="5"/>
    <n v="20"/>
    <n v="18"/>
    <n v="15"/>
    <n v="15"/>
    <x v="2"/>
    <d v="2023-11-11T00:00:00"/>
    <x v="0"/>
    <s v="Voluntary"/>
    <x v="3"/>
    <x v="0"/>
    <x v="1"/>
    <x v="0"/>
    <x v="2"/>
  </r>
  <r>
    <x v="341"/>
    <s v="No"/>
    <x v="1"/>
    <s v="Laboratory Technician"/>
    <x v="0"/>
    <x v="0"/>
    <n v="4"/>
    <n v="54276"/>
    <n v="14"/>
    <n v="37.5"/>
    <s v="No"/>
    <n v="22"/>
    <s v="Man"/>
    <s v="Married"/>
    <x v="0"/>
    <n v="2"/>
    <s v="Trades Apprenticeship"/>
    <s v="Technical Degree"/>
    <n v="3"/>
    <n v="1"/>
    <n v="3"/>
    <n v="2"/>
    <n v="2"/>
    <n v="1"/>
    <n v="2"/>
    <n v="1"/>
    <x v="0"/>
    <d v="2022-08-03T00:00:00"/>
    <x v="0"/>
    <s v="Voluntary"/>
    <x v="2"/>
    <x v="1"/>
    <x v="1"/>
    <x v="0"/>
    <x v="5"/>
  </r>
  <r>
    <x v="342"/>
    <s v="No"/>
    <x v="1"/>
    <s v="Sales Executive"/>
    <x v="0"/>
    <x v="1"/>
    <n v="9"/>
    <n v="110268"/>
    <n v="13"/>
    <n v="37.5"/>
    <s v="Yes"/>
    <n v="41"/>
    <s v="Man"/>
    <s v="Divorced"/>
    <x v="0"/>
    <n v="9"/>
    <s v="Trades Apprenticeship"/>
    <s v="Life Sciences"/>
    <n v="3"/>
    <n v="1"/>
    <n v="12"/>
    <n v="2"/>
    <n v="9"/>
    <n v="7"/>
    <n v="0"/>
    <n v="7"/>
    <x v="1"/>
    <d v="2025-02-07T00:00:00"/>
    <x v="1"/>
    <s v="Involuntary"/>
    <x v="2"/>
    <x v="0"/>
    <x v="1"/>
    <x v="0"/>
    <x v="4"/>
  </r>
  <r>
    <x v="343"/>
    <s v="No"/>
    <x v="1"/>
    <s v="Manufacturing Director"/>
    <x v="1"/>
    <x v="0"/>
    <n v="7"/>
    <n v="71292"/>
    <n v="20"/>
    <n v="37.5"/>
    <s v="No"/>
    <n v="36"/>
    <s v="Man"/>
    <s v="Divorced"/>
    <x v="0"/>
    <n v="6"/>
    <s v="Certificate or Diploma"/>
    <s v="Medical"/>
    <n v="4"/>
    <n v="2"/>
    <n v="7"/>
    <n v="0"/>
    <n v="3"/>
    <n v="2"/>
    <n v="0"/>
    <n v="1"/>
    <x v="1"/>
    <d v="2023-05-21T00:00:00"/>
    <x v="0"/>
    <s v="Involuntary"/>
    <x v="1"/>
    <x v="3"/>
    <x v="0"/>
    <x v="0"/>
    <x v="1"/>
  </r>
  <r>
    <x v="344"/>
    <s v="No"/>
    <x v="1"/>
    <s v="Research Scientist"/>
    <x v="0"/>
    <x v="0"/>
    <n v="4"/>
    <n v="51732"/>
    <n v="15"/>
    <n v="37.5"/>
    <s v="No"/>
    <n v="34"/>
    <s v="Non-Binary"/>
    <s v="Single"/>
    <x v="0"/>
    <n v="27"/>
    <s v="Certificate or Diploma"/>
    <s v="Medical"/>
    <n v="3"/>
    <n v="0"/>
    <n v="9"/>
    <n v="3"/>
    <n v="3"/>
    <n v="2"/>
    <n v="1"/>
    <n v="2"/>
    <x v="1"/>
    <d v="2025-06-24T00:00:00"/>
    <x v="1"/>
    <s v="Voluntary"/>
    <x v="0"/>
    <x v="3"/>
    <x v="0"/>
    <x v="0"/>
    <x v="5"/>
  </r>
  <r>
    <x v="345"/>
    <s v="No"/>
    <x v="1"/>
    <s v="Sales Executive"/>
    <x v="0"/>
    <x v="1"/>
    <n v="9"/>
    <n v="115668"/>
    <n v="18"/>
    <n v="37.5"/>
    <s v="No"/>
    <n v="25"/>
    <s v="Man"/>
    <s v="Married"/>
    <x v="0"/>
    <n v="28"/>
    <s v="Bachelor's Degree"/>
    <s v="Life Sciences"/>
    <n v="3"/>
    <n v="0"/>
    <n v="6"/>
    <n v="3"/>
    <n v="2"/>
    <n v="2"/>
    <n v="2"/>
    <n v="2"/>
    <x v="0"/>
    <d v="2022-08-15T00:00:00"/>
    <x v="0"/>
    <s v="Voluntary"/>
    <x v="3"/>
    <x v="0"/>
    <x v="0"/>
    <x v="0"/>
    <x v="1"/>
  </r>
  <r>
    <x v="346"/>
    <s v="No"/>
    <x v="1"/>
    <s v="Research Scientist"/>
    <x v="0"/>
    <x v="0"/>
    <n v="4"/>
    <n v="51816"/>
    <n v="19"/>
    <n v="37.5"/>
    <s v="No"/>
    <n v="27"/>
    <s v="Non-Binary"/>
    <s v="Single"/>
    <x v="0"/>
    <n v="4"/>
    <s v="Bachelor's Degree"/>
    <s v="Life Sciences"/>
    <n v="3"/>
    <n v="0"/>
    <n v="1"/>
    <n v="2"/>
    <n v="1"/>
    <n v="1"/>
    <n v="0"/>
    <n v="0"/>
    <x v="0"/>
    <d v="2023-11-19T00:00:00"/>
    <x v="0"/>
    <s v="Voluntary"/>
    <x v="1"/>
    <x v="0"/>
    <x v="1"/>
    <x v="0"/>
    <x v="1"/>
  </r>
  <r>
    <x v="347"/>
    <s v="No"/>
    <x v="1"/>
    <s v="HR Operations Specialist"/>
    <x v="0"/>
    <x v="2"/>
    <n v="8"/>
    <n v="88164"/>
    <n v="19"/>
    <n v="37.5"/>
    <s v="Yes"/>
    <n v="30"/>
    <s v="Man"/>
    <s v="Married"/>
    <x v="0"/>
    <n v="9"/>
    <s v="Bachelor's Degree"/>
    <s v="Human Resources"/>
    <n v="3"/>
    <n v="0"/>
    <n v="12"/>
    <n v="2"/>
    <n v="11"/>
    <n v="9"/>
    <n v="4"/>
    <n v="7"/>
    <x v="2"/>
    <d v="2024-08-13T00:00:00"/>
    <x v="1"/>
    <s v="Involuntary"/>
    <x v="2"/>
    <x v="1"/>
    <x v="0"/>
    <x v="3"/>
    <x v="4"/>
  </r>
  <r>
    <x v="348"/>
    <s v="No"/>
    <x v="1"/>
    <s v="Research Scientist"/>
    <x v="0"/>
    <x v="0"/>
    <n v="6"/>
    <n v="65424"/>
    <n v="13"/>
    <n v="37.5"/>
    <s v="No"/>
    <n v="45"/>
    <s v="Man"/>
    <s v="Single"/>
    <x v="0"/>
    <n v="29"/>
    <s v="Bachelor's Degree"/>
    <s v="Medical"/>
    <n v="3"/>
    <n v="0"/>
    <n v="9"/>
    <n v="2"/>
    <n v="6"/>
    <n v="5"/>
    <n v="0"/>
    <n v="3"/>
    <x v="1"/>
    <d v="2024-10-18T00:00:00"/>
    <x v="1"/>
    <s v="Voluntary"/>
    <x v="2"/>
    <x v="1"/>
    <x v="2"/>
    <x v="1"/>
    <x v="1"/>
  </r>
  <r>
    <x v="349"/>
    <s v="No"/>
    <x v="1"/>
    <s v="Sales Executive"/>
    <x v="0"/>
    <x v="1"/>
    <n v="6"/>
    <n v="68016"/>
    <n v="17"/>
    <n v="37.5"/>
    <s v="No"/>
    <n v="32"/>
    <s v="Man"/>
    <s v="Divorced"/>
    <x v="1"/>
    <n v="9"/>
    <s v="Certificate or Diploma"/>
    <s v="Medical"/>
    <n v="3"/>
    <n v="3"/>
    <n v="9"/>
    <n v="2"/>
    <n v="8"/>
    <n v="7"/>
    <n v="0"/>
    <n v="7"/>
    <x v="1"/>
    <d v="2024-05-07T00:00:00"/>
    <x v="1"/>
    <s v="Voluntary"/>
    <x v="0"/>
    <x v="1"/>
    <x v="0"/>
    <x v="2"/>
    <x v="12"/>
  </r>
  <r>
    <x v="350"/>
    <s v="No"/>
    <x v="1"/>
    <s v="Laboratory Technician"/>
    <x v="0"/>
    <x v="0"/>
    <n v="5"/>
    <n v="56640"/>
    <n v="13"/>
    <n v="37.5"/>
    <s v="No"/>
    <n v="30"/>
    <s v="Man"/>
    <s v="Single"/>
    <x v="0"/>
    <n v="2"/>
    <s v="Trades Apprenticeship"/>
    <s v="Medical"/>
    <n v="3"/>
    <n v="0"/>
    <n v="6"/>
    <n v="3"/>
    <n v="5"/>
    <n v="3"/>
    <n v="1"/>
    <n v="2"/>
    <x v="1"/>
    <d v="2024-08-04T00:00:00"/>
    <x v="1"/>
    <s v="Involuntary"/>
    <x v="1"/>
    <x v="1"/>
    <x v="0"/>
    <x v="0"/>
    <x v="5"/>
  </r>
  <r>
    <x v="351"/>
    <s v="No"/>
    <x v="1"/>
    <s v="Manager, R&amp;D"/>
    <x v="1"/>
    <x v="0"/>
    <n v="4"/>
    <n v="218172"/>
    <n v="13"/>
    <n v="37.5"/>
    <s v="No"/>
    <n v="41"/>
    <s v="Man"/>
    <s v="Divorced"/>
    <x v="1"/>
    <n v="10"/>
    <s v="Bachelor's Degree"/>
    <s v="Life Sciences"/>
    <n v="3"/>
    <n v="1"/>
    <n v="21"/>
    <n v="2"/>
    <n v="7"/>
    <n v="6"/>
    <n v="7"/>
    <n v="7"/>
    <x v="1"/>
    <d v="2022-11-30T00:00:00"/>
    <x v="0"/>
    <s v="Involuntary"/>
    <x v="0"/>
    <x v="2"/>
    <x v="2"/>
    <x v="1"/>
    <x v="6"/>
  </r>
  <r>
    <x v="352"/>
    <s v="No"/>
    <x v="1"/>
    <s v="Laboratory Technician"/>
    <x v="0"/>
    <x v="0"/>
    <n v="4"/>
    <n v="50856"/>
    <n v="21"/>
    <n v="37.5"/>
    <s v="No"/>
    <n v="41"/>
    <s v="Man"/>
    <s v="Married"/>
    <x v="0"/>
    <n v="9"/>
    <s v="Master's Degree"/>
    <s v="Life Sciences"/>
    <n v="4"/>
    <n v="1"/>
    <n v="7"/>
    <n v="2"/>
    <n v="5"/>
    <n v="0"/>
    <n v="1"/>
    <n v="4"/>
    <x v="1"/>
    <d v="2025-07-13T00:00:00"/>
    <x v="1"/>
    <s v="Voluntary"/>
    <x v="2"/>
    <x v="2"/>
    <x v="0"/>
    <x v="0"/>
    <x v="1"/>
  </r>
  <r>
    <x v="353"/>
    <s v="No"/>
    <x v="1"/>
    <s v="Laboratory Technician"/>
    <x v="0"/>
    <x v="0"/>
    <n v="4"/>
    <n v="51984"/>
    <n v="20"/>
    <n v="37.5"/>
    <s v="No"/>
    <n v="32"/>
    <s v="Transgender"/>
    <s v="Married"/>
    <x v="2"/>
    <n v="1"/>
    <s v="Bachelor's Degree"/>
    <s v="Life Sciences"/>
    <n v="4"/>
    <n v="0"/>
    <n v="5"/>
    <n v="3"/>
    <n v="3"/>
    <n v="0"/>
    <n v="0"/>
    <n v="2"/>
    <x v="1"/>
    <d v="2025-02-07T00:00:00"/>
    <x v="1"/>
    <s v="Voluntary"/>
    <x v="2"/>
    <x v="3"/>
    <x v="1"/>
    <x v="0"/>
    <x v="1"/>
  </r>
  <r>
    <x v="354"/>
    <s v="No"/>
    <x v="1"/>
    <s v="Sales Executive"/>
    <x v="0"/>
    <x v="1"/>
    <n v="8"/>
    <n v="99540"/>
    <n v="13"/>
    <n v="37.5"/>
    <s v="No"/>
    <n v="35"/>
    <s v="Man"/>
    <s v="Married"/>
    <x v="0"/>
    <n v="1"/>
    <s v="Doctorate"/>
    <s v="Marketing"/>
    <n v="3"/>
    <n v="2"/>
    <n v="10"/>
    <n v="3"/>
    <n v="10"/>
    <n v="8"/>
    <n v="0"/>
    <n v="6"/>
    <x v="2"/>
    <d v="2023-09-07T00:00:00"/>
    <x v="0"/>
    <s v="Voluntary"/>
    <x v="2"/>
    <x v="3"/>
    <x v="3"/>
    <x v="0"/>
    <x v="6"/>
  </r>
  <r>
    <x v="355"/>
    <s v="No"/>
    <x v="1"/>
    <s v="Sales Representative"/>
    <x v="0"/>
    <x v="1"/>
    <n v="4"/>
    <n v="51672"/>
    <n v="20"/>
    <n v="37.5"/>
    <s v="Yes"/>
    <n v="53"/>
    <s v="Man"/>
    <s v="Married"/>
    <x v="0"/>
    <n v="6"/>
    <s v="Certificate or Diploma"/>
    <s v="Marketing"/>
    <n v="4"/>
    <n v="1"/>
    <n v="13"/>
    <n v="3"/>
    <n v="7"/>
    <n v="7"/>
    <n v="4"/>
    <n v="5"/>
    <x v="1"/>
    <d v="2025-12-24T00:00:00"/>
    <x v="1"/>
    <s v="Voluntary"/>
    <x v="1"/>
    <x v="0"/>
    <x v="0"/>
    <x v="3"/>
    <x v="2"/>
  </r>
  <r>
    <x v="356"/>
    <s v="No"/>
    <x v="1"/>
    <s v="Laboratory Technician"/>
    <x v="0"/>
    <x v="0"/>
    <n v="4"/>
    <n v="52176"/>
    <n v="18"/>
    <n v="37.5"/>
    <s v="No"/>
    <n v="45"/>
    <s v="Man"/>
    <s v="Divorced"/>
    <x v="0"/>
    <n v="9"/>
    <s v="Bachelor's Degree"/>
    <s v="Life Sciences"/>
    <n v="3"/>
    <n v="1"/>
    <n v="20"/>
    <n v="2"/>
    <n v="17"/>
    <n v="9"/>
    <n v="0"/>
    <n v="15"/>
    <x v="2"/>
    <d v="2023-07-08T00:00:00"/>
    <x v="0"/>
    <s v="Voluntary"/>
    <x v="1"/>
    <x v="3"/>
    <x v="1"/>
    <x v="3"/>
    <x v="8"/>
  </r>
  <r>
    <x v="357"/>
    <s v="No"/>
    <x v="1"/>
    <s v="Manufacturing Director"/>
    <x v="1"/>
    <x v="0"/>
    <n v="6"/>
    <n v="63828"/>
    <n v="13"/>
    <n v="37.5"/>
    <s v="No"/>
    <n v="29"/>
    <s v="Transgender"/>
    <s v="Married"/>
    <x v="2"/>
    <n v="1"/>
    <s v="Trades Apprenticeship"/>
    <s v="Technical Degree"/>
    <n v="3"/>
    <n v="1"/>
    <n v="10"/>
    <n v="1"/>
    <n v="10"/>
    <n v="7"/>
    <n v="0"/>
    <n v="9"/>
    <x v="2"/>
    <d v="2024-02-03T00:00:00"/>
    <x v="1"/>
    <s v="Voluntary"/>
    <x v="0"/>
    <x v="0"/>
    <x v="3"/>
    <x v="0"/>
    <x v="1"/>
  </r>
  <r>
    <x v="358"/>
    <s v="No"/>
    <x v="1"/>
    <s v="Laboratory Technician"/>
    <x v="0"/>
    <x v="0"/>
    <n v="4"/>
    <n v="52092"/>
    <n v="13"/>
    <n v="37.5"/>
    <s v="No"/>
    <n v="27"/>
    <s v="Transgender"/>
    <s v="Divorced"/>
    <x v="0"/>
    <n v="2"/>
    <s v="Master's Degree"/>
    <s v="Life Sciences"/>
    <n v="3"/>
    <n v="1"/>
    <n v="1"/>
    <n v="6"/>
    <n v="1"/>
    <n v="0"/>
    <n v="0"/>
    <n v="0"/>
    <x v="0"/>
    <d v="2024-11-28T00:00:00"/>
    <x v="1"/>
    <s v="Voluntary"/>
    <x v="0"/>
    <x v="2"/>
    <x v="0"/>
    <x v="0"/>
    <x v="4"/>
  </r>
  <r>
    <x v="359"/>
    <s v="No"/>
    <x v="1"/>
    <s v="Research Scientist"/>
    <x v="0"/>
    <x v="0"/>
    <n v="4"/>
    <n v="52104"/>
    <n v="20"/>
    <n v="37.5"/>
    <s v="Yes"/>
    <n v="40"/>
    <s v="Transgender"/>
    <s v="Single"/>
    <x v="0"/>
    <n v="2"/>
    <s v="Trades Apprenticeship"/>
    <s v="Medical"/>
    <n v="4"/>
    <n v="0"/>
    <n v="5"/>
    <n v="2"/>
    <n v="4"/>
    <n v="2"/>
    <n v="2"/>
    <n v="3"/>
    <x v="1"/>
    <d v="2023-08-05T00:00:00"/>
    <x v="0"/>
    <s v="Involuntary"/>
    <x v="0"/>
    <x v="1"/>
    <x v="0"/>
    <x v="1"/>
    <x v="0"/>
  </r>
  <r>
    <x v="360"/>
    <s v="No"/>
    <x v="1"/>
    <s v="Manufacturing Director"/>
    <x v="1"/>
    <x v="0"/>
    <n v="8"/>
    <n v="85584"/>
    <n v="17"/>
    <n v="37.5"/>
    <s v="No"/>
    <n v="51"/>
    <s v="Transgender"/>
    <s v="Married"/>
    <x v="0"/>
    <n v="7"/>
    <s v="Master's Degree"/>
    <s v="Medical"/>
    <n v="3"/>
    <n v="0"/>
    <n v="10"/>
    <n v="2"/>
    <n v="1"/>
    <n v="0"/>
    <n v="0"/>
    <n v="0"/>
    <x v="0"/>
    <d v="2024-08-29T00:00:00"/>
    <x v="1"/>
    <s v="Voluntary"/>
    <x v="1"/>
    <x v="0"/>
    <x v="1"/>
    <x v="0"/>
    <x v="1"/>
  </r>
  <r>
    <x v="361"/>
    <s v="No"/>
    <x v="1"/>
    <s v="Sales Representative"/>
    <x v="0"/>
    <x v="1"/>
    <n v="4"/>
    <n v="52104"/>
    <n v="19"/>
    <n v="37.5"/>
    <s v="No"/>
    <n v="33"/>
    <s v="Transgender"/>
    <s v="Single"/>
    <x v="2"/>
    <n v="8"/>
    <s v="Trades Apprenticeship"/>
    <s v="Life Sciences"/>
    <n v="3"/>
    <n v="0"/>
    <n v="3"/>
    <n v="2"/>
    <n v="2"/>
    <n v="2"/>
    <n v="2"/>
    <n v="2"/>
    <x v="0"/>
    <d v="2024-05-04T00:00:00"/>
    <x v="1"/>
    <s v="Involuntary"/>
    <x v="1"/>
    <x v="1"/>
    <x v="0"/>
    <x v="1"/>
    <x v="4"/>
  </r>
  <r>
    <x v="362"/>
    <s v="No"/>
    <x v="1"/>
    <s v="Sales Executive"/>
    <x v="0"/>
    <x v="1"/>
    <n v="10"/>
    <n v="142260"/>
    <n v="11"/>
    <n v="37.5"/>
    <s v="No"/>
    <n v="40"/>
    <s v="Transgender"/>
    <s v="Married"/>
    <x v="0"/>
    <n v="4"/>
    <s v="Master's Degree"/>
    <s v="Marketing"/>
    <n v="3"/>
    <n v="1"/>
    <n v="15"/>
    <n v="2"/>
    <n v="12"/>
    <n v="11"/>
    <n v="2"/>
    <n v="11"/>
    <x v="2"/>
    <d v="2022-07-22T00:00:00"/>
    <x v="0"/>
    <s v="Voluntary"/>
    <x v="2"/>
    <x v="1"/>
    <x v="3"/>
    <x v="1"/>
    <x v="2"/>
  </r>
  <r>
    <x v="363"/>
    <s v="No"/>
    <x v="1"/>
    <s v="Research Scientist"/>
    <x v="0"/>
    <x v="0"/>
    <n v="4"/>
    <n v="51876"/>
    <n v="24"/>
    <n v="37.5"/>
    <s v="No"/>
    <n v="22"/>
    <s v="Transgender"/>
    <s v="Married"/>
    <x v="0"/>
    <n v="19"/>
    <s v="Trades Apprenticeship"/>
    <s v="Medical"/>
    <n v="4"/>
    <n v="2"/>
    <n v="2"/>
    <n v="6"/>
    <n v="2"/>
    <n v="2"/>
    <n v="2"/>
    <n v="2"/>
    <x v="0"/>
    <d v="2024-03-08T00:00:00"/>
    <x v="1"/>
    <s v="Involuntary"/>
    <x v="2"/>
    <x v="1"/>
    <x v="3"/>
    <x v="0"/>
    <x v="1"/>
  </r>
  <r>
    <x v="364"/>
    <s v="No"/>
    <x v="1"/>
    <s v="Research Scientist"/>
    <x v="0"/>
    <x v="0"/>
    <n v="3"/>
    <n v="48288"/>
    <n v="18"/>
    <n v="37.5"/>
    <s v="No"/>
    <n v="27"/>
    <s v="Man"/>
    <s v="Divorced"/>
    <x v="2"/>
    <n v="9"/>
    <s v="Bachelor's Degree"/>
    <s v="Medical"/>
    <n v="3"/>
    <n v="1"/>
    <n v="6"/>
    <n v="1"/>
    <n v="2"/>
    <n v="2"/>
    <n v="2"/>
    <n v="2"/>
    <x v="0"/>
    <d v="2022-06-14T00:00:00"/>
    <x v="0"/>
    <s v="Involuntary"/>
    <x v="0"/>
    <x v="3"/>
    <x v="0"/>
    <x v="3"/>
    <x v="1"/>
  </r>
  <r>
    <x v="365"/>
    <s v="No"/>
    <x v="1"/>
    <s v="Research Scientist"/>
    <x v="0"/>
    <x v="0"/>
    <n v="5"/>
    <n v="56556"/>
    <n v="11"/>
    <n v="37.5"/>
    <s v="No"/>
    <n v="28"/>
    <s v="Man"/>
    <s v="Married"/>
    <x v="0"/>
    <n v="21"/>
    <s v="Bachelor's Degree"/>
    <s v="Medical"/>
    <n v="3"/>
    <n v="1"/>
    <n v="5"/>
    <n v="2"/>
    <n v="5"/>
    <n v="2"/>
    <n v="0"/>
    <n v="2"/>
    <x v="1"/>
    <d v="2022-04-11T00:00:00"/>
    <x v="0"/>
    <s v="Voluntary"/>
    <x v="2"/>
    <x v="1"/>
    <x v="1"/>
    <x v="3"/>
    <x v="1"/>
  </r>
  <r>
    <x v="366"/>
    <s v="No"/>
    <x v="1"/>
    <s v="Healthcare Representative"/>
    <x v="0"/>
    <x v="0"/>
    <n v="9"/>
    <n v="125268"/>
    <n v="16"/>
    <n v="37.5"/>
    <s v="Yes"/>
    <n v="57"/>
    <s v="Man"/>
    <s v="Divorced"/>
    <x v="0"/>
    <n v="24"/>
    <s v="Certificate or Diploma"/>
    <s v="Life Sciences"/>
    <n v="3"/>
    <n v="1"/>
    <n v="12"/>
    <n v="2"/>
    <n v="5"/>
    <n v="3"/>
    <n v="1"/>
    <n v="4"/>
    <x v="1"/>
    <d v="2022-11-30T00:00:00"/>
    <x v="0"/>
    <s v="Involuntary"/>
    <x v="2"/>
    <x v="1"/>
    <x v="2"/>
    <x v="3"/>
    <x v="2"/>
  </r>
  <r>
    <x v="367"/>
    <s v="No"/>
    <x v="1"/>
    <s v="Research Scientist"/>
    <x v="0"/>
    <x v="0"/>
    <n v="4"/>
    <n v="54792"/>
    <n v="15"/>
    <n v="37.5"/>
    <s v="Yes"/>
    <n v="27"/>
    <s v="Man"/>
    <s v="Divorced"/>
    <x v="2"/>
    <n v="3"/>
    <s v="Bachelor's Degree"/>
    <s v="Medical"/>
    <n v="3"/>
    <n v="1"/>
    <n v="1"/>
    <n v="2"/>
    <n v="1"/>
    <n v="1"/>
    <n v="0"/>
    <n v="1"/>
    <x v="0"/>
    <d v="2022-06-26T00:00:00"/>
    <x v="0"/>
    <s v="Voluntary"/>
    <x v="2"/>
    <x v="0"/>
    <x v="0"/>
    <x v="1"/>
    <x v="4"/>
  </r>
  <r>
    <x v="368"/>
    <s v="No"/>
    <x v="1"/>
    <s v="Research Scientist"/>
    <x v="0"/>
    <x v="0"/>
    <n v="4"/>
    <n v="52404"/>
    <n v="12"/>
    <n v="37.5"/>
    <s v="No"/>
    <n v="48"/>
    <s v="Transgender"/>
    <s v="Married"/>
    <x v="0"/>
    <n v="15"/>
    <s v="Master's Degree"/>
    <s v="Other"/>
    <n v="3"/>
    <n v="1"/>
    <n v="10"/>
    <n v="3"/>
    <n v="8"/>
    <n v="2"/>
    <n v="7"/>
    <n v="6"/>
    <x v="1"/>
    <d v="2023-10-28T00:00:00"/>
    <x v="0"/>
    <s v="Voluntary"/>
    <x v="2"/>
    <x v="2"/>
    <x v="0"/>
    <x v="1"/>
    <x v="2"/>
  </r>
  <r>
    <x v="369"/>
    <s v="No"/>
    <x v="1"/>
    <s v="Research Scientist"/>
    <x v="0"/>
    <x v="0"/>
    <n v="4"/>
    <n v="53412"/>
    <n v="12"/>
    <n v="37.5"/>
    <s v="No"/>
    <n v="41"/>
    <s v="Man"/>
    <s v="Divorced"/>
    <x v="0"/>
    <n v="14"/>
    <s v="Bachelor's Degree"/>
    <s v="Life Sciences"/>
    <n v="3"/>
    <n v="1"/>
    <n v="13"/>
    <n v="2"/>
    <n v="9"/>
    <n v="8"/>
    <n v="1"/>
    <n v="8"/>
    <x v="1"/>
    <d v="2025-10-29T00:00:00"/>
    <x v="1"/>
    <s v="Involuntary"/>
    <x v="3"/>
    <x v="0"/>
    <x v="3"/>
    <x v="0"/>
    <x v="8"/>
  </r>
  <r>
    <x v="370"/>
    <s v="No"/>
    <x v="1"/>
    <s v="Research Scientist"/>
    <x v="0"/>
    <x v="0"/>
    <n v="4"/>
    <n v="52416"/>
    <n v="19"/>
    <n v="37.5"/>
    <s v="No"/>
    <n v="26"/>
    <s v="Transgender"/>
    <s v="Married"/>
    <x v="0"/>
    <n v="6"/>
    <s v="Bachelor's Degree"/>
    <s v="Other"/>
    <n v="3"/>
    <n v="0"/>
    <n v="5"/>
    <n v="3"/>
    <n v="5"/>
    <n v="4"/>
    <n v="4"/>
    <n v="3"/>
    <x v="1"/>
    <d v="2025-07-11T00:00:00"/>
    <x v="1"/>
    <s v="Voluntary"/>
    <x v="2"/>
    <x v="3"/>
    <x v="1"/>
    <x v="1"/>
    <x v="2"/>
  </r>
  <r>
    <x v="371"/>
    <s v="No"/>
    <x v="1"/>
    <s v="Laboratory Technician"/>
    <x v="0"/>
    <x v="0"/>
    <n v="4"/>
    <n v="52440"/>
    <n v="13"/>
    <n v="37.5"/>
    <s v="No"/>
    <n v="32"/>
    <s v="Transgender"/>
    <s v="Married"/>
    <x v="0"/>
    <n v="2"/>
    <s v="Bachelor's Degree"/>
    <s v="Medical"/>
    <n v="3"/>
    <n v="1"/>
    <n v="8"/>
    <n v="4"/>
    <n v="8"/>
    <n v="0"/>
    <n v="0"/>
    <n v="7"/>
    <x v="1"/>
    <d v="2023-01-24T00:00:00"/>
    <x v="0"/>
    <s v="Involuntary"/>
    <x v="2"/>
    <x v="3"/>
    <x v="1"/>
    <x v="0"/>
    <x v="1"/>
  </r>
  <r>
    <x v="372"/>
    <s v="No"/>
    <x v="1"/>
    <s v="Research Scientist"/>
    <x v="0"/>
    <x v="0"/>
    <n v="4"/>
    <n v="52464"/>
    <n v="16"/>
    <n v="37.5"/>
    <s v="Yes"/>
    <n v="42"/>
    <s v="Transgender"/>
    <s v="Married"/>
    <x v="0"/>
    <n v="7"/>
    <s v="Master's Degree"/>
    <s v="Medical"/>
    <n v="3"/>
    <n v="0"/>
    <n v="18"/>
    <n v="2"/>
    <n v="1"/>
    <n v="0"/>
    <n v="0"/>
    <n v="0"/>
    <x v="0"/>
    <d v="2024-12-29T00:00:00"/>
    <x v="1"/>
    <s v="Voluntary"/>
    <x v="1"/>
    <x v="3"/>
    <x v="0"/>
    <x v="0"/>
    <x v="1"/>
  </r>
  <r>
    <x v="373"/>
    <s v="No"/>
    <x v="1"/>
    <s v="Research Scientist"/>
    <x v="0"/>
    <x v="0"/>
    <n v="6"/>
    <n v="60456"/>
    <n v="20"/>
    <n v="37.5"/>
    <s v="No"/>
    <n v="32"/>
    <s v="Man"/>
    <s v="Single"/>
    <x v="0"/>
    <n v="6"/>
    <s v="Doctorate"/>
    <s v="Life Sciences"/>
    <n v="4"/>
    <n v="0"/>
    <n v="8"/>
    <n v="2"/>
    <n v="5"/>
    <n v="4"/>
    <n v="1"/>
    <n v="4"/>
    <x v="1"/>
    <d v="2024-11-12T00:00:00"/>
    <x v="1"/>
    <s v="Involuntary"/>
    <x v="2"/>
    <x v="0"/>
    <x v="3"/>
    <x v="0"/>
    <x v="2"/>
  </r>
  <r>
    <x v="374"/>
    <s v="No"/>
    <x v="1"/>
    <s v="Research Scientist"/>
    <x v="0"/>
    <x v="0"/>
    <n v="6"/>
    <n v="60696"/>
    <n v="16"/>
    <n v="37.5"/>
    <s v="Yes"/>
    <n v="27"/>
    <s v="Man"/>
    <s v="Married"/>
    <x v="0"/>
    <n v="17"/>
    <s v="Bachelor's Degree"/>
    <s v="Technical Degree"/>
    <n v="3"/>
    <n v="1"/>
    <n v="6"/>
    <n v="3"/>
    <n v="5"/>
    <n v="2"/>
    <n v="1"/>
    <n v="1"/>
    <x v="1"/>
    <d v="2022-04-04T00:00:00"/>
    <x v="0"/>
    <s v="Involuntary"/>
    <x v="2"/>
    <x v="3"/>
    <x v="0"/>
    <x v="1"/>
    <x v="1"/>
  </r>
  <r>
    <x v="375"/>
    <s v="No"/>
    <x v="1"/>
    <s v="Laboratory Technician"/>
    <x v="0"/>
    <x v="0"/>
    <n v="3"/>
    <n v="49056"/>
    <n v="12"/>
    <n v="37.5"/>
    <s v="No"/>
    <n v="36"/>
    <s v="Man"/>
    <s v="Single"/>
    <x v="1"/>
    <n v="3"/>
    <s v="Certificate or Diploma"/>
    <s v="Medical"/>
    <n v="3"/>
    <n v="0"/>
    <n v="13"/>
    <n v="3"/>
    <n v="8"/>
    <n v="7"/>
    <n v="7"/>
    <n v="2"/>
    <x v="1"/>
    <d v="2023-12-08T00:00:00"/>
    <x v="0"/>
    <s v="Voluntary"/>
    <x v="0"/>
    <x v="3"/>
    <x v="1"/>
    <x v="1"/>
    <x v="1"/>
  </r>
  <r>
    <x v="376"/>
    <s v="No"/>
    <x v="1"/>
    <s v="Research Scientist"/>
    <x v="0"/>
    <x v="0"/>
    <n v="4"/>
    <n v="52524"/>
    <n v="18"/>
    <n v="37.5"/>
    <s v="No"/>
    <n v="28"/>
    <s v="Transgender"/>
    <s v="Divorced"/>
    <x v="0"/>
    <n v="9"/>
    <s v="Bachelor's Degree"/>
    <s v="Medical"/>
    <n v="3"/>
    <n v="1"/>
    <n v="6"/>
    <n v="2"/>
    <n v="2"/>
    <n v="2"/>
    <n v="2"/>
    <n v="2"/>
    <x v="0"/>
    <d v="2023-02-08T00:00:00"/>
    <x v="0"/>
    <s v="Involuntary"/>
    <x v="2"/>
    <x v="0"/>
    <x v="2"/>
    <x v="0"/>
    <x v="1"/>
  </r>
  <r>
    <x v="377"/>
    <s v="No"/>
    <x v="1"/>
    <s v="Laboratory Technician"/>
    <x v="0"/>
    <x v="0"/>
    <n v="6"/>
    <n v="60864"/>
    <n v="11"/>
    <n v="37.5"/>
    <s v="No"/>
    <n v="30"/>
    <s v="Man"/>
    <s v="Divorced"/>
    <x v="2"/>
    <n v="9"/>
    <s v="Bachelor's Degree"/>
    <s v="Medical"/>
    <n v="3"/>
    <n v="2"/>
    <n v="12"/>
    <n v="4"/>
    <n v="12"/>
    <n v="9"/>
    <n v="6"/>
    <n v="10"/>
    <x v="2"/>
    <d v="2023-09-23T00:00:00"/>
    <x v="0"/>
    <s v="Involuntary"/>
    <x v="2"/>
    <x v="2"/>
    <x v="1"/>
    <x v="0"/>
    <x v="2"/>
  </r>
  <r>
    <x v="378"/>
    <s v="No"/>
    <x v="1"/>
    <s v="Laboratory Technician"/>
    <x v="0"/>
    <x v="0"/>
    <n v="4"/>
    <n v="52548"/>
    <n v="14"/>
    <n v="37.5"/>
    <s v="Yes"/>
    <n v="27"/>
    <s v="Transgender"/>
    <s v="Single"/>
    <x v="1"/>
    <n v="5"/>
    <s v="Certificate or Diploma"/>
    <s v="Life Sciences"/>
    <n v="3"/>
    <n v="0"/>
    <n v="6"/>
    <n v="3"/>
    <n v="5"/>
    <n v="4"/>
    <n v="0"/>
    <n v="2"/>
    <x v="1"/>
    <d v="2022-12-30T00:00:00"/>
    <x v="0"/>
    <s v="Involuntary"/>
    <x v="0"/>
    <x v="1"/>
    <x v="1"/>
    <x v="1"/>
    <x v="5"/>
  </r>
  <r>
    <x v="379"/>
    <s v="No"/>
    <x v="1"/>
    <s v="Research Scientist"/>
    <x v="0"/>
    <x v="0"/>
    <n v="4"/>
    <n v="54000"/>
    <n v="14"/>
    <n v="37.5"/>
    <s v="No"/>
    <n v="33"/>
    <s v="Man"/>
    <s v="Single"/>
    <x v="0"/>
    <n v="2"/>
    <s v="Bachelor's Degree"/>
    <s v="Life Sciences"/>
    <n v="3"/>
    <n v="0"/>
    <n v="4"/>
    <n v="2"/>
    <n v="3"/>
    <n v="1"/>
    <n v="0"/>
    <n v="2"/>
    <x v="1"/>
    <d v="2024-11-13T00:00:00"/>
    <x v="1"/>
    <s v="Involuntary"/>
    <x v="2"/>
    <x v="1"/>
    <x v="3"/>
    <x v="2"/>
    <x v="4"/>
  </r>
  <r>
    <x v="380"/>
    <s v="No"/>
    <x v="1"/>
    <s v="Laboratory Technician"/>
    <x v="0"/>
    <x v="0"/>
    <n v="6"/>
    <n v="68280"/>
    <n v="15"/>
    <n v="37.5"/>
    <s v="No"/>
    <n v="50"/>
    <s v="Man"/>
    <s v="Married"/>
    <x v="0"/>
    <n v="1"/>
    <s v="Bachelor's Degree"/>
    <s v="Medical"/>
    <n v="3"/>
    <n v="1"/>
    <n v="5"/>
    <n v="2"/>
    <n v="3"/>
    <n v="2"/>
    <n v="0"/>
    <n v="2"/>
    <x v="1"/>
    <d v="2023-01-04T00:00:00"/>
    <x v="0"/>
    <s v="Involuntary"/>
    <x v="2"/>
    <x v="0"/>
    <x v="0"/>
    <x v="1"/>
    <x v="4"/>
  </r>
  <r>
    <x v="381"/>
    <s v="No"/>
    <x v="1"/>
    <s v="Research Director"/>
    <x v="1"/>
    <x v="0"/>
    <n v="5"/>
    <n v="236664"/>
    <n v="11"/>
    <n v="37.5"/>
    <s v="No"/>
    <n v="55"/>
    <s v="Man"/>
    <s v="Single"/>
    <x v="0"/>
    <n v="14"/>
    <s v="Master's Degree"/>
    <s v="Medical"/>
    <n v="3"/>
    <n v="0"/>
    <n v="36"/>
    <n v="3"/>
    <n v="24"/>
    <n v="15"/>
    <n v="2"/>
    <n v="15"/>
    <x v="2"/>
    <d v="2022-10-26T00:00:00"/>
    <x v="0"/>
    <s v="Voluntary"/>
    <x v="2"/>
    <x v="3"/>
    <x v="0"/>
    <x v="0"/>
    <x v="4"/>
  </r>
  <r>
    <x v="382"/>
    <s v="No"/>
    <x v="1"/>
    <s v="Manufacturing Director"/>
    <x v="1"/>
    <x v="0"/>
    <n v="9"/>
    <n v="126564"/>
    <n v="17"/>
    <n v="37.5"/>
    <s v="No"/>
    <n v="34"/>
    <s v="Man"/>
    <s v="Married"/>
    <x v="1"/>
    <n v="2"/>
    <s v="Trades Apprenticeship"/>
    <s v="Life Sciences"/>
    <n v="3"/>
    <n v="0"/>
    <n v="10"/>
    <n v="2"/>
    <n v="10"/>
    <n v="9"/>
    <n v="1"/>
    <n v="9"/>
    <x v="2"/>
    <d v="2025-10-19T00:00:00"/>
    <x v="1"/>
    <s v="Involuntary"/>
    <x v="0"/>
    <x v="0"/>
    <x v="1"/>
    <x v="1"/>
    <x v="4"/>
  </r>
  <r>
    <x v="383"/>
    <s v="No"/>
    <x v="1"/>
    <s v="Manager, R&amp;D"/>
    <x v="1"/>
    <x v="0"/>
    <n v="5"/>
    <n v="251988"/>
    <n v="14"/>
    <n v="37.5"/>
    <s v="No"/>
    <n v="52"/>
    <s v="Man"/>
    <s v="Married"/>
    <x v="0"/>
    <n v="1"/>
    <s v="Master's Degree"/>
    <s v="Life Sciences"/>
    <n v="3"/>
    <n v="1"/>
    <n v="34"/>
    <n v="5"/>
    <n v="33"/>
    <n v="18"/>
    <n v="11"/>
    <n v="9"/>
    <x v="2"/>
    <d v="2025-07-18T00:00:00"/>
    <x v="1"/>
    <s v="Voluntary"/>
    <x v="2"/>
    <x v="0"/>
    <x v="3"/>
    <x v="0"/>
    <x v="2"/>
  </r>
  <r>
    <x v="384"/>
    <s v="No"/>
    <x v="1"/>
    <s v="Research Scientist"/>
    <x v="0"/>
    <x v="0"/>
    <n v="3"/>
    <n v="49068"/>
    <n v="14"/>
    <n v="37.5"/>
    <s v="No"/>
    <n v="43"/>
    <s v="Man"/>
    <s v="Divorced"/>
    <x v="2"/>
    <n v="7"/>
    <s v="Bachelor's Degree"/>
    <s v="Medical"/>
    <n v="3"/>
    <n v="3"/>
    <n v="7"/>
    <n v="3"/>
    <n v="5"/>
    <n v="4"/>
    <n v="2"/>
    <n v="2"/>
    <x v="1"/>
    <d v="2025-02-05T00:00:00"/>
    <x v="1"/>
    <s v="Voluntary"/>
    <x v="0"/>
    <x v="1"/>
    <x v="0"/>
    <x v="2"/>
    <x v="12"/>
  </r>
  <r>
    <x v="385"/>
    <s v="No"/>
    <x v="1"/>
    <s v="Manager, R&amp;D"/>
    <x v="1"/>
    <x v="0"/>
    <n v="4"/>
    <n v="213504"/>
    <n v="23"/>
    <n v="37.5"/>
    <s v="No"/>
    <n v="45"/>
    <s v="Man"/>
    <s v="Married"/>
    <x v="2"/>
    <n v="2"/>
    <s v="Certificate or Diploma"/>
    <s v="Medical"/>
    <n v="4"/>
    <n v="1"/>
    <n v="22"/>
    <n v="1"/>
    <n v="20"/>
    <n v="8"/>
    <n v="11"/>
    <n v="8"/>
    <x v="2"/>
    <d v="2023-12-18T00:00:00"/>
    <x v="0"/>
    <s v="Voluntary"/>
    <x v="3"/>
    <x v="1"/>
    <x v="0"/>
    <x v="0"/>
    <x v="4"/>
  </r>
  <r>
    <x v="386"/>
    <s v="No"/>
    <x v="1"/>
    <s v="Laboratory Technician"/>
    <x v="0"/>
    <x v="0"/>
    <n v="4"/>
    <n v="52872"/>
    <n v="11"/>
    <n v="37.5"/>
    <s v="No"/>
    <n v="38"/>
    <s v="Woman"/>
    <s v="Single"/>
    <x v="1"/>
    <n v="29"/>
    <s v="Doctorate"/>
    <s v="Life Sciences"/>
    <n v="3"/>
    <n v="0"/>
    <n v="10"/>
    <n v="2"/>
    <n v="10"/>
    <n v="3"/>
    <n v="9"/>
    <n v="9"/>
    <x v="2"/>
    <d v="2022-01-27T00:00:00"/>
    <x v="0"/>
    <s v="Voluntary"/>
    <x v="0"/>
    <x v="1"/>
    <x v="0"/>
    <x v="0"/>
    <x v="7"/>
  </r>
  <r>
    <x v="387"/>
    <s v="No"/>
    <x v="1"/>
    <s v="Research Scientist"/>
    <x v="0"/>
    <x v="0"/>
    <n v="6"/>
    <n v="66768"/>
    <n v="12"/>
    <n v="37.5"/>
    <s v="Yes"/>
    <n v="37"/>
    <s v="Two-Spirit"/>
    <s v="Married"/>
    <x v="0"/>
    <n v="21"/>
    <s v="Bachelor's Degree"/>
    <s v="Life Sciences"/>
    <n v="3"/>
    <n v="1"/>
    <n v="8"/>
    <n v="3"/>
    <n v="8"/>
    <n v="7"/>
    <n v="1"/>
    <n v="7"/>
    <x v="1"/>
    <d v="2023-06-15T00:00:00"/>
    <x v="0"/>
    <s v="Involuntary"/>
    <x v="1"/>
    <x v="2"/>
    <x v="3"/>
    <x v="1"/>
    <x v="9"/>
  </r>
  <r>
    <x v="388"/>
    <s v="No"/>
    <x v="1"/>
    <s v="Manufacturing Director"/>
    <x v="1"/>
    <x v="0"/>
    <n v="8"/>
    <n v="90636"/>
    <n v="14"/>
    <n v="37.5"/>
    <s v="No"/>
    <n v="38"/>
    <s v="Two-Spirit"/>
    <s v="Married"/>
    <x v="0"/>
    <n v="2"/>
    <s v="Master's Degree"/>
    <s v="Life Sciences"/>
    <n v="3"/>
    <n v="0"/>
    <n v="14"/>
    <n v="3"/>
    <n v="1"/>
    <n v="0"/>
    <n v="0"/>
    <n v="0"/>
    <x v="0"/>
    <d v="2023-01-22T00:00:00"/>
    <x v="0"/>
    <s v="Involuntary"/>
    <x v="0"/>
    <x v="0"/>
    <x v="2"/>
    <x v="0"/>
    <x v="4"/>
  </r>
  <r>
    <x v="389"/>
    <s v="No"/>
    <x v="1"/>
    <s v="Manufacturing Director"/>
    <x v="1"/>
    <x v="0"/>
    <n v="8"/>
    <n v="87132"/>
    <n v="18"/>
    <n v="37.5"/>
    <s v="No"/>
    <n v="38"/>
    <s v="Two-Spirit"/>
    <s v="Married"/>
    <x v="0"/>
    <n v="29"/>
    <s v="Bachelor's Degree"/>
    <s v="Technical Degree"/>
    <n v="3"/>
    <n v="1"/>
    <n v="9"/>
    <n v="3"/>
    <n v="7"/>
    <n v="7"/>
    <n v="1"/>
    <n v="7"/>
    <x v="1"/>
    <d v="2022-11-25T00:00:00"/>
    <x v="0"/>
    <s v="Voluntary"/>
    <x v="0"/>
    <x v="1"/>
    <x v="3"/>
    <x v="3"/>
    <x v="2"/>
  </r>
  <r>
    <x v="390"/>
    <s v="No"/>
    <x v="1"/>
    <s v="Manufacturing Director"/>
    <x v="1"/>
    <x v="0"/>
    <n v="6"/>
    <n v="63576"/>
    <n v="19"/>
    <n v="37.5"/>
    <s v="No"/>
    <n v="27"/>
    <s v="Two-Spirit"/>
    <s v="Married"/>
    <x v="1"/>
    <n v="1"/>
    <s v="Trades Apprenticeship"/>
    <s v="Technical Degree"/>
    <n v="3"/>
    <n v="1"/>
    <n v="6"/>
    <n v="1"/>
    <n v="2"/>
    <n v="2"/>
    <n v="2"/>
    <n v="0"/>
    <x v="0"/>
    <d v="2022-07-17T00:00:00"/>
    <x v="0"/>
    <s v="Involuntary"/>
    <x v="2"/>
    <x v="2"/>
    <x v="1"/>
    <x v="0"/>
    <x v="2"/>
  </r>
  <r>
    <x v="391"/>
    <s v="No"/>
    <x v="1"/>
    <s v="Sales Representative"/>
    <x v="0"/>
    <x v="1"/>
    <n v="4"/>
    <n v="53160"/>
    <n v="23"/>
    <n v="37.5"/>
    <s v="No"/>
    <n v="35"/>
    <s v="Woman"/>
    <s v="Married"/>
    <x v="0"/>
    <n v="28"/>
    <s v="Master's Degree"/>
    <s v="Life Sciences"/>
    <n v="4"/>
    <n v="2"/>
    <n v="6"/>
    <n v="5"/>
    <n v="5"/>
    <n v="3"/>
    <n v="4"/>
    <n v="2"/>
    <x v="1"/>
    <d v="2023-01-01T00:00:00"/>
    <x v="0"/>
    <s v="Involuntary"/>
    <x v="1"/>
    <x v="0"/>
    <x v="3"/>
    <x v="0"/>
    <x v="6"/>
  </r>
  <r>
    <x v="392"/>
    <s v="No"/>
    <x v="1"/>
    <s v="Manufacturing Director"/>
    <x v="1"/>
    <x v="0"/>
    <n v="8"/>
    <n v="93648"/>
    <n v="15"/>
    <n v="37.5"/>
    <s v="Yes"/>
    <n v="49"/>
    <s v="Two-Spirit"/>
    <s v="Divorced"/>
    <x v="2"/>
    <n v="18"/>
    <s v="Master's Degree"/>
    <s v="Life Sciences"/>
    <n v="3"/>
    <n v="2"/>
    <n v="7"/>
    <n v="0"/>
    <n v="7"/>
    <n v="7"/>
    <n v="1"/>
    <n v="7"/>
    <x v="1"/>
    <d v="2022-04-18T00:00:00"/>
    <x v="0"/>
    <s v="Voluntary"/>
    <x v="0"/>
    <x v="1"/>
    <x v="3"/>
    <x v="0"/>
    <x v="4"/>
  </r>
  <r>
    <x v="393"/>
    <s v="No"/>
    <x v="1"/>
    <s v="Research Scientist"/>
    <x v="0"/>
    <x v="0"/>
    <n v="6"/>
    <n v="69780"/>
    <n v="17"/>
    <n v="37.5"/>
    <s v="Yes"/>
    <n v="34"/>
    <s v="Two-Spirit"/>
    <s v="Divorced"/>
    <x v="1"/>
    <n v="10"/>
    <s v="Master's Degree"/>
    <s v="Medical"/>
    <n v="3"/>
    <n v="1"/>
    <n v="5"/>
    <n v="4"/>
    <n v="5"/>
    <n v="3"/>
    <n v="2"/>
    <n v="0"/>
    <x v="1"/>
    <d v="2025-03-10T00:00:00"/>
    <x v="1"/>
    <s v="Voluntary"/>
    <x v="0"/>
    <x v="0"/>
    <x v="0"/>
    <x v="2"/>
    <x v="7"/>
  </r>
  <r>
    <x v="394"/>
    <s v="No"/>
    <x v="1"/>
    <s v="Laboratory Technician"/>
    <x v="0"/>
    <x v="0"/>
    <n v="5"/>
    <n v="56892"/>
    <n v="15"/>
    <n v="37.5"/>
    <s v="Yes"/>
    <n v="40"/>
    <s v="Man"/>
    <s v="Married"/>
    <x v="0"/>
    <n v="19"/>
    <s v="Certificate or Diploma"/>
    <s v="Medical"/>
    <n v="3"/>
    <n v="1"/>
    <n v="15"/>
    <n v="2"/>
    <n v="7"/>
    <n v="2"/>
    <n v="3"/>
    <n v="7"/>
    <x v="1"/>
    <d v="2025-04-17T00:00:00"/>
    <x v="1"/>
    <s v="Involuntary"/>
    <x v="2"/>
    <x v="1"/>
    <x v="1"/>
    <x v="2"/>
    <x v="0"/>
  </r>
  <r>
    <x v="395"/>
    <s v="No"/>
    <x v="1"/>
    <s v="Research Scientist"/>
    <x v="0"/>
    <x v="0"/>
    <n v="4"/>
    <n v="51936"/>
    <n v="16"/>
    <n v="37.5"/>
    <s v="Yes"/>
    <n v="22"/>
    <s v="Man"/>
    <s v="Divorced"/>
    <x v="0"/>
    <n v="5"/>
    <s v="Bachelor's Degree"/>
    <s v="Life Sciences"/>
    <n v="3"/>
    <n v="1"/>
    <n v="4"/>
    <n v="2"/>
    <n v="4"/>
    <n v="2"/>
    <n v="2"/>
    <n v="2"/>
    <x v="1"/>
    <d v="2022-11-02T00:00:00"/>
    <x v="0"/>
    <s v="Voluntary"/>
    <x v="0"/>
    <x v="3"/>
    <x v="3"/>
    <x v="1"/>
    <x v="6"/>
  </r>
  <r>
    <x v="396"/>
    <s v="No"/>
    <x v="1"/>
    <s v="Healthcare Representative"/>
    <x v="0"/>
    <x v="0"/>
    <n v="7"/>
    <n v="70512"/>
    <n v="14"/>
    <n v="37.5"/>
    <s v="No"/>
    <n v="40"/>
    <s v="Man"/>
    <s v="Married"/>
    <x v="2"/>
    <n v="9"/>
    <s v="Doctorate"/>
    <s v="Life Sciences"/>
    <n v="3"/>
    <n v="1"/>
    <n v="5"/>
    <n v="5"/>
    <n v="3"/>
    <n v="2"/>
    <n v="0"/>
    <n v="2"/>
    <x v="1"/>
    <d v="2023-10-17T00:00:00"/>
    <x v="0"/>
    <s v="Involuntary"/>
    <x v="0"/>
    <x v="1"/>
    <x v="0"/>
    <x v="3"/>
    <x v="5"/>
  </r>
  <r>
    <x v="397"/>
    <s v="No"/>
    <x v="1"/>
    <s v="Laboratory Technician"/>
    <x v="0"/>
    <x v="0"/>
    <n v="4"/>
    <n v="53280"/>
    <n v="22"/>
    <n v="37.5"/>
    <s v="No"/>
    <n v="38"/>
    <s v="Woman"/>
    <s v="Single"/>
    <x v="1"/>
    <n v="2"/>
    <s v="Bachelor's Degree"/>
    <s v="Medical"/>
    <n v="4"/>
    <n v="0"/>
    <n v="4"/>
    <n v="3"/>
    <n v="4"/>
    <n v="3"/>
    <n v="3"/>
    <n v="3"/>
    <x v="1"/>
    <d v="2022-07-19T00:00:00"/>
    <x v="0"/>
    <s v="Voluntary"/>
    <x v="0"/>
    <x v="3"/>
    <x v="2"/>
    <x v="0"/>
    <x v="1"/>
  </r>
  <r>
    <x v="398"/>
    <s v="No"/>
    <x v="1"/>
    <s v="Healthcare Representative"/>
    <x v="0"/>
    <x v="0"/>
    <n v="9"/>
    <n v="124752"/>
    <n v="16"/>
    <n v="37.5"/>
    <s v="No"/>
    <n v="46"/>
    <s v="Man"/>
    <s v="Divorced"/>
    <x v="0"/>
    <n v="1"/>
    <s v="Master's Degree"/>
    <s v="Medical"/>
    <n v="3"/>
    <n v="1"/>
    <n v="17"/>
    <n v="3"/>
    <n v="4"/>
    <n v="2"/>
    <n v="0"/>
    <n v="3"/>
    <x v="1"/>
    <d v="2025-12-29T00:00:00"/>
    <x v="1"/>
    <s v="Involuntary"/>
    <x v="0"/>
    <x v="2"/>
    <x v="1"/>
    <x v="0"/>
    <x v="1"/>
  </r>
  <r>
    <x v="399"/>
    <s v="No"/>
    <x v="1"/>
    <s v="Manufacturing Director"/>
    <x v="1"/>
    <x v="0"/>
    <n v="9"/>
    <n v="113688"/>
    <n v="22"/>
    <n v="37.5"/>
    <s v="No"/>
    <n v="30"/>
    <s v="Man"/>
    <s v="Single"/>
    <x v="2"/>
    <n v="1"/>
    <s v="Trades Apprenticeship"/>
    <s v="Life Sciences"/>
    <n v="4"/>
    <n v="0"/>
    <n v="12"/>
    <n v="2"/>
    <n v="11"/>
    <n v="8"/>
    <n v="5"/>
    <n v="8"/>
    <x v="2"/>
    <d v="2023-06-26T00:00:00"/>
    <x v="0"/>
    <s v="Involuntary"/>
    <x v="2"/>
    <x v="0"/>
    <x v="1"/>
    <x v="0"/>
    <x v="4"/>
  </r>
  <r>
    <x v="400"/>
    <s v="No"/>
    <x v="1"/>
    <s v="Research Director"/>
    <x v="1"/>
    <x v="0"/>
    <n v="10"/>
    <n v="161880"/>
    <n v="16"/>
    <n v="37.5"/>
    <s v="No"/>
    <n v="51"/>
    <s v="Man"/>
    <s v="Married"/>
    <x v="0"/>
    <n v="8"/>
    <s v="Master's Degree"/>
    <s v="Life Sciences"/>
    <n v="3"/>
    <n v="2"/>
    <n v="16"/>
    <n v="5"/>
    <n v="10"/>
    <n v="9"/>
    <n v="4"/>
    <n v="7"/>
    <x v="2"/>
    <d v="2022-09-23T00:00:00"/>
    <x v="0"/>
    <s v="Involuntary"/>
    <x v="1"/>
    <x v="3"/>
    <x v="0"/>
    <x v="3"/>
    <x v="6"/>
  </r>
  <r>
    <x v="401"/>
    <s v="No"/>
    <x v="1"/>
    <s v="Laboratory Technician"/>
    <x v="0"/>
    <x v="0"/>
    <n v="4"/>
    <n v="53460"/>
    <n v="19"/>
    <n v="37.5"/>
    <s v="No"/>
    <n v="43"/>
    <s v="Woman"/>
    <s v="Single"/>
    <x v="1"/>
    <n v="10"/>
    <s v="Master's Degree"/>
    <s v="Life Sciences"/>
    <n v="3"/>
    <n v="0"/>
    <n v="9"/>
    <n v="5"/>
    <n v="8"/>
    <n v="7"/>
    <n v="1"/>
    <n v="7"/>
    <x v="1"/>
    <d v="2024-02-14T00:00:00"/>
    <x v="1"/>
    <s v="Voluntary"/>
    <x v="2"/>
    <x v="1"/>
    <x v="3"/>
    <x v="0"/>
    <x v="1"/>
  </r>
  <r>
    <x v="402"/>
    <s v="No"/>
    <x v="1"/>
    <s v="Laboratory Technician"/>
    <x v="0"/>
    <x v="0"/>
    <n v="7"/>
    <n v="82968"/>
    <n v="16"/>
    <n v="37.5"/>
    <s v="No"/>
    <n v="36"/>
    <s v="Man"/>
    <s v="Single"/>
    <x v="0"/>
    <n v="5"/>
    <s v="Certificate or Diploma"/>
    <s v="Life Sciences"/>
    <n v="3"/>
    <n v="0"/>
    <n v="16"/>
    <n v="3"/>
    <n v="13"/>
    <n v="11"/>
    <n v="3"/>
    <n v="7"/>
    <x v="2"/>
    <d v="2023-09-01T00:00:00"/>
    <x v="0"/>
    <s v="Involuntary"/>
    <x v="0"/>
    <x v="3"/>
    <x v="0"/>
    <x v="2"/>
    <x v="0"/>
  </r>
  <r>
    <x v="403"/>
    <s v="No"/>
    <x v="1"/>
    <s v="Laboratory Technician"/>
    <x v="0"/>
    <x v="0"/>
    <n v="4"/>
    <n v="53616"/>
    <n v="14"/>
    <n v="37.5"/>
    <s v="No"/>
    <n v="38"/>
    <s v="Woman"/>
    <s v="Married"/>
    <x v="1"/>
    <n v="2"/>
    <s v="Certificate or Diploma"/>
    <s v="Medical"/>
    <n v="3"/>
    <n v="1"/>
    <n v="9"/>
    <n v="4"/>
    <n v="6"/>
    <n v="1"/>
    <n v="0"/>
    <n v="5"/>
    <x v="1"/>
    <d v="2024-12-23T00:00:00"/>
    <x v="1"/>
    <s v="Voluntary"/>
    <x v="2"/>
    <x v="3"/>
    <x v="2"/>
    <x v="1"/>
    <x v="6"/>
  </r>
  <r>
    <x v="404"/>
    <s v="No"/>
    <x v="1"/>
    <s v="Research Director"/>
    <x v="1"/>
    <x v="0"/>
    <n v="10"/>
    <n v="158220"/>
    <n v="14"/>
    <n v="37.5"/>
    <s v="Yes"/>
    <n v="37"/>
    <s v="Man"/>
    <s v="Divorced"/>
    <x v="1"/>
    <n v="11"/>
    <s v="Bachelor's Degree"/>
    <s v="Other"/>
    <n v="3"/>
    <n v="3"/>
    <n v="10"/>
    <n v="1"/>
    <n v="10"/>
    <n v="8"/>
    <n v="0"/>
    <n v="7"/>
    <x v="2"/>
    <d v="2024-12-05T00:00:00"/>
    <x v="1"/>
    <s v="Voluntary"/>
    <x v="1"/>
    <x v="1"/>
    <x v="1"/>
    <x v="0"/>
    <x v="4"/>
  </r>
  <r>
    <x v="405"/>
    <s v="No"/>
    <x v="1"/>
    <s v="Sales Executive"/>
    <x v="0"/>
    <x v="1"/>
    <n v="9"/>
    <n v="139308"/>
    <n v="12"/>
    <n v="37.5"/>
    <s v="No"/>
    <n v="38"/>
    <s v="Man"/>
    <s v="Divorced"/>
    <x v="0"/>
    <n v="3"/>
    <s v="Bachelor's Degree"/>
    <s v="Life Sciences"/>
    <n v="3"/>
    <n v="2"/>
    <n v="17"/>
    <n v="6"/>
    <n v="16"/>
    <n v="10"/>
    <n v="5"/>
    <n v="13"/>
    <x v="2"/>
    <d v="2023-09-29T00:00:00"/>
    <x v="0"/>
    <s v="Involuntary"/>
    <x v="3"/>
    <x v="0"/>
    <x v="1"/>
    <x v="1"/>
    <x v="6"/>
  </r>
  <r>
    <x v="406"/>
    <s v="No"/>
    <x v="1"/>
    <s v="Research Scientist"/>
    <x v="0"/>
    <x v="0"/>
    <n v="4"/>
    <n v="53736"/>
    <n v="12"/>
    <n v="37.5"/>
    <s v="Yes"/>
    <n v="27"/>
    <s v="Woman"/>
    <s v="Single"/>
    <x v="0"/>
    <n v="5"/>
    <s v="Bachelor's Degree"/>
    <s v="Life Sciences"/>
    <n v="3"/>
    <n v="0"/>
    <n v="4"/>
    <n v="2"/>
    <n v="4"/>
    <n v="3"/>
    <n v="1"/>
    <n v="2"/>
    <x v="1"/>
    <d v="2025-03-19T00:00:00"/>
    <x v="1"/>
    <s v="Voluntary"/>
    <x v="2"/>
    <x v="3"/>
    <x v="2"/>
    <x v="1"/>
    <x v="6"/>
  </r>
  <r>
    <x v="407"/>
    <s v="No"/>
    <x v="1"/>
    <s v="Manufacturing Director"/>
    <x v="1"/>
    <x v="0"/>
    <n v="6"/>
    <n v="64140"/>
    <n v="12"/>
    <n v="37.5"/>
    <s v="No"/>
    <n v="31"/>
    <s v="Man"/>
    <s v="Married"/>
    <x v="2"/>
    <n v="1"/>
    <s v="Master's Degree"/>
    <s v="Medical"/>
    <n v="3"/>
    <n v="1"/>
    <n v="6"/>
    <n v="2"/>
    <n v="5"/>
    <n v="4"/>
    <n v="1"/>
    <n v="4"/>
    <x v="1"/>
    <d v="2025-07-18T00:00:00"/>
    <x v="1"/>
    <s v="Voluntary"/>
    <x v="2"/>
    <x v="0"/>
    <x v="0"/>
    <x v="0"/>
    <x v="5"/>
  </r>
  <r>
    <x v="408"/>
    <s v="No"/>
    <x v="1"/>
    <s v="Research Scientist"/>
    <x v="0"/>
    <x v="0"/>
    <n v="4"/>
    <n v="50124"/>
    <n v="17"/>
    <n v="37.5"/>
    <s v="No"/>
    <n v="59"/>
    <s v="Man"/>
    <s v="Married"/>
    <x v="0"/>
    <n v="3"/>
    <s v="Bachelor's Degree"/>
    <s v="Life Sciences"/>
    <n v="3"/>
    <n v="1"/>
    <n v="7"/>
    <n v="6"/>
    <n v="1"/>
    <n v="0"/>
    <n v="0"/>
    <n v="0"/>
    <x v="0"/>
    <d v="2023-12-07T00:00:00"/>
    <x v="0"/>
    <s v="Involuntary"/>
    <x v="2"/>
    <x v="1"/>
    <x v="3"/>
    <x v="0"/>
    <x v="1"/>
  </r>
  <r>
    <x v="409"/>
    <s v="No"/>
    <x v="1"/>
    <s v="Sales Representative"/>
    <x v="0"/>
    <x v="1"/>
    <n v="5"/>
    <n v="57516"/>
    <n v="17"/>
    <n v="37.5"/>
    <s v="No"/>
    <n v="37"/>
    <s v="Man"/>
    <s v="Divorced"/>
    <x v="1"/>
    <n v="4"/>
    <s v="Master's Degree"/>
    <s v="Marketing"/>
    <n v="3"/>
    <n v="1"/>
    <n v="13"/>
    <n v="2"/>
    <n v="9"/>
    <n v="8"/>
    <n v="5"/>
    <n v="8"/>
    <x v="1"/>
    <d v="2025-06-24T00:00:00"/>
    <x v="1"/>
    <s v="Involuntary"/>
    <x v="3"/>
    <x v="1"/>
    <x v="1"/>
    <x v="0"/>
    <x v="1"/>
  </r>
  <r>
    <x v="410"/>
    <s v="No"/>
    <x v="1"/>
    <s v="Manager, R&amp;D"/>
    <x v="1"/>
    <x v="0"/>
    <n v="5"/>
    <n v="242784"/>
    <n v="11"/>
    <n v="37.5"/>
    <s v="No"/>
    <n v="42"/>
    <s v="Man"/>
    <s v="Married"/>
    <x v="0"/>
    <n v="4"/>
    <s v="Certificate or Diploma"/>
    <s v="Technical Degree"/>
    <n v="3"/>
    <n v="0"/>
    <n v="22"/>
    <n v="3"/>
    <n v="22"/>
    <n v="17"/>
    <n v="11"/>
    <n v="15"/>
    <x v="2"/>
    <d v="2022-12-06T00:00:00"/>
    <x v="0"/>
    <s v="Involuntary"/>
    <x v="2"/>
    <x v="1"/>
    <x v="0"/>
    <x v="0"/>
    <x v="0"/>
  </r>
  <r>
    <x v="411"/>
    <s v="No"/>
    <x v="1"/>
    <s v="Research Scientist"/>
    <x v="0"/>
    <x v="0"/>
    <n v="4"/>
    <n v="54072"/>
    <n v="13"/>
    <n v="37.5"/>
    <s v="No"/>
    <n v="35"/>
    <s v="Woman"/>
    <s v="Single"/>
    <x v="0"/>
    <n v="1"/>
    <s v="Master's Degree"/>
    <s v="Life Sciences"/>
    <n v="3"/>
    <n v="0"/>
    <n v="7"/>
    <n v="0"/>
    <n v="2"/>
    <n v="2"/>
    <n v="2"/>
    <n v="2"/>
    <x v="0"/>
    <d v="2023-11-17T00:00:00"/>
    <x v="0"/>
    <s v="Involuntary"/>
    <x v="0"/>
    <x v="0"/>
    <x v="1"/>
    <x v="0"/>
    <x v="5"/>
  </r>
  <r>
    <x v="412"/>
    <s v="No"/>
    <x v="1"/>
    <s v="Research Scientist"/>
    <x v="0"/>
    <x v="0"/>
    <n v="4"/>
    <n v="54168"/>
    <n v="22"/>
    <n v="37.5"/>
    <s v="No"/>
    <n v="29"/>
    <s v="Woman"/>
    <s v="Divorced"/>
    <x v="0"/>
    <n v="28"/>
    <s v="Master's Degree"/>
    <s v="Life Sciences"/>
    <n v="4"/>
    <n v="1"/>
    <n v="11"/>
    <n v="1"/>
    <n v="7"/>
    <n v="5"/>
    <n v="1"/>
    <n v="7"/>
    <x v="1"/>
    <d v="2024-09-24T00:00:00"/>
    <x v="1"/>
    <s v="Involuntary"/>
    <x v="2"/>
    <x v="1"/>
    <x v="3"/>
    <x v="0"/>
    <x v="1"/>
  </r>
  <r>
    <x v="413"/>
    <s v="No"/>
    <x v="1"/>
    <s v="HR Business Partner"/>
    <x v="0"/>
    <x v="2"/>
    <n v="4"/>
    <n v="51204"/>
    <n v="17"/>
    <n v="37.5"/>
    <s v="No"/>
    <n v="59"/>
    <s v="Man"/>
    <s v="Married"/>
    <x v="0"/>
    <n v="6"/>
    <s v="Certificate or Diploma"/>
    <s v="Medical"/>
    <n v="3"/>
    <n v="0"/>
    <n v="7"/>
    <n v="2"/>
    <n v="2"/>
    <n v="2"/>
    <n v="2"/>
    <n v="2"/>
    <x v="0"/>
    <d v="2022-07-24T00:00:00"/>
    <x v="0"/>
    <s v="Voluntary"/>
    <x v="1"/>
    <x v="0"/>
    <x v="0"/>
    <x v="1"/>
    <x v="1"/>
  </r>
  <r>
    <x v="414"/>
    <s v="No"/>
    <x v="1"/>
    <s v="Manager, Sales"/>
    <x v="1"/>
    <x v="1"/>
    <n v="5"/>
    <n v="240816"/>
    <n v="18"/>
    <n v="37.5"/>
    <s v="Yes"/>
    <n v="52"/>
    <s v="Man"/>
    <s v="Single"/>
    <x v="2"/>
    <n v="2"/>
    <s v="Master's Degree"/>
    <s v="Life Sciences"/>
    <n v="3"/>
    <n v="0"/>
    <n v="33"/>
    <n v="2"/>
    <n v="33"/>
    <n v="7"/>
    <n v="15"/>
    <n v="12"/>
    <x v="2"/>
    <d v="2025-06-17T00:00:00"/>
    <x v="1"/>
    <s v="Involuntary"/>
    <x v="3"/>
    <x v="0"/>
    <x v="0"/>
    <x v="2"/>
    <x v="4"/>
  </r>
  <r>
    <x v="415"/>
    <s v="No"/>
    <x v="1"/>
    <s v="Laboratory Technician"/>
    <x v="0"/>
    <x v="0"/>
    <n v="4"/>
    <n v="54384"/>
    <n v="14"/>
    <n v="37.5"/>
    <s v="No"/>
    <n v="29"/>
    <s v="Woman"/>
    <s v="Divorced"/>
    <x v="0"/>
    <n v="7"/>
    <s v="Trades Apprenticeship"/>
    <s v="Medical"/>
    <n v="3"/>
    <n v="3"/>
    <n v="8"/>
    <n v="5"/>
    <n v="4"/>
    <n v="3"/>
    <n v="0"/>
    <n v="3"/>
    <x v="1"/>
    <d v="2023-01-18T00:00:00"/>
    <x v="0"/>
    <s v="Involuntary"/>
    <x v="3"/>
    <x v="1"/>
    <x v="1"/>
    <x v="0"/>
    <x v="1"/>
  </r>
  <r>
    <x v="416"/>
    <s v="No"/>
    <x v="1"/>
    <s v="Sales Representative"/>
    <x v="0"/>
    <x v="1"/>
    <n v="4"/>
    <n v="54408"/>
    <n v="14"/>
    <n v="37.5"/>
    <s v="No"/>
    <n v="27"/>
    <s v="Woman"/>
    <s v="Married"/>
    <x v="0"/>
    <n v="11"/>
    <s v="Bachelor's Degree"/>
    <s v="Medical"/>
    <n v="3"/>
    <n v="1"/>
    <n v="5"/>
    <n v="4"/>
    <n v="1"/>
    <n v="0"/>
    <n v="0"/>
    <n v="0"/>
    <x v="0"/>
    <d v="2025-06-19T00:00:00"/>
    <x v="1"/>
    <s v="Involuntary"/>
    <x v="2"/>
    <x v="1"/>
    <x v="2"/>
    <x v="0"/>
    <x v="4"/>
  </r>
  <r>
    <x v="417"/>
    <s v="No"/>
    <x v="1"/>
    <s v="Sales Executive"/>
    <x v="0"/>
    <x v="1"/>
    <n v="6"/>
    <n v="65580"/>
    <n v="18"/>
    <n v="37.5"/>
    <s v="No"/>
    <n v="32"/>
    <s v="Man"/>
    <s v="Married"/>
    <x v="2"/>
    <n v="26"/>
    <s v="Master's Degree"/>
    <s v="Marketing"/>
    <n v="3"/>
    <n v="0"/>
    <n v="4"/>
    <n v="2"/>
    <n v="3"/>
    <n v="2"/>
    <n v="2"/>
    <n v="2"/>
    <x v="1"/>
    <d v="2023-07-26T00:00:00"/>
    <x v="0"/>
    <s v="Voluntary"/>
    <x v="2"/>
    <x v="1"/>
    <x v="3"/>
    <x v="0"/>
    <x v="1"/>
  </r>
  <r>
    <x v="418"/>
    <s v="No"/>
    <x v="1"/>
    <s v="Research Scientist"/>
    <x v="0"/>
    <x v="0"/>
    <n v="4"/>
    <n v="54516"/>
    <n v="13"/>
    <n v="37.5"/>
    <s v="No"/>
    <n v="36"/>
    <s v="Woman"/>
    <s v="Married"/>
    <x v="0"/>
    <n v="2"/>
    <s v="Bachelor's Degree"/>
    <s v="Life Sciences"/>
    <n v="3"/>
    <n v="1"/>
    <n v="6"/>
    <n v="3"/>
    <n v="2"/>
    <n v="2"/>
    <n v="2"/>
    <n v="2"/>
    <x v="0"/>
    <d v="2024-05-24T00:00:00"/>
    <x v="1"/>
    <s v="Voluntary"/>
    <x v="0"/>
    <x v="0"/>
    <x v="2"/>
    <x v="0"/>
    <x v="4"/>
  </r>
  <r>
    <x v="419"/>
    <s v="No"/>
    <x v="1"/>
    <s v="Research Scientist"/>
    <x v="0"/>
    <x v="0"/>
    <n v="6"/>
    <n v="60864"/>
    <n v="16"/>
    <n v="37.5"/>
    <s v="No"/>
    <n v="41"/>
    <s v="Man"/>
    <s v="Divorced"/>
    <x v="0"/>
    <n v="19"/>
    <s v="Certificate or Diploma"/>
    <s v="Life Sciences"/>
    <n v="3"/>
    <n v="2"/>
    <n v="17"/>
    <n v="2"/>
    <n v="1"/>
    <n v="0"/>
    <n v="0"/>
    <n v="0"/>
    <x v="0"/>
    <d v="2023-07-31T00:00:00"/>
    <x v="0"/>
    <s v="Voluntary"/>
    <x v="2"/>
    <x v="2"/>
    <x v="3"/>
    <x v="1"/>
    <x v="3"/>
  </r>
  <r>
    <x v="420"/>
    <s v="No"/>
    <x v="1"/>
    <s v="Research Scientist"/>
    <x v="0"/>
    <x v="0"/>
    <n v="6"/>
    <n v="63828"/>
    <n v="17"/>
    <n v="37.5"/>
    <s v="No"/>
    <n v="40"/>
    <s v="Man"/>
    <s v="Divorced"/>
    <x v="0"/>
    <n v="24"/>
    <s v="Certificate or Diploma"/>
    <s v="Technical Degree"/>
    <n v="3"/>
    <n v="2"/>
    <n v="9"/>
    <n v="3"/>
    <n v="9"/>
    <n v="8"/>
    <n v="4"/>
    <n v="7"/>
    <x v="1"/>
    <d v="2025-11-05T00:00:00"/>
    <x v="1"/>
    <s v="Involuntary"/>
    <x v="3"/>
    <x v="1"/>
    <x v="3"/>
    <x v="0"/>
    <x v="6"/>
  </r>
  <r>
    <x v="421"/>
    <s v="No"/>
    <x v="1"/>
    <s v="Research Scientist"/>
    <x v="0"/>
    <x v="0"/>
    <n v="4"/>
    <n v="54636"/>
    <n v="16"/>
    <n v="37.5"/>
    <s v="No"/>
    <n v="34"/>
    <s v="Woman"/>
    <s v="Single"/>
    <x v="1"/>
    <n v="16"/>
    <s v="Master's Degree"/>
    <s v="Life Sciences"/>
    <n v="3"/>
    <n v="0"/>
    <n v="6"/>
    <n v="3"/>
    <n v="5"/>
    <n v="2"/>
    <n v="1"/>
    <n v="3"/>
    <x v="1"/>
    <d v="2022-07-25T00:00:00"/>
    <x v="0"/>
    <s v="Involuntary"/>
    <x v="2"/>
    <x v="1"/>
    <x v="1"/>
    <x v="0"/>
    <x v="5"/>
  </r>
  <r>
    <x v="422"/>
    <s v="No"/>
    <x v="1"/>
    <s v="Research Scientist"/>
    <x v="0"/>
    <x v="0"/>
    <n v="4"/>
    <n v="54708"/>
    <n v="11"/>
    <n v="37.5"/>
    <s v="No"/>
    <n v="35"/>
    <s v="Woman"/>
    <s v="Single"/>
    <x v="0"/>
    <n v="27"/>
    <s v="Trades Apprenticeship"/>
    <s v="Medical"/>
    <n v="3"/>
    <n v="0"/>
    <n v="6"/>
    <n v="3"/>
    <n v="6"/>
    <n v="5"/>
    <n v="1"/>
    <n v="1"/>
    <x v="1"/>
    <d v="2024-02-28T00:00:00"/>
    <x v="1"/>
    <s v="Voluntary"/>
    <x v="2"/>
    <x v="2"/>
    <x v="0"/>
    <x v="1"/>
    <x v="2"/>
  </r>
  <r>
    <x v="423"/>
    <s v="No"/>
    <x v="1"/>
    <s v="Manager, R&amp;D"/>
    <x v="1"/>
    <x v="0"/>
    <n v="5"/>
    <n v="242424"/>
    <n v="11"/>
    <n v="37.5"/>
    <s v="No"/>
    <n v="45"/>
    <s v="Man"/>
    <s v="Married"/>
    <x v="0"/>
    <n v="1"/>
    <s v="Bachelor's Degree"/>
    <s v="Other"/>
    <n v="3"/>
    <n v="1"/>
    <n v="25"/>
    <n v="2"/>
    <n v="24"/>
    <n v="0"/>
    <n v="1"/>
    <n v="7"/>
    <x v="2"/>
    <d v="2022-05-16T00:00:00"/>
    <x v="0"/>
    <s v="Involuntary"/>
    <x v="2"/>
    <x v="1"/>
    <x v="1"/>
    <x v="0"/>
    <x v="5"/>
  </r>
  <r>
    <x v="424"/>
    <s v="No"/>
    <x v="1"/>
    <s v="Research Director"/>
    <x v="1"/>
    <x v="0"/>
    <n v="3"/>
    <n v="176100"/>
    <n v="12"/>
    <n v="37.5"/>
    <s v="No"/>
    <n v="31"/>
    <s v="Man"/>
    <s v="Divorced"/>
    <x v="1"/>
    <n v="3"/>
    <s v="Master's Degree"/>
    <s v="Medical"/>
    <n v="3"/>
    <n v="1"/>
    <n v="9"/>
    <n v="3"/>
    <n v="2"/>
    <n v="2"/>
    <n v="2"/>
    <n v="2"/>
    <x v="0"/>
    <d v="2024-12-13T00:00:00"/>
    <x v="1"/>
    <s v="Voluntary"/>
    <x v="1"/>
    <x v="0"/>
    <x v="3"/>
    <x v="0"/>
    <x v="6"/>
  </r>
  <r>
    <x v="425"/>
    <s v="No"/>
    <x v="1"/>
    <s v="Manufacturing Director"/>
    <x v="1"/>
    <x v="0"/>
    <n v="7"/>
    <n v="83484"/>
    <n v="13"/>
    <n v="37.5"/>
    <s v="No"/>
    <n v="34"/>
    <s v="Man"/>
    <s v="Married"/>
    <x v="0"/>
    <n v="2"/>
    <s v="Master's Degree"/>
    <s v="Life Sciences"/>
    <n v="3"/>
    <n v="1"/>
    <n v="13"/>
    <n v="3"/>
    <n v="11"/>
    <n v="9"/>
    <n v="5"/>
    <n v="9"/>
    <x v="2"/>
    <d v="2024-03-08T00:00:00"/>
    <x v="1"/>
    <s v="Involuntary"/>
    <x v="0"/>
    <x v="2"/>
    <x v="2"/>
    <x v="0"/>
    <x v="2"/>
  </r>
  <r>
    <x v="426"/>
    <s v="No"/>
    <x v="1"/>
    <s v="Manufacturing Director"/>
    <x v="1"/>
    <x v="0"/>
    <n v="8"/>
    <n v="89208"/>
    <n v="17"/>
    <n v="37.5"/>
    <s v="No"/>
    <n v="45"/>
    <s v="Man"/>
    <s v="Married"/>
    <x v="1"/>
    <n v="7"/>
    <s v="Master's Degree"/>
    <s v="Life Sciences"/>
    <n v="3"/>
    <n v="1"/>
    <n v="9"/>
    <n v="1"/>
    <n v="3"/>
    <n v="2"/>
    <n v="0"/>
    <n v="2"/>
    <x v="1"/>
    <d v="2024-01-28T00:00:00"/>
    <x v="1"/>
    <s v="Voluntary"/>
    <x v="3"/>
    <x v="0"/>
    <x v="0"/>
    <x v="0"/>
    <x v="1"/>
  </r>
  <r>
    <x v="427"/>
    <s v="No"/>
    <x v="1"/>
    <s v="Laboratory Technician"/>
    <x v="0"/>
    <x v="0"/>
    <n v="4"/>
    <n v="54768"/>
    <n v="14"/>
    <n v="37.5"/>
    <s v="No"/>
    <n v="30"/>
    <s v="Woman"/>
    <s v="Single"/>
    <x v="2"/>
    <n v="2"/>
    <s v="Bachelor's Degree"/>
    <s v="Medical"/>
    <n v="3"/>
    <n v="0"/>
    <n v="12"/>
    <n v="2"/>
    <n v="11"/>
    <n v="7"/>
    <n v="6"/>
    <n v="7"/>
    <x v="2"/>
    <d v="2022-07-04T00:00:00"/>
    <x v="0"/>
    <s v="Involuntary"/>
    <x v="2"/>
    <x v="1"/>
    <x v="1"/>
    <x v="1"/>
    <x v="4"/>
  </r>
  <r>
    <x v="428"/>
    <s v="No"/>
    <x v="1"/>
    <s v="Research Scientist"/>
    <x v="0"/>
    <x v="0"/>
    <n v="4"/>
    <n v="52080"/>
    <n v="19"/>
    <n v="37.5"/>
    <s v="No"/>
    <n v="29"/>
    <s v="Man"/>
    <s v="Single"/>
    <x v="0"/>
    <n v="15"/>
    <s v="Bachelor's Degree"/>
    <s v="Life Sciences"/>
    <n v="3"/>
    <n v="0"/>
    <n v="6"/>
    <n v="1"/>
    <n v="6"/>
    <n v="5"/>
    <n v="1"/>
    <n v="5"/>
    <x v="1"/>
    <d v="2025-04-11T00:00:00"/>
    <x v="1"/>
    <s v="Voluntary"/>
    <x v="2"/>
    <x v="1"/>
    <x v="3"/>
    <x v="0"/>
    <x v="1"/>
  </r>
  <r>
    <x v="429"/>
    <s v="No"/>
    <x v="1"/>
    <s v="Sales Executive"/>
    <x v="0"/>
    <x v="1"/>
    <n v="8"/>
    <n v="95172"/>
    <n v="14"/>
    <n v="37.5"/>
    <s v="No"/>
    <n v="29"/>
    <s v="Man"/>
    <s v="Divorced"/>
    <x v="0"/>
    <n v="20"/>
    <s v="Certificate or Diploma"/>
    <s v="Marketing"/>
    <n v="3"/>
    <n v="1"/>
    <n v="10"/>
    <n v="2"/>
    <n v="3"/>
    <n v="2"/>
    <n v="0"/>
    <n v="2"/>
    <x v="1"/>
    <d v="2024-02-20T00:00:00"/>
    <x v="1"/>
    <s v="Voluntary"/>
    <x v="0"/>
    <x v="1"/>
    <x v="0"/>
    <x v="0"/>
    <x v="7"/>
  </r>
  <r>
    <x v="430"/>
    <s v="No"/>
    <x v="1"/>
    <s v="Sales Representative"/>
    <x v="0"/>
    <x v="1"/>
    <n v="4"/>
    <n v="54864"/>
    <n v="16"/>
    <n v="37.5"/>
    <s v="No"/>
    <n v="35"/>
    <s v="Woman"/>
    <s v="Married"/>
    <x v="0"/>
    <n v="8"/>
    <s v="Master's Degree"/>
    <s v="Life Sciences"/>
    <n v="3"/>
    <n v="1"/>
    <n v="3"/>
    <n v="1"/>
    <n v="3"/>
    <n v="2"/>
    <n v="0"/>
    <n v="2"/>
    <x v="1"/>
    <d v="2025-09-01T00:00:00"/>
    <x v="1"/>
    <s v="Involuntary"/>
    <x v="3"/>
    <x v="1"/>
    <x v="2"/>
    <x v="1"/>
    <x v="6"/>
  </r>
  <r>
    <x v="431"/>
    <s v="No"/>
    <x v="1"/>
    <s v="Laboratory Technician"/>
    <x v="0"/>
    <x v="0"/>
    <n v="4"/>
    <n v="54912"/>
    <n v="16"/>
    <n v="37.5"/>
    <s v="No"/>
    <n v="42"/>
    <s v="Woman"/>
    <s v="Divorced"/>
    <x v="0"/>
    <n v="1"/>
    <s v="Master's Degree"/>
    <s v="Life Sciences"/>
    <n v="3"/>
    <n v="1"/>
    <n v="8"/>
    <n v="5"/>
    <n v="5"/>
    <n v="2"/>
    <n v="1"/>
    <n v="2"/>
    <x v="1"/>
    <d v="2023-12-21T00:00:00"/>
    <x v="0"/>
    <s v="Involuntary"/>
    <x v="1"/>
    <x v="2"/>
    <x v="2"/>
    <x v="0"/>
    <x v="8"/>
  </r>
  <r>
    <x v="432"/>
    <s v="No"/>
    <x v="1"/>
    <s v="Sales Representative"/>
    <x v="0"/>
    <x v="1"/>
    <n v="4"/>
    <n v="54948"/>
    <n v="18"/>
    <n v="37.5"/>
    <s v="Yes"/>
    <n v="34"/>
    <s v="Woman"/>
    <s v="Divorced"/>
    <x v="0"/>
    <n v="14"/>
    <s v="Bachelor's Degree"/>
    <s v="Technical Degree"/>
    <n v="3"/>
    <n v="2"/>
    <n v="8"/>
    <n v="3"/>
    <n v="8"/>
    <n v="2"/>
    <n v="0"/>
    <n v="6"/>
    <x v="1"/>
    <d v="2022-05-23T00:00:00"/>
    <x v="0"/>
    <s v="Voluntary"/>
    <x v="2"/>
    <x v="0"/>
    <x v="0"/>
    <x v="0"/>
    <x v="5"/>
  </r>
  <r>
    <x v="433"/>
    <s v="No"/>
    <x v="1"/>
    <s v="Research Director"/>
    <x v="1"/>
    <x v="0"/>
    <n v="5"/>
    <n v="245232"/>
    <n v="19"/>
    <n v="37.5"/>
    <s v="No"/>
    <n v="40"/>
    <s v="Man"/>
    <s v="Divorced"/>
    <x v="0"/>
    <n v="2"/>
    <s v="Certificate or Diploma"/>
    <s v="Medical"/>
    <n v="3"/>
    <n v="1"/>
    <n v="22"/>
    <n v="5"/>
    <n v="21"/>
    <n v="7"/>
    <n v="3"/>
    <n v="9"/>
    <x v="2"/>
    <d v="2022-02-17T00:00:00"/>
    <x v="0"/>
    <s v="Voluntary"/>
    <x v="3"/>
    <x v="0"/>
    <x v="0"/>
    <x v="0"/>
    <x v="1"/>
  </r>
  <r>
    <x v="434"/>
    <s v="No"/>
    <x v="1"/>
    <s v="Research Scientist"/>
    <x v="0"/>
    <x v="0"/>
    <n v="5"/>
    <n v="55020"/>
    <n v="17"/>
    <n v="37.5"/>
    <s v="No"/>
    <n v="34"/>
    <s v="Woman"/>
    <s v="Married"/>
    <x v="0"/>
    <n v="20"/>
    <s v="Bachelor's Degree"/>
    <s v="Technical Degree"/>
    <n v="3"/>
    <n v="0"/>
    <n v="2"/>
    <n v="5"/>
    <n v="1"/>
    <n v="0"/>
    <n v="0"/>
    <n v="0"/>
    <x v="0"/>
    <d v="2024-12-02T00:00:00"/>
    <x v="1"/>
    <s v="Involuntary"/>
    <x v="2"/>
    <x v="0"/>
    <x v="0"/>
    <x v="1"/>
    <x v="4"/>
  </r>
  <r>
    <x v="435"/>
    <s v="No"/>
    <x v="1"/>
    <s v="Laboratory Technician"/>
    <x v="0"/>
    <x v="0"/>
    <n v="5"/>
    <n v="55044"/>
    <n v="16"/>
    <n v="37.5"/>
    <s v="Yes"/>
    <n v="49"/>
    <s v="Two-Spirit"/>
    <s v="Divorced"/>
    <x v="0"/>
    <n v="16"/>
    <s v="Bachelor's Degree"/>
    <s v="Medical"/>
    <n v="3"/>
    <n v="1"/>
    <n v="17"/>
    <n v="2"/>
    <n v="2"/>
    <n v="2"/>
    <n v="2"/>
    <n v="2"/>
    <x v="0"/>
    <d v="2023-07-02T00:00:00"/>
    <x v="0"/>
    <s v="Voluntary"/>
    <x v="0"/>
    <x v="2"/>
    <x v="2"/>
    <x v="1"/>
    <x v="6"/>
  </r>
  <r>
    <x v="436"/>
    <s v="No"/>
    <x v="1"/>
    <s v="Research Scientist"/>
    <x v="0"/>
    <x v="0"/>
    <n v="5"/>
    <n v="56676"/>
    <n v="11"/>
    <n v="37.5"/>
    <s v="No"/>
    <n v="51"/>
    <s v="Man"/>
    <s v="Married"/>
    <x v="0"/>
    <n v="1"/>
    <s v="Bachelor's Degree"/>
    <s v="Life Sciences"/>
    <n v="3"/>
    <n v="0"/>
    <n v="1"/>
    <n v="0"/>
    <n v="1"/>
    <n v="0"/>
    <n v="0"/>
    <n v="0"/>
    <x v="0"/>
    <d v="2022-10-11T00:00:00"/>
    <x v="0"/>
    <s v="Voluntary"/>
    <x v="2"/>
    <x v="1"/>
    <x v="2"/>
    <x v="1"/>
    <x v="1"/>
  </r>
  <r>
    <x v="437"/>
    <s v="No"/>
    <x v="1"/>
    <s v="Laboratory Technician"/>
    <x v="0"/>
    <x v="0"/>
    <n v="5"/>
    <n v="55116"/>
    <n v="11"/>
    <n v="37.5"/>
    <s v="Yes"/>
    <n v="42"/>
    <s v="Two-Spirit"/>
    <s v="Divorced"/>
    <x v="0"/>
    <n v="2"/>
    <s v="Bachelor's Degree"/>
    <s v="Medical"/>
    <n v="3"/>
    <n v="1"/>
    <n v="10"/>
    <n v="4"/>
    <n v="9"/>
    <n v="6"/>
    <n v="7"/>
    <n v="8"/>
    <x v="1"/>
    <d v="2025-05-24T00:00:00"/>
    <x v="1"/>
    <s v="Involuntary"/>
    <x v="0"/>
    <x v="2"/>
    <x v="1"/>
    <x v="0"/>
    <x v="1"/>
  </r>
  <r>
    <x v="438"/>
    <s v="No"/>
    <x v="1"/>
    <s v="Laboratory Technician"/>
    <x v="0"/>
    <x v="0"/>
    <n v="5"/>
    <n v="57528"/>
    <n v="20"/>
    <n v="37.5"/>
    <s v="No"/>
    <n v="32"/>
    <s v="Man"/>
    <s v="Married"/>
    <x v="1"/>
    <n v="7"/>
    <s v="Bachelor's Degree"/>
    <s v="Life Sciences"/>
    <n v="4"/>
    <n v="0"/>
    <n v="5"/>
    <n v="3"/>
    <n v="5"/>
    <n v="1"/>
    <n v="0"/>
    <n v="3"/>
    <x v="1"/>
    <d v="2022-07-29T00:00:00"/>
    <x v="0"/>
    <s v="Involuntary"/>
    <x v="1"/>
    <x v="3"/>
    <x v="1"/>
    <x v="3"/>
    <x v="8"/>
  </r>
  <r>
    <x v="439"/>
    <s v="No"/>
    <x v="1"/>
    <s v="Sales Executive"/>
    <x v="0"/>
    <x v="1"/>
    <n v="7"/>
    <n v="74988"/>
    <n v="18"/>
    <n v="37.5"/>
    <s v="No"/>
    <n v="38"/>
    <s v="Man"/>
    <s v="Married"/>
    <x v="2"/>
    <n v="2"/>
    <s v="Certificate or Diploma"/>
    <s v="Life Sciences"/>
    <n v="3"/>
    <n v="1"/>
    <n v="13"/>
    <n v="0"/>
    <n v="8"/>
    <n v="7"/>
    <n v="7"/>
    <n v="5"/>
    <x v="1"/>
    <d v="2025-08-04T00:00:00"/>
    <x v="1"/>
    <s v="Voluntary"/>
    <x v="0"/>
    <x v="1"/>
    <x v="0"/>
    <x v="0"/>
    <x v="7"/>
  </r>
  <r>
    <x v="440"/>
    <s v="No"/>
    <x v="1"/>
    <s v="Laboratory Technician"/>
    <x v="0"/>
    <x v="0"/>
    <n v="4"/>
    <n v="50112"/>
    <n v="13"/>
    <n v="37.5"/>
    <s v="No"/>
    <n v="32"/>
    <s v="Man"/>
    <s v="Single"/>
    <x v="0"/>
    <n v="2"/>
    <s v="Trades Apprenticeship"/>
    <s v="Technical Degree"/>
    <n v="3"/>
    <n v="0"/>
    <n v="9"/>
    <n v="5"/>
    <n v="6"/>
    <n v="2"/>
    <n v="0"/>
    <n v="4"/>
    <x v="1"/>
    <d v="2022-06-18T00:00:00"/>
    <x v="0"/>
    <s v="Voluntary"/>
    <x v="0"/>
    <x v="2"/>
    <x v="0"/>
    <x v="0"/>
    <x v="4"/>
  </r>
  <r>
    <x v="441"/>
    <s v="No"/>
    <x v="1"/>
    <s v="Sales Executive"/>
    <x v="0"/>
    <x v="1"/>
    <n v="8"/>
    <n v="91728"/>
    <n v="19"/>
    <n v="37.5"/>
    <s v="No"/>
    <n v="29"/>
    <s v="Man"/>
    <s v="Married"/>
    <x v="0"/>
    <n v="2"/>
    <s v="Bachelor's Degree"/>
    <s v="Medical"/>
    <n v="3"/>
    <n v="2"/>
    <n v="10"/>
    <n v="2"/>
    <n v="0"/>
    <n v="0"/>
    <n v="0"/>
    <n v="0"/>
    <x v="0"/>
    <d v="2024-05-21T00:00:00"/>
    <x v="1"/>
    <s v="Voluntary"/>
    <x v="3"/>
    <x v="3"/>
    <x v="2"/>
    <x v="0"/>
    <x v="8"/>
  </r>
  <r>
    <x v="442"/>
    <s v="No"/>
    <x v="1"/>
    <s v="Research Scientist"/>
    <x v="0"/>
    <x v="0"/>
    <n v="5"/>
    <n v="55428"/>
    <n v="17"/>
    <n v="37.5"/>
    <s v="No"/>
    <n v="38"/>
    <s v="Two-Spirit"/>
    <s v="Single"/>
    <x v="0"/>
    <n v="1"/>
    <s v="Trades Apprenticeship"/>
    <s v="Life Sciences"/>
    <n v="3"/>
    <n v="0"/>
    <n v="8"/>
    <n v="3"/>
    <n v="0"/>
    <n v="0"/>
    <n v="0"/>
    <n v="0"/>
    <x v="0"/>
    <d v="2025-03-30T00:00:00"/>
    <x v="1"/>
    <s v="Voluntary"/>
    <x v="2"/>
    <x v="2"/>
    <x v="0"/>
    <x v="1"/>
    <x v="2"/>
  </r>
  <r>
    <x v="443"/>
    <s v="No"/>
    <x v="1"/>
    <s v="Research Scientist"/>
    <x v="0"/>
    <x v="0"/>
    <n v="5"/>
    <n v="55464"/>
    <n v="21"/>
    <n v="37.5"/>
    <s v="No"/>
    <n v="33"/>
    <s v="Woman"/>
    <s v="Married"/>
    <x v="0"/>
    <n v="4"/>
    <s v="Master's Degree"/>
    <s v="Medical"/>
    <n v="4"/>
    <n v="0"/>
    <n v="7"/>
    <n v="3"/>
    <n v="3"/>
    <n v="2"/>
    <n v="1"/>
    <n v="1"/>
    <x v="1"/>
    <d v="2023-01-16T00:00:00"/>
    <x v="0"/>
    <s v="Involuntary"/>
    <x v="2"/>
    <x v="3"/>
    <x v="0"/>
    <x v="0"/>
    <x v="4"/>
  </r>
  <r>
    <x v="444"/>
    <s v="No"/>
    <x v="1"/>
    <s v="Research Scientist"/>
    <x v="0"/>
    <x v="0"/>
    <n v="5"/>
    <n v="55584"/>
    <n v="14"/>
    <n v="37.5"/>
    <s v="No"/>
    <n v="30"/>
    <s v="Woman"/>
    <s v="Single"/>
    <x v="0"/>
    <n v="18"/>
    <s v="Bachelor's Degree"/>
    <s v="Life Sciences"/>
    <n v="3"/>
    <n v="0"/>
    <n v="5"/>
    <n v="4"/>
    <n v="5"/>
    <n v="4"/>
    <n v="0"/>
    <n v="4"/>
    <x v="1"/>
    <d v="2022-09-04T00:00:00"/>
    <x v="0"/>
    <s v="Involuntary"/>
    <x v="3"/>
    <x v="0"/>
    <x v="1"/>
    <x v="1"/>
    <x v="6"/>
  </r>
  <r>
    <x v="445"/>
    <s v="No"/>
    <x v="1"/>
    <s v="Healthcare Representative"/>
    <x v="0"/>
    <x v="0"/>
    <n v="7"/>
    <n v="78984"/>
    <n v="21"/>
    <n v="37.5"/>
    <s v="No"/>
    <n v="31"/>
    <s v="Man"/>
    <s v="Married"/>
    <x v="0"/>
    <n v="23"/>
    <s v="Bachelor's Degree"/>
    <s v="Medical"/>
    <n v="4"/>
    <n v="1"/>
    <n v="10"/>
    <n v="2"/>
    <n v="9"/>
    <n v="0"/>
    <n v="7"/>
    <n v="8"/>
    <x v="1"/>
    <d v="2023-10-22T00:00:00"/>
    <x v="0"/>
    <s v="Involuntary"/>
    <x v="1"/>
    <x v="1"/>
    <x v="2"/>
    <x v="0"/>
    <x v="1"/>
  </r>
  <r>
    <x v="446"/>
    <s v="No"/>
    <x v="1"/>
    <s v="Healthcare Representative"/>
    <x v="0"/>
    <x v="0"/>
    <n v="6"/>
    <n v="60000"/>
    <n v="12"/>
    <n v="37.5"/>
    <s v="No"/>
    <n v="25"/>
    <s v="Man"/>
    <s v="Divorced"/>
    <x v="2"/>
    <n v="5"/>
    <s v="Certificate or Diploma"/>
    <s v="Life Sciences"/>
    <n v="3"/>
    <n v="2"/>
    <n v="6"/>
    <n v="2"/>
    <n v="6"/>
    <n v="3"/>
    <n v="1"/>
    <n v="5"/>
    <x v="1"/>
    <d v="2025-12-28T00:00:00"/>
    <x v="1"/>
    <s v="Voluntary"/>
    <x v="1"/>
    <x v="2"/>
    <x v="0"/>
    <x v="0"/>
    <x v="2"/>
  </r>
  <r>
    <x v="447"/>
    <s v="No"/>
    <x v="1"/>
    <s v="Research Scientist"/>
    <x v="0"/>
    <x v="0"/>
    <n v="5"/>
    <n v="55740"/>
    <n v="12"/>
    <n v="37.5"/>
    <s v="No"/>
    <n v="43"/>
    <s v="Woman"/>
    <s v="Divorced"/>
    <x v="0"/>
    <n v="2"/>
    <s v="Certificate or Diploma"/>
    <s v="Medical"/>
    <n v="3"/>
    <n v="2"/>
    <n v="6"/>
    <n v="3"/>
    <n v="5"/>
    <n v="3"/>
    <n v="1"/>
    <n v="4"/>
    <x v="1"/>
    <d v="2022-12-16T00:00:00"/>
    <x v="0"/>
    <s v="Voluntary"/>
    <x v="0"/>
    <x v="0"/>
    <x v="0"/>
    <x v="1"/>
    <x v="5"/>
  </r>
  <r>
    <x v="448"/>
    <s v="No"/>
    <x v="1"/>
    <s v="Healthcare Representative"/>
    <x v="0"/>
    <x v="0"/>
    <n v="10"/>
    <n v="173952"/>
    <n v="14"/>
    <n v="37.5"/>
    <s v="Yes"/>
    <n v="45"/>
    <s v="Man"/>
    <s v="Married"/>
    <x v="0"/>
    <n v="20"/>
    <s v="Certificate or Diploma"/>
    <s v="Medical"/>
    <n v="3"/>
    <n v="0"/>
    <n v="21"/>
    <n v="2"/>
    <n v="20"/>
    <n v="7"/>
    <n v="4"/>
    <n v="10"/>
    <x v="2"/>
    <d v="2024-09-28T00:00:00"/>
    <x v="1"/>
    <s v="Involuntary"/>
    <x v="2"/>
    <x v="1"/>
    <x v="2"/>
    <x v="0"/>
    <x v="4"/>
  </r>
  <r>
    <x v="449"/>
    <s v="No"/>
    <x v="1"/>
    <s v="Laboratory Technician"/>
    <x v="0"/>
    <x v="0"/>
    <n v="6"/>
    <n v="62520"/>
    <n v="11"/>
    <n v="37.5"/>
    <s v="No"/>
    <n v="36"/>
    <s v="Man"/>
    <s v="Married"/>
    <x v="0"/>
    <n v="6"/>
    <s v="Bachelor's Degree"/>
    <s v="Life Sciences"/>
    <n v="3"/>
    <n v="1"/>
    <n v="16"/>
    <n v="4"/>
    <n v="15"/>
    <n v="13"/>
    <n v="10"/>
    <n v="11"/>
    <x v="2"/>
    <d v="2023-12-13T00:00:00"/>
    <x v="0"/>
    <s v="Voluntary"/>
    <x v="0"/>
    <x v="1"/>
    <x v="1"/>
    <x v="0"/>
    <x v="0"/>
  </r>
  <r>
    <x v="450"/>
    <s v="No"/>
    <x v="1"/>
    <s v="Manager, R&amp;D"/>
    <x v="1"/>
    <x v="0"/>
    <n v="5"/>
    <n v="240540"/>
    <n v="14"/>
    <n v="37.5"/>
    <s v="Yes"/>
    <n v="55"/>
    <s v="Man"/>
    <s v="Single"/>
    <x v="0"/>
    <n v="1"/>
    <s v="Bachelor's Degree"/>
    <s v="Medical"/>
    <n v="3"/>
    <n v="0"/>
    <n v="37"/>
    <n v="2"/>
    <n v="36"/>
    <n v="10"/>
    <n v="4"/>
    <n v="13"/>
    <x v="2"/>
    <d v="2023-07-16T00:00:00"/>
    <x v="0"/>
    <s v="Voluntary"/>
    <x v="0"/>
    <x v="2"/>
    <x v="1"/>
    <x v="0"/>
    <x v="1"/>
  </r>
  <r>
    <x v="451"/>
    <s v="No"/>
    <x v="1"/>
    <s v="Laboratory Technician"/>
    <x v="0"/>
    <x v="0"/>
    <n v="5"/>
    <n v="55908"/>
    <n v="13"/>
    <n v="37.5"/>
    <s v="Yes"/>
    <n v="26"/>
    <s v="Woman"/>
    <s v="Married"/>
    <x v="0"/>
    <n v="6"/>
    <s v="Bachelor's Degree"/>
    <s v="Life Sciences"/>
    <n v="3"/>
    <n v="1"/>
    <n v="3"/>
    <n v="2"/>
    <n v="3"/>
    <n v="2"/>
    <n v="0"/>
    <n v="2"/>
    <x v="1"/>
    <d v="2022-10-06T00:00:00"/>
    <x v="0"/>
    <s v="Voluntary"/>
    <x v="2"/>
    <x v="1"/>
    <x v="1"/>
    <x v="0"/>
    <x v="5"/>
  </r>
  <r>
    <x v="452"/>
    <s v="No"/>
    <x v="1"/>
    <s v="Research Scientist"/>
    <x v="0"/>
    <x v="0"/>
    <n v="3"/>
    <n v="48840"/>
    <n v="23"/>
    <n v="37.5"/>
    <s v="No"/>
    <n v="28"/>
    <s v="Man"/>
    <s v="Married"/>
    <x v="0"/>
    <n v="9"/>
    <s v="Bachelor's Degree"/>
    <s v="Medical"/>
    <n v="4"/>
    <n v="1"/>
    <n v="5"/>
    <n v="3"/>
    <n v="5"/>
    <n v="2"/>
    <n v="0"/>
    <n v="4"/>
    <x v="1"/>
    <d v="2024-04-13T00:00:00"/>
    <x v="1"/>
    <s v="Involuntary"/>
    <x v="0"/>
    <x v="1"/>
    <x v="0"/>
    <x v="1"/>
    <x v="0"/>
  </r>
  <r>
    <x v="453"/>
    <s v="No"/>
    <x v="1"/>
    <s v="Sales Executive"/>
    <x v="0"/>
    <x v="1"/>
    <n v="8"/>
    <n v="90024"/>
    <n v="14"/>
    <n v="37.5"/>
    <s v="No"/>
    <n v="37"/>
    <s v="Man"/>
    <s v="Married"/>
    <x v="0"/>
    <n v="6"/>
    <s v="Master's Degree"/>
    <s v="Medical"/>
    <n v="3"/>
    <n v="1"/>
    <n v="7"/>
    <n v="5"/>
    <n v="5"/>
    <n v="4"/>
    <n v="0"/>
    <n v="1"/>
    <x v="1"/>
    <d v="2025-10-16T00:00:00"/>
    <x v="1"/>
    <s v="Involuntary"/>
    <x v="2"/>
    <x v="1"/>
    <x v="2"/>
    <x v="2"/>
    <x v="5"/>
  </r>
  <r>
    <x v="454"/>
    <s v="No"/>
    <x v="1"/>
    <s v="Laboratory Technician"/>
    <x v="0"/>
    <x v="0"/>
    <n v="5"/>
    <n v="56040"/>
    <n v="20"/>
    <n v="37.5"/>
    <s v="Yes"/>
    <n v="59"/>
    <s v="Woman"/>
    <s v="Married"/>
    <x v="0"/>
    <n v="3"/>
    <s v="Bachelor's Degree"/>
    <s v="Medical"/>
    <n v="4"/>
    <n v="3"/>
    <n v="12"/>
    <n v="3"/>
    <n v="1"/>
    <n v="0"/>
    <n v="0"/>
    <n v="0"/>
    <x v="0"/>
    <d v="2023-12-23T00:00:00"/>
    <x v="0"/>
    <s v="Involuntary"/>
    <x v="2"/>
    <x v="2"/>
    <x v="3"/>
    <x v="1"/>
    <x v="3"/>
  </r>
  <r>
    <x v="455"/>
    <s v="No"/>
    <x v="1"/>
    <s v="Research Scientist"/>
    <x v="0"/>
    <x v="0"/>
    <n v="6"/>
    <n v="62760"/>
    <n v="17"/>
    <n v="37.5"/>
    <s v="No"/>
    <n v="21"/>
    <s v="Man"/>
    <s v="Single"/>
    <x v="0"/>
    <n v="3"/>
    <s v="Certificate or Diploma"/>
    <s v="Medical"/>
    <n v="3"/>
    <n v="0"/>
    <n v="3"/>
    <n v="4"/>
    <n v="3"/>
    <n v="2"/>
    <n v="1"/>
    <n v="0"/>
    <x v="1"/>
    <d v="2025-05-15T00:00:00"/>
    <x v="1"/>
    <s v="Involuntary"/>
    <x v="0"/>
    <x v="0"/>
    <x v="3"/>
    <x v="2"/>
    <x v="4"/>
  </r>
  <r>
    <x v="456"/>
    <s v="No"/>
    <x v="1"/>
    <s v="Research Director"/>
    <x v="1"/>
    <x v="0"/>
    <n v="5"/>
    <n v="241728"/>
    <n v="14"/>
    <n v="37.5"/>
    <s v="No"/>
    <n v="50"/>
    <s v="Man"/>
    <s v="Divorced"/>
    <x v="0"/>
    <n v="4"/>
    <s v="Trades Apprenticeship"/>
    <s v="Life Sciences"/>
    <n v="3"/>
    <n v="2"/>
    <n v="28"/>
    <n v="4"/>
    <n v="10"/>
    <n v="4"/>
    <n v="1"/>
    <n v="6"/>
    <x v="2"/>
    <d v="2025-05-05T00:00:00"/>
    <x v="1"/>
    <s v="Involuntary"/>
    <x v="3"/>
    <x v="3"/>
    <x v="3"/>
    <x v="1"/>
    <x v="9"/>
  </r>
  <r>
    <x v="457"/>
    <s v="No"/>
    <x v="1"/>
    <s v="Research Director"/>
    <x v="1"/>
    <x v="0"/>
    <n v="4"/>
    <n v="223008"/>
    <n v="16"/>
    <n v="37.5"/>
    <s v="Yes"/>
    <n v="53"/>
    <s v="Man"/>
    <s v="Married"/>
    <x v="0"/>
    <n v="3"/>
    <s v="Master's Degree"/>
    <s v="Medical"/>
    <n v="3"/>
    <n v="3"/>
    <n v="21"/>
    <n v="5"/>
    <n v="5"/>
    <n v="3"/>
    <n v="1"/>
    <n v="3"/>
    <x v="1"/>
    <d v="2023-03-03T00:00:00"/>
    <x v="0"/>
    <s v="Involuntary"/>
    <x v="2"/>
    <x v="0"/>
    <x v="0"/>
    <x v="1"/>
    <x v="4"/>
  </r>
  <r>
    <x v="458"/>
    <s v="No"/>
    <x v="1"/>
    <s v="Sales Executive"/>
    <x v="0"/>
    <x v="1"/>
    <n v="7"/>
    <n v="70884"/>
    <n v="25"/>
    <n v="37.5"/>
    <s v="No"/>
    <n v="42"/>
    <s v="Man"/>
    <s v="Married"/>
    <x v="0"/>
    <n v="1"/>
    <s v="Trades Apprenticeship"/>
    <s v="Life Sciences"/>
    <n v="4"/>
    <n v="0"/>
    <n v="20"/>
    <n v="3"/>
    <n v="20"/>
    <n v="16"/>
    <n v="11"/>
    <n v="6"/>
    <x v="2"/>
    <d v="2025-08-06T00:00:00"/>
    <x v="1"/>
    <s v="Voluntary"/>
    <x v="1"/>
    <x v="0"/>
    <x v="1"/>
    <x v="0"/>
    <x v="1"/>
  </r>
  <r>
    <x v="459"/>
    <s v="No"/>
    <x v="1"/>
    <s v="Sales Executive"/>
    <x v="0"/>
    <x v="1"/>
    <n v="6"/>
    <n v="66648"/>
    <n v="18"/>
    <n v="37.5"/>
    <s v="No"/>
    <n v="29"/>
    <s v="Man"/>
    <s v="Single"/>
    <x v="1"/>
    <n v="2"/>
    <s v="Certificate or Diploma"/>
    <s v="Life Sciences"/>
    <n v="3"/>
    <n v="0"/>
    <n v="10"/>
    <n v="3"/>
    <n v="10"/>
    <n v="7"/>
    <n v="0"/>
    <n v="9"/>
    <x v="2"/>
    <d v="2023-08-27T00:00:00"/>
    <x v="0"/>
    <s v="Voluntary"/>
    <x v="1"/>
    <x v="1"/>
    <x v="3"/>
    <x v="1"/>
    <x v="6"/>
  </r>
  <r>
    <x v="460"/>
    <s v="No"/>
    <x v="1"/>
    <s v="Laboratory Technician"/>
    <x v="0"/>
    <x v="0"/>
    <n v="7"/>
    <n v="76980"/>
    <n v="19"/>
    <n v="37.5"/>
    <s v="Yes"/>
    <n v="55"/>
    <s v="Man"/>
    <s v="Married"/>
    <x v="0"/>
    <n v="20"/>
    <s v="Certificate or Diploma"/>
    <s v="Technical Degree"/>
    <n v="3"/>
    <n v="1"/>
    <n v="12"/>
    <n v="4"/>
    <n v="10"/>
    <n v="7"/>
    <n v="0"/>
    <n v="8"/>
    <x v="2"/>
    <d v="2024-01-31T00:00:00"/>
    <x v="1"/>
    <s v="Involuntary"/>
    <x v="1"/>
    <x v="1"/>
    <x v="0"/>
    <x v="0"/>
    <x v="5"/>
  </r>
  <r>
    <x v="461"/>
    <s v="No"/>
    <x v="1"/>
    <s v="Healthcare Representative"/>
    <x v="0"/>
    <x v="0"/>
    <n v="6"/>
    <n v="68892"/>
    <n v="13"/>
    <n v="37.5"/>
    <s v="Yes"/>
    <n v="26"/>
    <s v="Man"/>
    <s v="Married"/>
    <x v="1"/>
    <n v="11"/>
    <s v="Certificate or Diploma"/>
    <s v="Medical"/>
    <n v="3"/>
    <n v="1"/>
    <n v="5"/>
    <n v="3"/>
    <n v="5"/>
    <n v="3"/>
    <n v="3"/>
    <n v="3"/>
    <x v="1"/>
    <d v="2025-05-22T00:00:00"/>
    <x v="1"/>
    <s v="Voluntary"/>
    <x v="3"/>
    <x v="2"/>
    <x v="1"/>
    <x v="0"/>
    <x v="8"/>
  </r>
  <r>
    <x v="462"/>
    <s v="No"/>
    <x v="1"/>
    <s v="Healthcare Representative"/>
    <x v="0"/>
    <x v="0"/>
    <n v="7"/>
    <n v="80940"/>
    <n v="14"/>
    <n v="37.5"/>
    <s v="No"/>
    <n v="38"/>
    <s v="Man"/>
    <s v="Divorced"/>
    <x v="0"/>
    <n v="23"/>
    <s v="Master's Degree"/>
    <s v="Life Sciences"/>
    <n v="3"/>
    <n v="1"/>
    <n v="10"/>
    <n v="2"/>
    <n v="2"/>
    <n v="2"/>
    <n v="1"/>
    <n v="2"/>
    <x v="0"/>
    <d v="2025-05-01T00:00:00"/>
    <x v="1"/>
    <s v="Voluntary"/>
    <x v="0"/>
    <x v="1"/>
    <x v="2"/>
    <x v="0"/>
    <x v="5"/>
  </r>
  <r>
    <x v="463"/>
    <s v="No"/>
    <x v="1"/>
    <s v="Research Scientist"/>
    <x v="0"/>
    <x v="0"/>
    <n v="6"/>
    <n v="65820"/>
    <n v="12"/>
    <n v="37.5"/>
    <s v="No"/>
    <n v="36"/>
    <s v="Man"/>
    <s v="Single"/>
    <x v="0"/>
    <n v="3"/>
    <s v="Bachelor's Degree"/>
    <s v="Technical Degree"/>
    <n v="3"/>
    <n v="0"/>
    <n v="10"/>
    <n v="2"/>
    <n v="8"/>
    <n v="0"/>
    <n v="7"/>
    <n v="7"/>
    <x v="1"/>
    <d v="2025-05-15T00:00:00"/>
    <x v="1"/>
    <s v="Voluntary"/>
    <x v="2"/>
    <x v="3"/>
    <x v="0"/>
    <x v="0"/>
    <x v="4"/>
  </r>
  <r>
    <x v="464"/>
    <s v="No"/>
    <x v="1"/>
    <s v="Research Scientist"/>
    <x v="0"/>
    <x v="0"/>
    <n v="4"/>
    <n v="51912"/>
    <n v="12"/>
    <n v="37.5"/>
    <s v="Yes"/>
    <n v="37"/>
    <s v="Man"/>
    <s v="Married"/>
    <x v="1"/>
    <n v="9"/>
    <s v="Bachelor's Degree"/>
    <s v="Medical"/>
    <n v="3"/>
    <n v="3"/>
    <n v="4"/>
    <n v="3"/>
    <n v="4"/>
    <n v="2"/>
    <n v="1"/>
    <n v="2"/>
    <x v="1"/>
    <d v="2024-12-07T00:00:00"/>
    <x v="1"/>
    <s v="Voluntary"/>
    <x v="1"/>
    <x v="1"/>
    <x v="1"/>
    <x v="1"/>
    <x v="1"/>
  </r>
  <r>
    <x v="465"/>
    <s v="No"/>
    <x v="1"/>
    <s v="Sales Executive"/>
    <x v="0"/>
    <x v="1"/>
    <n v="9"/>
    <n v="108240"/>
    <n v="15"/>
    <n v="37.5"/>
    <s v="No"/>
    <n v="35"/>
    <s v="Man"/>
    <s v="Married"/>
    <x v="0"/>
    <n v="16"/>
    <s v="Bachelor's Degree"/>
    <s v="Marketing"/>
    <n v="3"/>
    <n v="2"/>
    <n v="12"/>
    <n v="3"/>
    <n v="11"/>
    <n v="9"/>
    <n v="6"/>
    <n v="9"/>
    <x v="2"/>
    <d v="2023-10-30T00:00:00"/>
    <x v="0"/>
    <s v="Voluntary"/>
    <x v="2"/>
    <x v="3"/>
    <x v="1"/>
    <x v="1"/>
    <x v="2"/>
  </r>
  <r>
    <x v="466"/>
    <s v="No"/>
    <x v="1"/>
    <s v="Laboratory Technician"/>
    <x v="0"/>
    <x v="0"/>
    <n v="6"/>
    <n v="68256"/>
    <n v="18"/>
    <n v="37.5"/>
    <s v="No"/>
    <n v="36"/>
    <s v="Man"/>
    <s v="Married"/>
    <x v="1"/>
    <n v="18"/>
    <s v="Master's Degree"/>
    <s v="Life Sciences"/>
    <n v="3"/>
    <n v="2"/>
    <n v="4"/>
    <n v="2"/>
    <n v="1"/>
    <n v="0"/>
    <n v="0"/>
    <n v="0"/>
    <x v="0"/>
    <d v="2025-12-20T00:00:00"/>
    <x v="1"/>
    <s v="Voluntary"/>
    <x v="2"/>
    <x v="1"/>
    <x v="0"/>
    <x v="0"/>
    <x v="0"/>
  </r>
  <r>
    <x v="467"/>
    <s v="No"/>
    <x v="1"/>
    <s v="Manufacturing Director"/>
    <x v="1"/>
    <x v="0"/>
    <n v="7"/>
    <n v="77784"/>
    <n v="18"/>
    <n v="37.5"/>
    <s v="No"/>
    <n v="51"/>
    <s v="Man"/>
    <s v="Divorced"/>
    <x v="0"/>
    <n v="2"/>
    <s v="Bachelor's Degree"/>
    <s v="Medical"/>
    <n v="3"/>
    <n v="1"/>
    <n v="13"/>
    <n v="3"/>
    <n v="4"/>
    <n v="1"/>
    <n v="1"/>
    <n v="2"/>
    <x v="1"/>
    <d v="2023-10-09T00:00:00"/>
    <x v="0"/>
    <s v="Voluntary"/>
    <x v="0"/>
    <x v="3"/>
    <x v="0"/>
    <x v="0"/>
    <x v="5"/>
  </r>
  <r>
    <x v="468"/>
    <s v="No"/>
    <x v="1"/>
    <s v="Manager, Sales"/>
    <x v="1"/>
    <x v="1"/>
    <n v="4"/>
    <n v="204180"/>
    <n v="19"/>
    <n v="37.5"/>
    <s v="No"/>
    <n v="41"/>
    <s v="Man"/>
    <s v="Single"/>
    <x v="0"/>
    <n v="2"/>
    <s v="Master's Degree"/>
    <s v="Life Sciences"/>
    <n v="3"/>
    <n v="0"/>
    <n v="22"/>
    <n v="2"/>
    <n v="22"/>
    <n v="10"/>
    <n v="0"/>
    <n v="4"/>
    <x v="2"/>
    <d v="2023-11-14T00:00:00"/>
    <x v="0"/>
    <s v="Involuntary"/>
    <x v="0"/>
    <x v="3"/>
    <x v="2"/>
    <x v="0"/>
    <x v="1"/>
  </r>
  <r>
    <x v="469"/>
    <s v="No"/>
    <x v="1"/>
    <s v="Healthcare Representative"/>
    <x v="0"/>
    <x v="0"/>
    <n v="7"/>
    <n v="79932"/>
    <n v="19"/>
    <n v="37.5"/>
    <s v="No"/>
    <n v="28"/>
    <s v="Man"/>
    <s v="Single"/>
    <x v="0"/>
    <n v="16"/>
    <s v="Certificate or Diploma"/>
    <s v="Medical"/>
    <n v="3"/>
    <n v="0"/>
    <n v="9"/>
    <n v="2"/>
    <n v="8"/>
    <n v="3"/>
    <n v="0"/>
    <n v="7"/>
    <x v="1"/>
    <d v="2023-06-14T00:00:00"/>
    <x v="0"/>
    <s v="Involuntary"/>
    <x v="1"/>
    <x v="2"/>
    <x v="1"/>
    <x v="0"/>
    <x v="6"/>
  </r>
  <r>
    <x v="470"/>
    <s v="No"/>
    <x v="1"/>
    <s v="Sales Executive"/>
    <x v="0"/>
    <x v="1"/>
    <n v="8"/>
    <n v="95148"/>
    <n v="11"/>
    <n v="37.5"/>
    <s v="No"/>
    <n v="31"/>
    <s v="Man"/>
    <s v="Married"/>
    <x v="0"/>
    <n v="7"/>
    <s v="Bachelor's Degree"/>
    <s v="Technical Degree"/>
    <n v="3"/>
    <n v="1"/>
    <n v="10"/>
    <n v="3"/>
    <n v="8"/>
    <n v="7"/>
    <n v="7"/>
    <n v="7"/>
    <x v="1"/>
    <d v="2025-07-27T00:00:00"/>
    <x v="1"/>
    <s v="Involuntary"/>
    <x v="1"/>
    <x v="1"/>
    <x v="2"/>
    <x v="1"/>
    <x v="2"/>
  </r>
  <r>
    <x v="471"/>
    <s v="No"/>
    <x v="1"/>
    <s v="Healthcare Representative"/>
    <x v="0"/>
    <x v="0"/>
    <n v="9"/>
    <n v="127356"/>
    <n v="17"/>
    <n v="37.5"/>
    <s v="No"/>
    <n v="39"/>
    <s v="Man"/>
    <s v="Divorced"/>
    <x v="0"/>
    <n v="1"/>
    <s v="Bachelor's Degree"/>
    <s v="Medical"/>
    <n v="3"/>
    <n v="3"/>
    <n v="19"/>
    <n v="5"/>
    <n v="18"/>
    <n v="10"/>
    <n v="3"/>
    <n v="7"/>
    <x v="2"/>
    <d v="2025-11-05T00:00:00"/>
    <x v="1"/>
    <s v="Involuntary"/>
    <x v="2"/>
    <x v="1"/>
    <x v="3"/>
    <x v="1"/>
    <x v="2"/>
  </r>
  <r>
    <x v="472"/>
    <s v="No"/>
    <x v="1"/>
    <s v="Sales Executive"/>
    <x v="0"/>
    <x v="1"/>
    <n v="7"/>
    <n v="77808"/>
    <n v="14"/>
    <n v="37.5"/>
    <s v="No"/>
    <n v="32"/>
    <s v="Man"/>
    <s v="Married"/>
    <x v="0"/>
    <n v="7"/>
    <s v="Bachelor's Degree"/>
    <s v="Life Sciences"/>
    <n v="3"/>
    <n v="1"/>
    <n v="13"/>
    <n v="3"/>
    <n v="13"/>
    <n v="8"/>
    <n v="4"/>
    <n v="8"/>
    <x v="2"/>
    <d v="2025-08-31T00:00:00"/>
    <x v="1"/>
    <s v="Voluntary"/>
    <x v="0"/>
    <x v="0"/>
    <x v="1"/>
    <x v="1"/>
    <x v="4"/>
  </r>
  <r>
    <x v="473"/>
    <s v="No"/>
    <x v="1"/>
    <s v="Healthcare Representative"/>
    <x v="0"/>
    <x v="0"/>
    <n v="7"/>
    <n v="79920"/>
    <n v="13"/>
    <n v="37.5"/>
    <s v="Yes"/>
    <n v="58"/>
    <s v="Man"/>
    <s v="Divorced"/>
    <x v="2"/>
    <n v="1"/>
    <s v="Master's Degree"/>
    <s v="Life Sciences"/>
    <n v="3"/>
    <n v="1"/>
    <n v="12"/>
    <n v="2"/>
    <n v="5"/>
    <n v="3"/>
    <n v="1"/>
    <n v="2"/>
    <x v="1"/>
    <d v="2023-12-26T00:00:00"/>
    <x v="0"/>
    <s v="Involuntary"/>
    <x v="0"/>
    <x v="0"/>
    <x v="0"/>
    <x v="0"/>
    <x v="0"/>
  </r>
  <r>
    <x v="474"/>
    <s v="No"/>
    <x v="1"/>
    <s v="Research Scientist"/>
    <x v="0"/>
    <x v="0"/>
    <n v="6"/>
    <n v="69852"/>
    <n v="12"/>
    <n v="37.5"/>
    <s v="Yes"/>
    <n v="31"/>
    <s v="Man"/>
    <s v="Married"/>
    <x v="0"/>
    <n v="5"/>
    <s v="Master's Degree"/>
    <s v="Technical Degree"/>
    <n v="3"/>
    <n v="1"/>
    <n v="6"/>
    <n v="4"/>
    <n v="5"/>
    <n v="2"/>
    <n v="0"/>
    <n v="3"/>
    <x v="1"/>
    <d v="2022-12-10T00:00:00"/>
    <x v="0"/>
    <s v="Involuntary"/>
    <x v="2"/>
    <x v="1"/>
    <x v="1"/>
    <x v="0"/>
    <x v="5"/>
  </r>
  <r>
    <x v="475"/>
    <s v="No"/>
    <x v="1"/>
    <s v="HR Business Partner"/>
    <x v="0"/>
    <x v="2"/>
    <n v="8"/>
    <n v="88920"/>
    <n v="12"/>
    <n v="37.5"/>
    <s v="No"/>
    <n v="31"/>
    <s v="Man"/>
    <s v="Married"/>
    <x v="0"/>
    <n v="2"/>
    <s v="Bachelor's Degree"/>
    <s v="Human Resources"/>
    <n v="3"/>
    <n v="0"/>
    <n v="9"/>
    <n v="1"/>
    <n v="2"/>
    <n v="2"/>
    <n v="1"/>
    <n v="0"/>
    <x v="0"/>
    <d v="2023-05-05T00:00:00"/>
    <x v="0"/>
    <s v="Involuntary"/>
    <x v="3"/>
    <x v="2"/>
    <x v="0"/>
    <x v="0"/>
    <x v="6"/>
  </r>
  <r>
    <x v="476"/>
    <s v="No"/>
    <x v="1"/>
    <s v="Laboratory Technician"/>
    <x v="0"/>
    <x v="0"/>
    <n v="7"/>
    <n v="74520"/>
    <n v="18"/>
    <n v="37.5"/>
    <s v="No"/>
    <n v="45"/>
    <s v="Man"/>
    <s v="Divorced"/>
    <x v="1"/>
    <n v="7"/>
    <s v="Bachelor's Degree"/>
    <s v="Life Sciences"/>
    <n v="3"/>
    <n v="1"/>
    <n v="24"/>
    <n v="2"/>
    <n v="24"/>
    <n v="9"/>
    <n v="9"/>
    <n v="11"/>
    <x v="2"/>
    <d v="2024-09-22T00:00:00"/>
    <x v="1"/>
    <s v="Involuntary"/>
    <x v="3"/>
    <x v="2"/>
    <x v="3"/>
    <x v="0"/>
    <x v="9"/>
  </r>
  <r>
    <x v="477"/>
    <s v="No"/>
    <x v="1"/>
    <s v="Laboratory Technician"/>
    <x v="0"/>
    <x v="0"/>
    <n v="5"/>
    <n v="56916"/>
    <n v="20"/>
    <n v="37.5"/>
    <s v="No"/>
    <n v="32"/>
    <s v="Woman"/>
    <s v="Married"/>
    <x v="1"/>
    <n v="13"/>
    <s v="Bachelor's Degree"/>
    <s v="Other"/>
    <n v="4"/>
    <n v="1"/>
    <n v="2"/>
    <n v="2"/>
    <n v="2"/>
    <n v="2"/>
    <n v="2"/>
    <n v="2"/>
    <x v="0"/>
    <d v="2025-09-28T00:00:00"/>
    <x v="1"/>
    <s v="Involuntary"/>
    <x v="2"/>
    <x v="3"/>
    <x v="1"/>
    <x v="0"/>
    <x v="1"/>
  </r>
  <r>
    <x v="478"/>
    <s v="No"/>
    <x v="1"/>
    <s v="Research Scientist"/>
    <x v="0"/>
    <x v="0"/>
    <n v="5"/>
    <n v="57072"/>
    <n v="13"/>
    <n v="37.5"/>
    <s v="No"/>
    <n v="33"/>
    <s v="Woman"/>
    <s v="Married"/>
    <x v="0"/>
    <n v="14"/>
    <s v="Bachelor's Degree"/>
    <s v="Medical"/>
    <n v="3"/>
    <n v="1"/>
    <n v="8"/>
    <n v="5"/>
    <n v="8"/>
    <n v="7"/>
    <n v="1"/>
    <n v="6"/>
    <x v="1"/>
    <d v="2022-02-11T00:00:00"/>
    <x v="0"/>
    <s v="Voluntary"/>
    <x v="0"/>
    <x v="3"/>
    <x v="0"/>
    <x v="0"/>
    <x v="5"/>
  </r>
  <r>
    <x v="479"/>
    <s v="No"/>
    <x v="1"/>
    <s v="Research Scientist"/>
    <x v="0"/>
    <x v="0"/>
    <n v="5"/>
    <n v="56340"/>
    <n v="18"/>
    <n v="37.5"/>
    <s v="Yes"/>
    <n v="31"/>
    <s v="Man"/>
    <s v="Divorced"/>
    <x v="0"/>
    <n v="2"/>
    <s v="Master's Degree"/>
    <s v="Life Sciences"/>
    <n v="3"/>
    <n v="1"/>
    <n v="3"/>
    <n v="2"/>
    <n v="2"/>
    <n v="2"/>
    <n v="2"/>
    <n v="2"/>
    <x v="0"/>
    <d v="2023-10-27T00:00:00"/>
    <x v="0"/>
    <s v="Involuntary"/>
    <x v="2"/>
    <x v="1"/>
    <x v="2"/>
    <x v="3"/>
    <x v="2"/>
  </r>
  <r>
    <x v="480"/>
    <s v="No"/>
    <x v="1"/>
    <s v="Manager, R&amp;D"/>
    <x v="1"/>
    <x v="0"/>
    <n v="4"/>
    <n v="216816"/>
    <n v="14"/>
    <n v="37.5"/>
    <s v="Yes"/>
    <n v="39"/>
    <s v="Man"/>
    <s v="Married"/>
    <x v="0"/>
    <n v="10"/>
    <s v="Trades Apprenticeship"/>
    <s v="Medical"/>
    <n v="3"/>
    <n v="0"/>
    <n v="21"/>
    <n v="3"/>
    <n v="21"/>
    <n v="9"/>
    <n v="11"/>
    <n v="10"/>
    <x v="2"/>
    <d v="2022-01-26T00:00:00"/>
    <x v="0"/>
    <s v="Voluntary"/>
    <x v="2"/>
    <x v="2"/>
    <x v="0"/>
    <x v="0"/>
    <x v="1"/>
  </r>
  <r>
    <x v="481"/>
    <s v="No"/>
    <x v="1"/>
    <s v="Sales Executive"/>
    <x v="0"/>
    <x v="1"/>
    <n v="6"/>
    <n v="65736"/>
    <n v="11"/>
    <n v="37.5"/>
    <s v="Yes"/>
    <n v="27"/>
    <s v="Man"/>
    <s v="Single"/>
    <x v="0"/>
    <n v="2"/>
    <s v="Bachelor's Degree"/>
    <s v="Life Sciences"/>
    <n v="3"/>
    <n v="0"/>
    <n v="5"/>
    <n v="3"/>
    <n v="5"/>
    <n v="4"/>
    <n v="0"/>
    <n v="4"/>
    <x v="1"/>
    <d v="2023-09-19T00:00:00"/>
    <x v="0"/>
    <s v="Voluntary"/>
    <x v="0"/>
    <x v="0"/>
    <x v="3"/>
    <x v="0"/>
    <x v="1"/>
  </r>
  <r>
    <x v="482"/>
    <s v="No"/>
    <x v="1"/>
    <s v="Sales Executive"/>
    <x v="0"/>
    <x v="1"/>
    <n v="9"/>
    <n v="102564"/>
    <n v="12"/>
    <n v="37.5"/>
    <s v="No"/>
    <n v="31"/>
    <s v="Man"/>
    <s v="Divorced"/>
    <x v="0"/>
    <n v="7"/>
    <s v="Bachelor's Degree"/>
    <s v="Marketing"/>
    <n v="3"/>
    <n v="3"/>
    <n v="13"/>
    <n v="3"/>
    <n v="7"/>
    <n v="7"/>
    <n v="1"/>
    <n v="7"/>
    <x v="1"/>
    <d v="2025-03-07T00:00:00"/>
    <x v="1"/>
    <s v="Voluntary"/>
    <x v="0"/>
    <x v="1"/>
    <x v="0"/>
    <x v="0"/>
    <x v="7"/>
  </r>
  <r>
    <x v="483"/>
    <s v="No"/>
    <x v="1"/>
    <s v="Research Scientist"/>
    <x v="0"/>
    <x v="0"/>
    <n v="5"/>
    <n v="57384"/>
    <n v="13"/>
    <n v="37.5"/>
    <s v="Yes"/>
    <n v="37"/>
    <s v="Woman"/>
    <s v="Divorced"/>
    <x v="0"/>
    <n v="10"/>
    <s v="Trades Apprenticeship"/>
    <s v="Life Sciences"/>
    <n v="3"/>
    <n v="2"/>
    <n v="6"/>
    <n v="3"/>
    <n v="5"/>
    <n v="3"/>
    <n v="4"/>
    <n v="3"/>
    <x v="1"/>
    <d v="2024-05-16T00:00:00"/>
    <x v="1"/>
    <s v="Voluntary"/>
    <x v="0"/>
    <x v="2"/>
    <x v="2"/>
    <x v="1"/>
    <x v="6"/>
  </r>
  <r>
    <x v="484"/>
    <s v="No"/>
    <x v="1"/>
    <s v="Manager, R&amp;D"/>
    <x v="1"/>
    <x v="0"/>
    <n v="5"/>
    <n v="243264"/>
    <n v="15"/>
    <n v="37.5"/>
    <s v="No"/>
    <n v="39"/>
    <s v="Man"/>
    <s v="Married"/>
    <x v="1"/>
    <n v="7"/>
    <s v="Certificate or Diploma"/>
    <s v="Medical"/>
    <n v="3"/>
    <n v="1"/>
    <n v="21"/>
    <n v="2"/>
    <n v="21"/>
    <n v="9"/>
    <n v="13"/>
    <n v="3"/>
    <x v="2"/>
    <d v="2025-02-11T00:00:00"/>
    <x v="1"/>
    <s v="Involuntary"/>
    <x v="2"/>
    <x v="1"/>
    <x v="3"/>
    <x v="0"/>
    <x v="1"/>
  </r>
  <r>
    <x v="485"/>
    <s v="No"/>
    <x v="1"/>
    <s v="Sales Representative"/>
    <x v="0"/>
    <x v="1"/>
    <n v="5"/>
    <n v="57396"/>
    <n v="19"/>
    <n v="37.5"/>
    <s v="No"/>
    <n v="20"/>
    <s v="Woman"/>
    <s v="Single"/>
    <x v="0"/>
    <n v="2"/>
    <s v="Bachelor's Degree"/>
    <s v="Medical"/>
    <n v="3"/>
    <n v="0"/>
    <n v="2"/>
    <n v="3"/>
    <n v="2"/>
    <n v="2"/>
    <n v="2"/>
    <n v="2"/>
    <x v="0"/>
    <d v="2023-07-29T00:00:00"/>
    <x v="0"/>
    <s v="Voluntary"/>
    <x v="2"/>
    <x v="0"/>
    <x v="3"/>
    <x v="0"/>
    <x v="2"/>
  </r>
  <r>
    <x v="486"/>
    <s v="No"/>
    <x v="1"/>
    <s v="Sales Representative"/>
    <x v="0"/>
    <x v="1"/>
    <n v="5"/>
    <n v="57468"/>
    <n v="11"/>
    <n v="37.5"/>
    <s v="No"/>
    <n v="31"/>
    <s v="Woman"/>
    <s v="Divorced"/>
    <x v="1"/>
    <n v="5"/>
    <s v="Bachelor's Degree"/>
    <s v="Marketing"/>
    <n v="3"/>
    <n v="1"/>
    <n v="2"/>
    <n v="5"/>
    <n v="2"/>
    <n v="2"/>
    <n v="2"/>
    <n v="2"/>
    <x v="0"/>
    <d v="2024-05-24T00:00:00"/>
    <x v="1"/>
    <s v="Involuntary"/>
    <x v="0"/>
    <x v="3"/>
    <x v="1"/>
    <x v="1"/>
    <x v="1"/>
  </r>
  <r>
    <x v="487"/>
    <s v="No"/>
    <x v="1"/>
    <s v="Sales Executive"/>
    <x v="0"/>
    <x v="1"/>
    <n v="6"/>
    <n v="68184"/>
    <n v="14"/>
    <n v="37.5"/>
    <s v="No"/>
    <n v="33"/>
    <s v="Man"/>
    <s v="Single"/>
    <x v="1"/>
    <n v="10"/>
    <s v="Bachelor's Degree"/>
    <s v="Marketing"/>
    <n v="3"/>
    <n v="0"/>
    <n v="9"/>
    <n v="6"/>
    <n v="7"/>
    <n v="7"/>
    <n v="0"/>
    <n v="1"/>
    <x v="1"/>
    <d v="2022-12-04T00:00:00"/>
    <x v="0"/>
    <s v="Involuntary"/>
    <x v="1"/>
    <x v="1"/>
    <x v="1"/>
    <x v="1"/>
    <x v="1"/>
  </r>
  <r>
    <x v="488"/>
    <s v="No"/>
    <x v="1"/>
    <s v="Research Director"/>
    <x v="1"/>
    <x v="0"/>
    <n v="5"/>
    <n v="231600"/>
    <n v="11"/>
    <n v="37.5"/>
    <s v="No"/>
    <n v="47"/>
    <s v="Man"/>
    <s v="Married"/>
    <x v="0"/>
    <n v="5"/>
    <s v="Doctorate"/>
    <s v="Life Sciences"/>
    <n v="3"/>
    <n v="1"/>
    <n v="21"/>
    <n v="2"/>
    <n v="3"/>
    <n v="2"/>
    <n v="1"/>
    <n v="1"/>
    <x v="1"/>
    <d v="2025-01-10T00:00:00"/>
    <x v="1"/>
    <s v="Involuntary"/>
    <x v="0"/>
    <x v="0"/>
    <x v="2"/>
    <x v="0"/>
    <x v="4"/>
  </r>
  <r>
    <x v="489"/>
    <s v="No"/>
    <x v="1"/>
    <s v="Sales Executive"/>
    <x v="0"/>
    <x v="1"/>
    <n v="8"/>
    <n v="88188"/>
    <n v="13"/>
    <n v="37.5"/>
    <s v="Yes"/>
    <n v="27"/>
    <s v="Man"/>
    <s v="Married"/>
    <x v="2"/>
    <n v="1"/>
    <s v="Trades Apprenticeship"/>
    <s v="Marketing"/>
    <n v="3"/>
    <n v="1"/>
    <n v="6"/>
    <n v="0"/>
    <n v="5"/>
    <n v="4"/>
    <n v="1"/>
    <n v="4"/>
    <x v="1"/>
    <d v="2024-12-04T00:00:00"/>
    <x v="1"/>
    <s v="Involuntary"/>
    <x v="2"/>
    <x v="3"/>
    <x v="0"/>
    <x v="0"/>
    <x v="4"/>
  </r>
  <r>
    <x v="490"/>
    <s v="No"/>
    <x v="1"/>
    <s v="Research Scientist"/>
    <x v="0"/>
    <x v="0"/>
    <n v="6"/>
    <n v="68364"/>
    <n v="14"/>
    <n v="37.5"/>
    <s v="No"/>
    <n v="45"/>
    <s v="Man"/>
    <s v="Married"/>
    <x v="0"/>
    <n v="8"/>
    <s v="Master's Degree"/>
    <s v="Other"/>
    <n v="3"/>
    <n v="2"/>
    <n v="12"/>
    <n v="3"/>
    <n v="10"/>
    <n v="9"/>
    <n v="9"/>
    <n v="8"/>
    <x v="2"/>
    <d v="2024-02-16T00:00:00"/>
    <x v="1"/>
    <s v="Involuntary"/>
    <x v="0"/>
    <x v="1"/>
    <x v="3"/>
    <x v="0"/>
    <x v="4"/>
  </r>
  <r>
    <x v="491"/>
    <s v="No"/>
    <x v="1"/>
    <s v="Sales Executive"/>
    <x v="0"/>
    <x v="1"/>
    <n v="9"/>
    <n v="101484"/>
    <n v="22"/>
    <n v="37.5"/>
    <s v="Yes"/>
    <n v="40"/>
    <s v="Man"/>
    <s v="Married"/>
    <x v="0"/>
    <n v="1"/>
    <s v="Certificate or Diploma"/>
    <s v="Medical"/>
    <n v="4"/>
    <n v="3"/>
    <n v="6"/>
    <n v="2"/>
    <n v="4"/>
    <n v="3"/>
    <n v="0"/>
    <n v="2"/>
    <x v="1"/>
    <d v="2023-08-04T00:00:00"/>
    <x v="0"/>
    <s v="Voluntary"/>
    <x v="1"/>
    <x v="1"/>
    <x v="1"/>
    <x v="1"/>
    <x v="1"/>
  </r>
  <r>
    <x v="492"/>
    <s v="No"/>
    <x v="1"/>
    <s v="Laboratory Technician"/>
    <x v="0"/>
    <x v="0"/>
    <n v="7"/>
    <n v="71796"/>
    <n v="17"/>
    <n v="37.5"/>
    <s v="No"/>
    <n v="29"/>
    <s v="Man"/>
    <s v="Single"/>
    <x v="0"/>
    <n v="9"/>
    <s v="Doctorate"/>
    <s v="Other"/>
    <n v="3"/>
    <n v="0"/>
    <n v="4"/>
    <n v="2"/>
    <n v="3"/>
    <n v="2"/>
    <n v="2"/>
    <n v="2"/>
    <x v="1"/>
    <d v="2025-06-29T00:00:00"/>
    <x v="1"/>
    <s v="Voluntary"/>
    <x v="1"/>
    <x v="1"/>
    <x v="1"/>
    <x v="0"/>
    <x v="4"/>
  </r>
  <r>
    <x v="493"/>
    <s v="No"/>
    <x v="1"/>
    <s v="Manufacturing Director"/>
    <x v="1"/>
    <x v="0"/>
    <n v="8"/>
    <n v="88164"/>
    <n v="16"/>
    <n v="37.5"/>
    <s v="No"/>
    <n v="37"/>
    <s v="Man"/>
    <s v="Divorced"/>
    <x v="0"/>
    <n v="5"/>
    <s v="Certificate or Diploma"/>
    <s v="Medical"/>
    <n v="3"/>
    <n v="2"/>
    <n v="8"/>
    <n v="2"/>
    <n v="6"/>
    <n v="2"/>
    <n v="0"/>
    <n v="4"/>
    <x v="1"/>
    <d v="2024-06-20T00:00:00"/>
    <x v="1"/>
    <s v="Voluntary"/>
    <x v="0"/>
    <x v="1"/>
    <x v="1"/>
    <x v="1"/>
    <x v="5"/>
  </r>
  <r>
    <x v="494"/>
    <s v="No"/>
    <x v="1"/>
    <s v="Laboratory Technician"/>
    <x v="0"/>
    <x v="0"/>
    <n v="5"/>
    <n v="57732"/>
    <n v="14"/>
    <n v="37.5"/>
    <s v="No"/>
    <n v="27"/>
    <s v="Woman"/>
    <s v="Married"/>
    <x v="0"/>
    <n v="16"/>
    <s v="Master's Degree"/>
    <s v="Technical Degree"/>
    <n v="3"/>
    <n v="1"/>
    <n v="4"/>
    <n v="2"/>
    <n v="2"/>
    <n v="2"/>
    <n v="2"/>
    <n v="2"/>
    <x v="0"/>
    <d v="2025-07-15T00:00:00"/>
    <x v="1"/>
    <s v="Involuntary"/>
    <x v="2"/>
    <x v="3"/>
    <x v="2"/>
    <x v="0"/>
    <x v="2"/>
  </r>
  <r>
    <x v="495"/>
    <s v="No"/>
    <x v="1"/>
    <s v="Research Scientist"/>
    <x v="0"/>
    <x v="0"/>
    <n v="5"/>
    <n v="57768"/>
    <n v="14"/>
    <n v="37.5"/>
    <s v="Yes"/>
    <n v="22"/>
    <s v="Woman"/>
    <s v="Married"/>
    <x v="2"/>
    <n v="26"/>
    <s v="Certificate or Diploma"/>
    <s v="Other"/>
    <n v="3"/>
    <n v="0"/>
    <n v="4"/>
    <n v="2"/>
    <n v="4"/>
    <n v="2"/>
    <n v="1"/>
    <n v="3"/>
    <x v="1"/>
    <d v="2023-08-27T00:00:00"/>
    <x v="0"/>
    <s v="Involuntary"/>
    <x v="1"/>
    <x v="0"/>
    <x v="2"/>
    <x v="1"/>
    <x v="6"/>
  </r>
  <r>
    <x v="496"/>
    <s v="No"/>
    <x v="1"/>
    <s v="Research Director"/>
    <x v="1"/>
    <x v="0"/>
    <n v="10"/>
    <n v="150120"/>
    <n v="14"/>
    <n v="37.5"/>
    <s v="Yes"/>
    <n v="38"/>
    <s v="Man"/>
    <s v="Divorced"/>
    <x v="0"/>
    <n v="15"/>
    <s v="Certificate or Diploma"/>
    <s v="Life Sciences"/>
    <n v="3"/>
    <n v="1"/>
    <n v="12"/>
    <n v="3"/>
    <n v="11"/>
    <n v="10"/>
    <n v="2"/>
    <n v="9"/>
    <x v="2"/>
    <d v="2022-02-04T00:00:00"/>
    <x v="0"/>
    <s v="Voluntary"/>
    <x v="2"/>
    <x v="1"/>
    <x v="2"/>
    <x v="0"/>
    <x v="4"/>
  </r>
  <r>
    <x v="497"/>
    <s v="No"/>
    <x v="1"/>
    <s v="Manufacturing Director"/>
    <x v="1"/>
    <x v="0"/>
    <n v="9"/>
    <n v="109140"/>
    <n v="13"/>
    <n v="37.5"/>
    <s v="No"/>
    <n v="35"/>
    <s v="Man"/>
    <s v="Single"/>
    <x v="0"/>
    <n v="5"/>
    <s v="Master's Degree"/>
    <s v="Technical Degree"/>
    <n v="3"/>
    <n v="0"/>
    <n v="17"/>
    <n v="5"/>
    <n v="16"/>
    <n v="6"/>
    <n v="0"/>
    <n v="13"/>
    <x v="2"/>
    <d v="2023-11-18T00:00:00"/>
    <x v="0"/>
    <s v="Voluntary"/>
    <x v="2"/>
    <x v="3"/>
    <x v="0"/>
    <x v="0"/>
    <x v="4"/>
  </r>
  <r>
    <x v="498"/>
    <s v="No"/>
    <x v="1"/>
    <s v="Research Scientist"/>
    <x v="0"/>
    <x v="0"/>
    <n v="5"/>
    <n v="58848"/>
    <n v="12"/>
    <n v="37.5"/>
    <s v="No"/>
    <n v="23"/>
    <s v="Man"/>
    <s v="Divorced"/>
    <x v="0"/>
    <n v="26"/>
    <s v="Trades Apprenticeship"/>
    <s v="Life Sciences"/>
    <n v="3"/>
    <n v="2"/>
    <n v="4"/>
    <n v="2"/>
    <n v="4"/>
    <n v="2"/>
    <n v="0"/>
    <n v="2"/>
    <x v="1"/>
    <d v="2023-07-14T00:00:00"/>
    <x v="0"/>
    <s v="Involuntary"/>
    <x v="2"/>
    <x v="1"/>
    <x v="1"/>
    <x v="1"/>
    <x v="4"/>
  </r>
  <r>
    <x v="499"/>
    <s v="No"/>
    <x v="1"/>
    <s v="Sales Representative"/>
    <x v="0"/>
    <x v="1"/>
    <n v="5"/>
    <n v="57924"/>
    <n v="12"/>
    <n v="37.5"/>
    <s v="No"/>
    <n v="32"/>
    <s v="Woman"/>
    <s v="Divorced"/>
    <x v="2"/>
    <n v="2"/>
    <s v="Trades Apprenticeship"/>
    <s v="Life Sciences"/>
    <n v="3"/>
    <n v="3"/>
    <n v="1"/>
    <n v="3"/>
    <n v="1"/>
    <n v="0"/>
    <n v="0"/>
    <n v="0"/>
    <x v="0"/>
    <d v="2022-08-14T00:00:00"/>
    <x v="0"/>
    <s v="Voluntary"/>
    <x v="2"/>
    <x v="2"/>
    <x v="1"/>
    <x v="0"/>
    <x v="2"/>
  </r>
  <r>
    <x v="500"/>
    <s v="No"/>
    <x v="1"/>
    <s v="Laboratory Technician"/>
    <x v="0"/>
    <x v="0"/>
    <n v="5"/>
    <n v="58020"/>
    <n v="22"/>
    <n v="37.5"/>
    <s v="No"/>
    <n v="36"/>
    <s v="Woman"/>
    <s v="Divorced"/>
    <x v="0"/>
    <n v="3"/>
    <s v="Certificate or Diploma"/>
    <s v="Life Sciences"/>
    <n v="4"/>
    <n v="1"/>
    <n v="7"/>
    <n v="2"/>
    <n v="1"/>
    <n v="0"/>
    <n v="0"/>
    <n v="0"/>
    <x v="0"/>
    <d v="2025-09-12T00:00:00"/>
    <x v="1"/>
    <s v="Involuntary"/>
    <x v="3"/>
    <x v="1"/>
    <x v="3"/>
    <x v="0"/>
    <x v="6"/>
  </r>
  <r>
    <x v="501"/>
    <s v="No"/>
    <x v="1"/>
    <s v="Research Scientist"/>
    <x v="0"/>
    <x v="0"/>
    <n v="5"/>
    <n v="58032"/>
    <n v="13"/>
    <n v="37.5"/>
    <s v="No"/>
    <n v="20"/>
    <s v="Woman"/>
    <s v="Single"/>
    <x v="0"/>
    <n v="1"/>
    <s v="Bachelor's Degree"/>
    <s v="Life Sciences"/>
    <n v="3"/>
    <n v="0"/>
    <n v="1"/>
    <n v="0"/>
    <n v="1"/>
    <n v="0"/>
    <n v="0"/>
    <n v="0"/>
    <x v="0"/>
    <d v="2025-08-19T00:00:00"/>
    <x v="1"/>
    <s v="Involuntary"/>
    <x v="0"/>
    <x v="3"/>
    <x v="0"/>
    <x v="2"/>
    <x v="0"/>
  </r>
  <r>
    <x v="502"/>
    <s v="No"/>
    <x v="1"/>
    <s v="Laboratory Technician"/>
    <x v="0"/>
    <x v="0"/>
    <n v="5"/>
    <n v="58044"/>
    <n v="13"/>
    <n v="37.5"/>
    <s v="No"/>
    <n v="32"/>
    <s v="Woman"/>
    <s v="Single"/>
    <x v="0"/>
    <n v="29"/>
    <s v="Master's Degree"/>
    <s v="Life Sciences"/>
    <n v="3"/>
    <n v="0"/>
    <n v="6"/>
    <n v="3"/>
    <n v="6"/>
    <n v="2"/>
    <n v="4"/>
    <n v="1"/>
    <x v="1"/>
    <d v="2025-06-14T00:00:00"/>
    <x v="1"/>
    <s v="Voluntary"/>
    <x v="2"/>
    <x v="3"/>
    <x v="1"/>
    <x v="0"/>
    <x v="1"/>
  </r>
  <r>
    <x v="503"/>
    <s v="No"/>
    <x v="1"/>
    <s v="Laboratory Technician"/>
    <x v="0"/>
    <x v="0"/>
    <n v="5"/>
    <n v="58056"/>
    <n v="14"/>
    <n v="37.5"/>
    <s v="No"/>
    <n v="51"/>
    <s v="Woman"/>
    <s v="Single"/>
    <x v="1"/>
    <n v="6"/>
    <s v="Certificate or Diploma"/>
    <s v="Medical"/>
    <n v="3"/>
    <n v="0"/>
    <n v="8"/>
    <n v="6"/>
    <n v="7"/>
    <n v="0"/>
    <n v="7"/>
    <n v="7"/>
    <x v="1"/>
    <d v="2022-05-17T00:00:00"/>
    <x v="0"/>
    <s v="Voluntary"/>
    <x v="1"/>
    <x v="0"/>
    <x v="2"/>
    <x v="1"/>
    <x v="6"/>
  </r>
  <r>
    <x v="504"/>
    <s v="No"/>
    <x v="1"/>
    <s v="Manufacturing Director"/>
    <x v="1"/>
    <x v="0"/>
    <n v="7"/>
    <n v="84384"/>
    <n v="15"/>
    <n v="37.5"/>
    <s v="Yes"/>
    <n v="41"/>
    <s v="Man"/>
    <s v="Single"/>
    <x v="0"/>
    <n v="6"/>
    <s v="Bachelor's Degree"/>
    <s v="Medical"/>
    <n v="3"/>
    <n v="0"/>
    <n v="8"/>
    <n v="3"/>
    <n v="5"/>
    <n v="4"/>
    <n v="1"/>
    <n v="2"/>
    <x v="1"/>
    <d v="2024-06-11T00:00:00"/>
    <x v="1"/>
    <s v="Involuntary"/>
    <x v="0"/>
    <x v="3"/>
    <x v="0"/>
    <x v="0"/>
    <x v="5"/>
  </r>
  <r>
    <x v="505"/>
    <s v="No"/>
    <x v="1"/>
    <s v="Sales Representative"/>
    <x v="0"/>
    <x v="1"/>
    <n v="5"/>
    <n v="59712"/>
    <n v="19"/>
    <n v="37.5"/>
    <s v="No"/>
    <n v="47"/>
    <s v="Man"/>
    <s v="Single"/>
    <x v="1"/>
    <n v="4"/>
    <s v="Trades Apprenticeship"/>
    <s v="Medical"/>
    <n v="3"/>
    <n v="0"/>
    <n v="5"/>
    <n v="3"/>
    <n v="0"/>
    <n v="0"/>
    <n v="0"/>
    <n v="0"/>
    <x v="0"/>
    <d v="2024-03-04T00:00:00"/>
    <x v="1"/>
    <s v="Voluntary"/>
    <x v="1"/>
    <x v="0"/>
    <x v="3"/>
    <x v="0"/>
    <x v="6"/>
  </r>
  <r>
    <x v="506"/>
    <s v="No"/>
    <x v="1"/>
    <s v="Sales Representative"/>
    <x v="0"/>
    <x v="1"/>
    <n v="5"/>
    <n v="58272"/>
    <n v="19"/>
    <n v="37.5"/>
    <s v="No"/>
    <n v="28"/>
    <s v="Woman"/>
    <s v="Married"/>
    <x v="0"/>
    <n v="3"/>
    <s v="Bachelor's Degree"/>
    <s v="Medical"/>
    <n v="3"/>
    <n v="1"/>
    <n v="1"/>
    <n v="3"/>
    <n v="1"/>
    <n v="0"/>
    <n v="0"/>
    <n v="0"/>
    <x v="0"/>
    <d v="2023-04-18T00:00:00"/>
    <x v="0"/>
    <s v="Involuntary"/>
    <x v="1"/>
    <x v="3"/>
    <x v="0"/>
    <x v="0"/>
    <x v="1"/>
  </r>
  <r>
    <x v="507"/>
    <s v="No"/>
    <x v="1"/>
    <s v="Sales Executive"/>
    <x v="0"/>
    <x v="1"/>
    <n v="6"/>
    <n v="67788"/>
    <n v="14"/>
    <n v="37.5"/>
    <s v="No"/>
    <n v="29"/>
    <s v="Man"/>
    <s v="Married"/>
    <x v="2"/>
    <n v="2"/>
    <s v="Bachelor's Degree"/>
    <s v="Life Sciences"/>
    <n v="3"/>
    <n v="1"/>
    <n v="4"/>
    <n v="3"/>
    <n v="4"/>
    <n v="3"/>
    <n v="0"/>
    <n v="2"/>
    <x v="1"/>
    <d v="2023-04-22T00:00:00"/>
    <x v="0"/>
    <s v="Voluntary"/>
    <x v="0"/>
    <x v="0"/>
    <x v="3"/>
    <x v="1"/>
    <x v="2"/>
  </r>
  <r>
    <x v="508"/>
    <s v="No"/>
    <x v="1"/>
    <s v="Compensation Analyst"/>
    <x v="0"/>
    <x v="2"/>
    <n v="5"/>
    <n v="56352"/>
    <n v="11"/>
    <n v="37.5"/>
    <s v="Yes"/>
    <n v="42"/>
    <s v="Man"/>
    <s v="Divorced"/>
    <x v="0"/>
    <n v="2"/>
    <s v="Trades Apprenticeship"/>
    <s v="Technical Degree"/>
    <n v="3"/>
    <n v="1"/>
    <n v="4"/>
    <n v="5"/>
    <n v="3"/>
    <n v="2"/>
    <n v="1"/>
    <n v="0"/>
    <x v="1"/>
    <d v="2022-05-25T00:00:00"/>
    <x v="0"/>
    <s v="Voluntary"/>
    <x v="2"/>
    <x v="0"/>
    <x v="1"/>
    <x v="0"/>
    <x v="4"/>
  </r>
  <r>
    <x v="509"/>
    <s v="No"/>
    <x v="1"/>
    <s v="Research Scientist"/>
    <x v="0"/>
    <x v="0"/>
    <n v="7"/>
    <n v="83688"/>
    <n v="13"/>
    <n v="37.5"/>
    <s v="Yes"/>
    <n v="37"/>
    <s v="Man"/>
    <s v="Divorced"/>
    <x v="0"/>
    <n v="6"/>
    <s v="Bachelor's Degree"/>
    <s v="Medical"/>
    <n v="3"/>
    <n v="2"/>
    <n v="13"/>
    <n v="2"/>
    <n v="7"/>
    <n v="7"/>
    <n v="6"/>
    <n v="7"/>
    <x v="1"/>
    <d v="2022-12-15T00:00:00"/>
    <x v="0"/>
    <s v="Voluntary"/>
    <x v="2"/>
    <x v="2"/>
    <x v="3"/>
    <x v="0"/>
    <x v="8"/>
  </r>
  <r>
    <x v="510"/>
    <s v="No"/>
    <x v="1"/>
    <s v="Sales Executive"/>
    <x v="0"/>
    <x v="1"/>
    <n v="7"/>
    <n v="75552"/>
    <n v="17"/>
    <n v="37.5"/>
    <s v="No"/>
    <n v="26"/>
    <s v="Man"/>
    <s v="Married"/>
    <x v="0"/>
    <n v="1"/>
    <s v="Bachelor's Degree"/>
    <s v="Life Sciences"/>
    <n v="3"/>
    <n v="1"/>
    <n v="8"/>
    <n v="3"/>
    <n v="8"/>
    <n v="7"/>
    <n v="7"/>
    <n v="7"/>
    <x v="1"/>
    <d v="2022-02-23T00:00:00"/>
    <x v="0"/>
    <s v="Involuntary"/>
    <x v="2"/>
    <x v="0"/>
    <x v="2"/>
    <x v="0"/>
    <x v="1"/>
  </r>
  <r>
    <x v="511"/>
    <s v="No"/>
    <x v="1"/>
    <s v="Laboratory Technician"/>
    <x v="0"/>
    <x v="0"/>
    <n v="5"/>
    <n v="58452"/>
    <n v="15"/>
    <n v="37.5"/>
    <s v="No"/>
    <n v="22"/>
    <s v="Woman"/>
    <s v="Single"/>
    <x v="0"/>
    <n v="15"/>
    <s v="Bachelor's Degree"/>
    <s v="Medical"/>
    <n v="3"/>
    <n v="0"/>
    <n v="1"/>
    <n v="5"/>
    <n v="0"/>
    <n v="0"/>
    <n v="0"/>
    <n v="0"/>
    <x v="0"/>
    <d v="2025-12-20T00:00:00"/>
    <x v="1"/>
    <s v="Involuntary"/>
    <x v="1"/>
    <x v="1"/>
    <x v="1"/>
    <x v="0"/>
    <x v="4"/>
  </r>
  <r>
    <x v="512"/>
    <s v="No"/>
    <x v="1"/>
    <s v="Healthcare Representative"/>
    <x v="0"/>
    <x v="0"/>
    <n v="8"/>
    <n v="93372"/>
    <n v="23"/>
    <n v="37.5"/>
    <s v="No"/>
    <n v="42"/>
    <s v="Man"/>
    <s v="Single"/>
    <x v="0"/>
    <n v="2"/>
    <s v="Master's Degree"/>
    <s v="Other"/>
    <n v="4"/>
    <n v="0"/>
    <n v="14"/>
    <n v="6"/>
    <n v="1"/>
    <n v="0"/>
    <n v="0"/>
    <n v="0"/>
    <x v="0"/>
    <d v="2024-08-27T00:00:00"/>
    <x v="1"/>
    <s v="Involuntary"/>
    <x v="3"/>
    <x v="1"/>
    <x v="2"/>
    <x v="0"/>
    <x v="2"/>
  </r>
  <r>
    <x v="513"/>
    <s v="No"/>
    <x v="1"/>
    <s v="Research Scientist"/>
    <x v="0"/>
    <x v="0"/>
    <n v="5"/>
    <n v="58632"/>
    <n v="22"/>
    <n v="37.5"/>
    <s v="No"/>
    <n v="26"/>
    <s v="Woman"/>
    <s v="Divorced"/>
    <x v="0"/>
    <n v="23"/>
    <s v="Bachelor's Degree"/>
    <s v="Life Sciences"/>
    <n v="4"/>
    <n v="2"/>
    <n v="3"/>
    <n v="3"/>
    <n v="3"/>
    <n v="2"/>
    <n v="0"/>
    <n v="2"/>
    <x v="1"/>
    <d v="2023-07-21T00:00:00"/>
    <x v="0"/>
    <s v="Involuntary"/>
    <x v="3"/>
    <x v="1"/>
    <x v="2"/>
    <x v="3"/>
    <x v="8"/>
  </r>
  <r>
    <x v="514"/>
    <s v="No"/>
    <x v="1"/>
    <s v="Sales Executive"/>
    <x v="0"/>
    <x v="1"/>
    <n v="9"/>
    <n v="128388"/>
    <n v="11"/>
    <n v="37.5"/>
    <s v="No"/>
    <n v="36"/>
    <s v="Man"/>
    <s v="Married"/>
    <x v="1"/>
    <n v="3"/>
    <s v="Master's Degree"/>
    <s v="Medical"/>
    <n v="3"/>
    <n v="1"/>
    <n v="16"/>
    <n v="2"/>
    <n v="13"/>
    <n v="9"/>
    <n v="1"/>
    <n v="12"/>
    <x v="2"/>
    <d v="2025-08-30T00:00:00"/>
    <x v="1"/>
    <s v="Involuntary"/>
    <x v="3"/>
    <x v="1"/>
    <x v="3"/>
    <x v="0"/>
    <x v="6"/>
  </r>
  <r>
    <x v="515"/>
    <s v="No"/>
    <x v="1"/>
    <s v="Research Scientist"/>
    <x v="0"/>
    <x v="0"/>
    <n v="5"/>
    <n v="58764"/>
    <n v="11"/>
    <n v="37.5"/>
    <s v="No"/>
    <n v="54"/>
    <s v="Woman"/>
    <s v="Married"/>
    <x v="0"/>
    <n v="9"/>
    <s v="Certificate or Diploma"/>
    <s v="Life Sciences"/>
    <n v="3"/>
    <n v="2"/>
    <n v="9"/>
    <n v="6"/>
    <n v="4"/>
    <n v="3"/>
    <n v="2"/>
    <n v="3"/>
    <x v="1"/>
    <d v="2024-02-11T00:00:00"/>
    <x v="1"/>
    <s v="Voluntary"/>
    <x v="3"/>
    <x v="0"/>
    <x v="1"/>
    <x v="1"/>
    <x v="6"/>
  </r>
  <r>
    <x v="516"/>
    <s v="No"/>
    <x v="1"/>
    <s v="Healthcare Representative"/>
    <x v="0"/>
    <x v="0"/>
    <n v="8"/>
    <n v="93060"/>
    <n v="11"/>
    <n v="37.5"/>
    <s v="No"/>
    <n v="57"/>
    <s v="Man"/>
    <s v="Married"/>
    <x v="0"/>
    <n v="1"/>
    <s v="Master's Degree"/>
    <s v="Medical"/>
    <n v="3"/>
    <n v="0"/>
    <n v="15"/>
    <n v="2"/>
    <n v="3"/>
    <n v="2"/>
    <n v="1"/>
    <n v="2"/>
    <x v="1"/>
    <d v="2025-02-17T00:00:00"/>
    <x v="1"/>
    <s v="Involuntary"/>
    <x v="0"/>
    <x v="0"/>
    <x v="1"/>
    <x v="0"/>
    <x v="5"/>
  </r>
  <r>
    <x v="517"/>
    <s v="No"/>
    <x v="1"/>
    <s v="Sales Representative"/>
    <x v="0"/>
    <x v="1"/>
    <n v="5"/>
    <n v="55320"/>
    <n v="24"/>
    <n v="37.5"/>
    <s v="No"/>
    <n v="21"/>
    <s v="Man"/>
    <s v="Single"/>
    <x v="2"/>
    <n v="9"/>
    <s v="Certificate or Diploma"/>
    <s v="Medical"/>
    <n v="4"/>
    <n v="0"/>
    <n v="3"/>
    <n v="3"/>
    <n v="3"/>
    <n v="2"/>
    <n v="2"/>
    <n v="2"/>
    <x v="1"/>
    <d v="2022-01-14T00:00:00"/>
    <x v="0"/>
    <s v="Involuntary"/>
    <x v="3"/>
    <x v="1"/>
    <x v="1"/>
    <x v="1"/>
    <x v="2"/>
  </r>
  <r>
    <x v="518"/>
    <s v="No"/>
    <x v="1"/>
    <s v="Research Scientist"/>
    <x v="0"/>
    <x v="0"/>
    <n v="5"/>
    <n v="58908"/>
    <n v="11"/>
    <n v="37.5"/>
    <s v="Yes"/>
    <n v="33"/>
    <s v="Woman"/>
    <s v="Married"/>
    <x v="1"/>
    <n v="3"/>
    <s v="Master's Degree"/>
    <s v="Life Sciences"/>
    <n v="3"/>
    <n v="0"/>
    <n v="8"/>
    <n v="3"/>
    <n v="8"/>
    <n v="7"/>
    <n v="3"/>
    <n v="0"/>
    <x v="1"/>
    <d v="2022-06-01T00:00:00"/>
    <x v="0"/>
    <s v="Involuntary"/>
    <x v="0"/>
    <x v="0"/>
    <x v="1"/>
    <x v="0"/>
    <x v="5"/>
  </r>
  <r>
    <x v="519"/>
    <s v="No"/>
    <x v="1"/>
    <s v="Healthcare Representative"/>
    <x v="0"/>
    <x v="0"/>
    <n v="9"/>
    <n v="137952"/>
    <n v="15"/>
    <n v="37.5"/>
    <s v="No"/>
    <n v="50"/>
    <s v="Man"/>
    <s v="Single"/>
    <x v="0"/>
    <n v="10"/>
    <s v="Bachelor's Degree"/>
    <s v="Technical Degree"/>
    <n v="3"/>
    <n v="0"/>
    <n v="20"/>
    <n v="2"/>
    <n v="4"/>
    <n v="3"/>
    <n v="1"/>
    <n v="3"/>
    <x v="1"/>
    <d v="2024-12-08T00:00:00"/>
    <x v="1"/>
    <s v="Voluntary"/>
    <x v="0"/>
    <x v="1"/>
    <x v="0"/>
    <x v="0"/>
    <x v="7"/>
  </r>
  <r>
    <x v="520"/>
    <s v="No"/>
    <x v="1"/>
    <s v="Research Scientist"/>
    <x v="0"/>
    <x v="0"/>
    <n v="5"/>
    <n v="58932"/>
    <n v="13"/>
    <n v="37.5"/>
    <s v="No"/>
    <n v="33"/>
    <s v="Woman"/>
    <s v="Married"/>
    <x v="0"/>
    <n v="5"/>
    <s v="Master's Degree"/>
    <s v="Life Sciences"/>
    <n v="3"/>
    <n v="1"/>
    <n v="2"/>
    <n v="2"/>
    <n v="2"/>
    <n v="2"/>
    <n v="0"/>
    <n v="2"/>
    <x v="0"/>
    <d v="2025-09-17T00:00:00"/>
    <x v="1"/>
    <s v="Voluntary"/>
    <x v="2"/>
    <x v="1"/>
    <x v="1"/>
    <x v="1"/>
    <x v="4"/>
  </r>
  <r>
    <x v="521"/>
    <s v="No"/>
    <x v="1"/>
    <s v="Research Scientist"/>
    <x v="0"/>
    <x v="0"/>
    <n v="5"/>
    <n v="59148"/>
    <n v="12"/>
    <n v="37.5"/>
    <s v="No"/>
    <n v="34"/>
    <s v="Woman"/>
    <s v="Married"/>
    <x v="0"/>
    <n v="19"/>
    <s v="Bachelor's Degree"/>
    <s v="Life Sciences"/>
    <n v="3"/>
    <n v="0"/>
    <n v="10"/>
    <n v="3"/>
    <n v="10"/>
    <n v="9"/>
    <n v="8"/>
    <n v="7"/>
    <x v="2"/>
    <d v="2022-07-30T00:00:00"/>
    <x v="0"/>
    <s v="Involuntary"/>
    <x v="1"/>
    <x v="1"/>
    <x v="2"/>
    <x v="0"/>
    <x v="1"/>
  </r>
  <r>
    <x v="522"/>
    <s v="No"/>
    <x v="1"/>
    <s v="Research Scientist"/>
    <x v="0"/>
    <x v="0"/>
    <n v="5"/>
    <n v="59196"/>
    <n v="13"/>
    <n v="37.5"/>
    <s v="Yes"/>
    <n v="26"/>
    <s v="Woman"/>
    <s v="Married"/>
    <x v="0"/>
    <n v="1"/>
    <s v="Certificate or Diploma"/>
    <s v="Life Sciences"/>
    <n v="3"/>
    <n v="1"/>
    <n v="1"/>
    <n v="3"/>
    <n v="1"/>
    <n v="0"/>
    <n v="1"/>
    <n v="0"/>
    <x v="0"/>
    <d v="2025-05-26T00:00:00"/>
    <x v="1"/>
    <s v="Involuntary"/>
    <x v="1"/>
    <x v="0"/>
    <x v="1"/>
    <x v="1"/>
    <x v="2"/>
  </r>
  <r>
    <x v="523"/>
    <s v="No"/>
    <x v="1"/>
    <s v="Research Scientist"/>
    <x v="0"/>
    <x v="0"/>
    <n v="5"/>
    <n v="55884"/>
    <n v="16"/>
    <n v="37.5"/>
    <s v="Yes"/>
    <n v="31"/>
    <s v="Man"/>
    <s v="Single"/>
    <x v="0"/>
    <n v="9"/>
    <s v="Master's Degree"/>
    <s v="Life Sciences"/>
    <n v="3"/>
    <n v="0"/>
    <n v="3"/>
    <n v="5"/>
    <n v="2"/>
    <n v="2"/>
    <n v="2"/>
    <n v="2"/>
    <x v="0"/>
    <d v="2023-03-05T00:00:00"/>
    <x v="0"/>
    <s v="Involuntary"/>
    <x v="2"/>
    <x v="3"/>
    <x v="0"/>
    <x v="0"/>
    <x v="4"/>
  </r>
  <r>
    <x v="524"/>
    <s v="No"/>
    <x v="1"/>
    <s v="Research Scientist"/>
    <x v="0"/>
    <x v="0"/>
    <n v="4"/>
    <n v="50412"/>
    <n v="16"/>
    <n v="37.5"/>
    <s v="No"/>
    <n v="29"/>
    <s v="Man"/>
    <s v="Single"/>
    <x v="0"/>
    <n v="23"/>
    <s v="Bachelor's Degree"/>
    <s v="Life Sciences"/>
    <n v="3"/>
    <n v="0"/>
    <n v="6"/>
    <n v="4"/>
    <n v="3"/>
    <n v="2"/>
    <n v="1"/>
    <n v="2"/>
    <x v="1"/>
    <d v="2023-03-12T00:00:00"/>
    <x v="0"/>
    <s v="Involuntary"/>
    <x v="0"/>
    <x v="1"/>
    <x v="0"/>
    <x v="0"/>
    <x v="7"/>
  </r>
  <r>
    <x v="525"/>
    <s v="No"/>
    <x v="1"/>
    <s v="Healthcare Representative"/>
    <x v="0"/>
    <x v="0"/>
    <n v="8"/>
    <n v="90480"/>
    <n v="19"/>
    <n v="37.5"/>
    <s v="No"/>
    <n v="35"/>
    <s v="Man"/>
    <s v="Single"/>
    <x v="0"/>
    <n v="9"/>
    <s v="Master's Degree"/>
    <s v="Life Sciences"/>
    <n v="3"/>
    <n v="0"/>
    <n v="10"/>
    <n v="5"/>
    <n v="1"/>
    <n v="1"/>
    <n v="0"/>
    <n v="0"/>
    <x v="0"/>
    <d v="2025-07-08T00:00:00"/>
    <x v="1"/>
    <s v="Voluntary"/>
    <x v="2"/>
    <x v="3"/>
    <x v="1"/>
    <x v="0"/>
    <x v="1"/>
  </r>
  <r>
    <x v="526"/>
    <s v="No"/>
    <x v="1"/>
    <s v="HR Business Partner"/>
    <x v="0"/>
    <x v="2"/>
    <n v="5"/>
    <n v="59304"/>
    <n v="23"/>
    <n v="37.5"/>
    <s v="No"/>
    <n v="26"/>
    <s v="Woman"/>
    <s v="Married"/>
    <x v="0"/>
    <n v="25"/>
    <s v="Trades Apprenticeship"/>
    <s v="Life Sciences"/>
    <n v="4"/>
    <n v="1"/>
    <n v="8"/>
    <n v="3"/>
    <n v="8"/>
    <n v="7"/>
    <n v="5"/>
    <n v="7"/>
    <x v="1"/>
    <d v="2025-08-09T00:00:00"/>
    <x v="1"/>
    <s v="Involuntary"/>
    <x v="2"/>
    <x v="0"/>
    <x v="0"/>
    <x v="0"/>
    <x v="5"/>
  </r>
  <r>
    <x v="527"/>
    <s v="No"/>
    <x v="1"/>
    <s v="Research Scientist"/>
    <x v="0"/>
    <x v="0"/>
    <n v="5"/>
    <n v="59304"/>
    <n v="19"/>
    <n v="37.5"/>
    <s v="No"/>
    <n v="56"/>
    <s v="Woman"/>
    <s v="Married"/>
    <x v="1"/>
    <n v="9"/>
    <s v="Bachelor's Degree"/>
    <s v="Medical"/>
    <n v="3"/>
    <n v="1"/>
    <n v="18"/>
    <n v="4"/>
    <n v="5"/>
    <n v="4"/>
    <n v="0"/>
    <n v="3"/>
    <x v="1"/>
    <d v="2024-06-05T00:00:00"/>
    <x v="1"/>
    <s v="Involuntary"/>
    <x v="3"/>
    <x v="0"/>
    <x v="2"/>
    <x v="0"/>
    <x v="6"/>
  </r>
  <r>
    <x v="528"/>
    <s v="No"/>
    <x v="1"/>
    <s v="Laboratory Technician"/>
    <x v="0"/>
    <x v="0"/>
    <n v="5"/>
    <n v="59400"/>
    <n v="13"/>
    <n v="37.5"/>
    <s v="No"/>
    <n v="52"/>
    <s v="Woman"/>
    <s v="Married"/>
    <x v="0"/>
    <n v="8"/>
    <s v="Master's Degree"/>
    <s v="Other"/>
    <n v="3"/>
    <n v="0"/>
    <n v="12"/>
    <n v="2"/>
    <n v="5"/>
    <n v="4"/>
    <n v="0"/>
    <n v="4"/>
    <x v="1"/>
    <d v="2023-08-05T00:00:00"/>
    <x v="0"/>
    <s v="Involuntary"/>
    <x v="2"/>
    <x v="2"/>
    <x v="1"/>
    <x v="3"/>
    <x v="8"/>
  </r>
  <r>
    <x v="529"/>
    <s v="No"/>
    <x v="1"/>
    <s v="Laboratory Technician"/>
    <x v="0"/>
    <x v="0"/>
    <n v="6"/>
    <n v="69792"/>
    <n v="11"/>
    <n v="37.5"/>
    <s v="No"/>
    <n v="27"/>
    <s v="Man"/>
    <s v="Divorced"/>
    <x v="0"/>
    <n v="1"/>
    <s v="Certificate or Diploma"/>
    <s v="Medical"/>
    <n v="3"/>
    <n v="1"/>
    <n v="5"/>
    <n v="2"/>
    <n v="5"/>
    <n v="2"/>
    <n v="0"/>
    <n v="4"/>
    <x v="1"/>
    <d v="2023-07-17T00:00:00"/>
    <x v="0"/>
    <s v="Voluntary"/>
    <x v="0"/>
    <x v="3"/>
    <x v="2"/>
    <x v="0"/>
    <x v="1"/>
  </r>
  <r>
    <x v="530"/>
    <s v="No"/>
    <x v="1"/>
    <s v="Sales Executive"/>
    <x v="0"/>
    <x v="1"/>
    <n v="7"/>
    <n v="75036"/>
    <n v="16"/>
    <n v="37.5"/>
    <s v="No"/>
    <n v="28"/>
    <s v="Man"/>
    <s v="Single"/>
    <x v="0"/>
    <n v="9"/>
    <s v="Master's Degree"/>
    <s v="Life Sciences"/>
    <n v="3"/>
    <n v="0"/>
    <n v="7"/>
    <n v="1"/>
    <n v="7"/>
    <n v="5"/>
    <n v="0"/>
    <n v="7"/>
    <x v="1"/>
    <d v="2025-12-08T00:00:00"/>
    <x v="1"/>
    <s v="Involuntary"/>
    <x v="1"/>
    <x v="1"/>
    <x v="0"/>
    <x v="0"/>
    <x v="5"/>
  </r>
  <r>
    <x v="531"/>
    <s v="No"/>
    <x v="1"/>
    <s v="Healthcare Representative"/>
    <x v="0"/>
    <x v="0"/>
    <n v="10"/>
    <n v="143580"/>
    <n v="24"/>
    <n v="37.5"/>
    <s v="No"/>
    <n v="49"/>
    <s v="Man"/>
    <s v="Single"/>
    <x v="0"/>
    <n v="7"/>
    <s v="Bachelor's Degree"/>
    <s v="Other"/>
    <n v="4"/>
    <n v="0"/>
    <n v="26"/>
    <n v="2"/>
    <n v="5"/>
    <n v="2"/>
    <n v="0"/>
    <n v="0"/>
    <x v="1"/>
    <d v="2024-06-10T00:00:00"/>
    <x v="1"/>
    <s v="Involuntary"/>
    <x v="1"/>
    <x v="0"/>
    <x v="1"/>
    <x v="0"/>
    <x v="1"/>
  </r>
  <r>
    <x v="532"/>
    <s v="No"/>
    <x v="1"/>
    <s v="Sales Representative"/>
    <x v="0"/>
    <x v="1"/>
    <n v="5"/>
    <n v="59592"/>
    <n v="18"/>
    <n v="37.5"/>
    <s v="No"/>
    <n v="26"/>
    <s v="Woman"/>
    <s v="Single"/>
    <x v="0"/>
    <n v="5"/>
    <s v="Bachelor's Degree"/>
    <s v="Other"/>
    <n v="3"/>
    <n v="0"/>
    <n v="5"/>
    <n v="2"/>
    <n v="4"/>
    <n v="2"/>
    <n v="0"/>
    <n v="0"/>
    <x v="1"/>
    <d v="2023-06-09T00:00:00"/>
    <x v="0"/>
    <s v="Voluntary"/>
    <x v="0"/>
    <x v="0"/>
    <x v="0"/>
    <x v="0"/>
    <x v="0"/>
  </r>
  <r>
    <x v="533"/>
    <s v="No"/>
    <x v="1"/>
    <s v="Sales Representative"/>
    <x v="0"/>
    <x v="1"/>
    <n v="5"/>
    <n v="59676"/>
    <n v="15"/>
    <n v="37.5"/>
    <s v="No"/>
    <n v="37"/>
    <s v="Woman"/>
    <s v="Married"/>
    <x v="1"/>
    <n v="21"/>
    <s v="Certificate or Diploma"/>
    <s v="Medical"/>
    <n v="3"/>
    <n v="1"/>
    <n v="10"/>
    <n v="3"/>
    <n v="5"/>
    <n v="4"/>
    <n v="0"/>
    <n v="0"/>
    <x v="1"/>
    <d v="2025-04-16T00:00:00"/>
    <x v="1"/>
    <s v="Involuntary"/>
    <x v="2"/>
    <x v="1"/>
    <x v="2"/>
    <x v="0"/>
    <x v="4"/>
  </r>
  <r>
    <x v="534"/>
    <s v="No"/>
    <x v="1"/>
    <s v="Sales Representative"/>
    <x v="0"/>
    <x v="1"/>
    <n v="4"/>
    <n v="53712"/>
    <n v="18"/>
    <n v="37.5"/>
    <s v="No"/>
    <n v="30"/>
    <s v="Man"/>
    <s v="Married"/>
    <x v="0"/>
    <n v="2"/>
    <s v="Trades Apprenticeship"/>
    <s v="Technical Degree"/>
    <n v="3"/>
    <n v="1"/>
    <n v="1"/>
    <n v="3"/>
    <n v="1"/>
    <n v="0"/>
    <n v="0"/>
    <n v="0"/>
    <x v="0"/>
    <d v="2025-07-04T00:00:00"/>
    <x v="1"/>
    <s v="Involuntary"/>
    <x v="2"/>
    <x v="3"/>
    <x v="3"/>
    <x v="0"/>
    <x v="6"/>
  </r>
  <r>
    <x v="535"/>
    <s v="No"/>
    <x v="1"/>
    <s v="Laboratory Technician"/>
    <x v="0"/>
    <x v="0"/>
    <n v="5"/>
    <n v="59688"/>
    <n v="17"/>
    <n v="37.5"/>
    <s v="No"/>
    <n v="29"/>
    <s v="Woman"/>
    <s v="Married"/>
    <x v="0"/>
    <n v="9"/>
    <s v="Master's Degree"/>
    <s v="Medical"/>
    <n v="3"/>
    <n v="1"/>
    <n v="9"/>
    <n v="2"/>
    <n v="5"/>
    <n v="3"/>
    <n v="1"/>
    <n v="2"/>
    <x v="1"/>
    <d v="2024-11-11T00:00:00"/>
    <x v="1"/>
    <s v="Voluntary"/>
    <x v="0"/>
    <x v="0"/>
    <x v="1"/>
    <x v="0"/>
    <x v="5"/>
  </r>
  <r>
    <x v="536"/>
    <s v="No"/>
    <x v="1"/>
    <s v="Research Scientist"/>
    <x v="0"/>
    <x v="0"/>
    <n v="5"/>
    <n v="59724"/>
    <n v="12"/>
    <n v="37.5"/>
    <s v="No"/>
    <n v="35"/>
    <s v="Woman"/>
    <s v="Married"/>
    <x v="0"/>
    <n v="1"/>
    <s v="Master's Degree"/>
    <s v="Life Sciences"/>
    <n v="3"/>
    <n v="1"/>
    <n v="4"/>
    <n v="5"/>
    <n v="4"/>
    <n v="3"/>
    <n v="1"/>
    <n v="1"/>
    <x v="1"/>
    <d v="2024-10-12T00:00:00"/>
    <x v="1"/>
    <s v="Voluntary"/>
    <x v="2"/>
    <x v="1"/>
    <x v="0"/>
    <x v="0"/>
    <x v="0"/>
  </r>
  <r>
    <x v="537"/>
    <s v="No"/>
    <x v="1"/>
    <s v="Sales Executive"/>
    <x v="0"/>
    <x v="1"/>
    <n v="9"/>
    <n v="103152"/>
    <n v="13"/>
    <n v="37.5"/>
    <s v="No"/>
    <n v="36"/>
    <s v="Man"/>
    <s v="Married"/>
    <x v="0"/>
    <n v="2"/>
    <s v="Certificate or Diploma"/>
    <s v="Medical"/>
    <n v="3"/>
    <n v="2"/>
    <n v="10"/>
    <n v="2"/>
    <n v="10"/>
    <n v="9"/>
    <n v="9"/>
    <n v="0"/>
    <x v="2"/>
    <d v="2024-05-22T00:00:00"/>
    <x v="1"/>
    <s v="Involuntary"/>
    <x v="1"/>
    <x v="0"/>
    <x v="2"/>
    <x v="0"/>
    <x v="2"/>
  </r>
  <r>
    <x v="538"/>
    <s v="No"/>
    <x v="1"/>
    <s v="Manufacturing Director"/>
    <x v="1"/>
    <x v="0"/>
    <n v="6"/>
    <n v="62364"/>
    <n v="12"/>
    <n v="37.5"/>
    <s v="Yes"/>
    <n v="37"/>
    <s v="Man"/>
    <s v="Single"/>
    <x v="0"/>
    <n v="10"/>
    <s v="Master's Degree"/>
    <s v="Life Sciences"/>
    <n v="3"/>
    <n v="0"/>
    <n v="18"/>
    <n v="2"/>
    <n v="1"/>
    <n v="0"/>
    <n v="0"/>
    <n v="1"/>
    <x v="0"/>
    <d v="2022-06-28T00:00:00"/>
    <x v="0"/>
    <s v="Involuntary"/>
    <x v="2"/>
    <x v="3"/>
    <x v="0"/>
    <x v="1"/>
    <x v="1"/>
  </r>
  <r>
    <x v="539"/>
    <s v="No"/>
    <x v="1"/>
    <s v="Research Scientist"/>
    <x v="0"/>
    <x v="0"/>
    <n v="5"/>
    <n v="59928"/>
    <n v="12"/>
    <n v="37.5"/>
    <s v="Yes"/>
    <n v="19"/>
    <s v="Woman"/>
    <s v="Single"/>
    <x v="0"/>
    <n v="25"/>
    <s v="Bachelor's Degree"/>
    <s v="Life Sciences"/>
    <n v="3"/>
    <n v="0"/>
    <n v="1"/>
    <n v="2"/>
    <n v="1"/>
    <n v="0"/>
    <n v="0"/>
    <n v="1"/>
    <x v="0"/>
    <d v="2023-08-31T00:00:00"/>
    <x v="0"/>
    <s v="Voluntary"/>
    <x v="1"/>
    <x v="1"/>
    <x v="0"/>
    <x v="0"/>
    <x v="5"/>
  </r>
  <r>
    <x v="540"/>
    <s v="No"/>
    <x v="1"/>
    <s v="Research Director"/>
    <x v="1"/>
    <x v="0"/>
    <n v="4"/>
    <n v="184032"/>
    <n v="11"/>
    <n v="37.5"/>
    <s v="No"/>
    <n v="43"/>
    <s v="Man"/>
    <s v="Divorced"/>
    <x v="0"/>
    <n v="12"/>
    <s v="Bachelor's Degree"/>
    <s v="Life Sciences"/>
    <n v="3"/>
    <n v="1"/>
    <n v="25"/>
    <n v="3"/>
    <n v="25"/>
    <n v="10"/>
    <n v="3"/>
    <n v="9"/>
    <x v="2"/>
    <d v="2024-11-19T00:00:00"/>
    <x v="1"/>
    <s v="Involuntary"/>
    <x v="3"/>
    <x v="3"/>
    <x v="1"/>
    <x v="0"/>
    <x v="6"/>
  </r>
  <r>
    <x v="541"/>
    <s v="No"/>
    <x v="1"/>
    <s v="Research Director"/>
    <x v="1"/>
    <x v="0"/>
    <n v="5"/>
    <n v="244872"/>
    <n v="11"/>
    <n v="37.5"/>
    <s v="No"/>
    <n v="54"/>
    <s v="Man"/>
    <s v="Married"/>
    <x v="0"/>
    <n v="5"/>
    <s v="Certificate or Diploma"/>
    <s v="Medical"/>
    <n v="3"/>
    <n v="1"/>
    <n v="24"/>
    <n v="4"/>
    <n v="4"/>
    <n v="2"/>
    <n v="1"/>
    <n v="2"/>
    <x v="1"/>
    <d v="2022-05-05T00:00:00"/>
    <x v="0"/>
    <s v="Involuntary"/>
    <x v="3"/>
    <x v="2"/>
    <x v="1"/>
    <x v="1"/>
    <x v="3"/>
  </r>
  <r>
    <x v="542"/>
    <s v="No"/>
    <x v="1"/>
    <s v="Laboratory Technician"/>
    <x v="0"/>
    <x v="0"/>
    <n v="4"/>
    <n v="51096"/>
    <n v="20"/>
    <n v="37.5"/>
    <s v="No"/>
    <n v="43"/>
    <s v="Man"/>
    <s v="Married"/>
    <x v="1"/>
    <n v="21"/>
    <s v="Bachelor's Degree"/>
    <s v="Medical"/>
    <n v="4"/>
    <n v="1"/>
    <n v="8"/>
    <n v="1"/>
    <n v="3"/>
    <n v="2"/>
    <n v="1"/>
    <n v="2"/>
    <x v="1"/>
    <d v="2022-01-06T00:00:00"/>
    <x v="0"/>
    <s v="Voluntary"/>
    <x v="0"/>
    <x v="1"/>
    <x v="3"/>
    <x v="0"/>
    <x v="4"/>
  </r>
  <r>
    <x v="543"/>
    <s v="No"/>
    <x v="1"/>
    <s v="Laboratory Technician"/>
    <x v="0"/>
    <x v="0"/>
    <n v="4"/>
    <n v="50616"/>
    <n v="12"/>
    <n v="37.5"/>
    <s v="No"/>
    <n v="31"/>
    <s v="Man"/>
    <s v="Married"/>
    <x v="0"/>
    <n v="1"/>
    <s v="Certificate or Diploma"/>
    <s v="Life Sciences"/>
    <n v="3"/>
    <n v="1"/>
    <n v="4"/>
    <n v="3"/>
    <n v="4"/>
    <n v="2"/>
    <n v="3"/>
    <n v="2"/>
    <x v="1"/>
    <d v="2022-01-18T00:00:00"/>
    <x v="0"/>
    <s v="Voluntary"/>
    <x v="0"/>
    <x v="2"/>
    <x v="1"/>
    <x v="0"/>
    <x v="1"/>
  </r>
  <r>
    <x v="544"/>
    <s v="No"/>
    <x v="1"/>
    <s v="Manufacturing Director"/>
    <x v="1"/>
    <x v="0"/>
    <n v="6"/>
    <n v="60132"/>
    <n v="18"/>
    <n v="37.5"/>
    <s v="No"/>
    <n v="24"/>
    <s v="Woman"/>
    <s v="Divorced"/>
    <x v="2"/>
    <n v="11"/>
    <s v="Certificate or Diploma"/>
    <s v="Other"/>
    <n v="3"/>
    <n v="1"/>
    <n v="5"/>
    <n v="5"/>
    <n v="4"/>
    <n v="2"/>
    <n v="1"/>
    <n v="3"/>
    <x v="1"/>
    <d v="2025-08-24T00:00:00"/>
    <x v="1"/>
    <s v="Involuntary"/>
    <x v="3"/>
    <x v="0"/>
    <x v="0"/>
    <x v="1"/>
    <x v="2"/>
  </r>
  <r>
    <x v="545"/>
    <s v="No"/>
    <x v="1"/>
    <s v="Laboratory Technician"/>
    <x v="0"/>
    <x v="0"/>
    <n v="6"/>
    <n v="60132"/>
    <n v="23"/>
    <n v="37.5"/>
    <s v="No"/>
    <n v="30"/>
    <s v="Woman"/>
    <s v="Single"/>
    <x v="1"/>
    <n v="1"/>
    <s v="Certificate or Diploma"/>
    <s v="Medical"/>
    <n v="4"/>
    <n v="0"/>
    <n v="12"/>
    <n v="2"/>
    <n v="12"/>
    <n v="8"/>
    <n v="3"/>
    <n v="7"/>
    <x v="2"/>
    <d v="2023-03-01T00:00:00"/>
    <x v="0"/>
    <s v="Voluntary"/>
    <x v="2"/>
    <x v="1"/>
    <x v="0"/>
    <x v="0"/>
    <x v="0"/>
  </r>
  <r>
    <x v="546"/>
    <s v="No"/>
    <x v="1"/>
    <s v="Laboratory Technician"/>
    <x v="0"/>
    <x v="0"/>
    <n v="6"/>
    <n v="60168"/>
    <n v="15"/>
    <n v="37.5"/>
    <s v="Yes"/>
    <n v="35"/>
    <s v="Woman"/>
    <s v="Married"/>
    <x v="0"/>
    <n v="23"/>
    <s v="Master's Degree"/>
    <s v="Medical"/>
    <n v="3"/>
    <n v="1"/>
    <n v="4"/>
    <n v="3"/>
    <n v="2"/>
    <n v="2"/>
    <n v="2"/>
    <n v="2"/>
    <x v="0"/>
    <d v="2025-02-08T00:00:00"/>
    <x v="1"/>
    <s v="Voluntary"/>
    <x v="2"/>
    <x v="2"/>
    <x v="1"/>
    <x v="0"/>
    <x v="2"/>
  </r>
  <r>
    <x v="547"/>
    <s v="No"/>
    <x v="1"/>
    <s v="Healthcare Representative"/>
    <x v="0"/>
    <x v="0"/>
    <n v="6"/>
    <n v="60168"/>
    <n v="25"/>
    <n v="37.5"/>
    <s v="Yes"/>
    <n v="35"/>
    <s v="Woman"/>
    <s v="Married"/>
    <x v="0"/>
    <n v="21"/>
    <s v="Trades Apprenticeship"/>
    <s v="Life Sciences"/>
    <n v="4"/>
    <n v="1"/>
    <n v="10"/>
    <n v="2"/>
    <n v="10"/>
    <n v="6"/>
    <n v="0"/>
    <n v="7"/>
    <x v="2"/>
    <d v="2024-12-17T00:00:00"/>
    <x v="1"/>
    <s v="Voluntary"/>
    <x v="0"/>
    <x v="1"/>
    <x v="0"/>
    <x v="3"/>
    <x v="5"/>
  </r>
  <r>
    <x v="548"/>
    <s v="No"/>
    <x v="1"/>
    <s v="Manager, R&amp;D"/>
    <x v="1"/>
    <x v="0"/>
    <n v="5"/>
    <n v="242364"/>
    <n v="14"/>
    <n v="37.5"/>
    <s v="Yes"/>
    <n v="39"/>
    <s v="Man"/>
    <s v="Divorced"/>
    <x v="1"/>
    <n v="1"/>
    <s v="Trades Apprenticeship"/>
    <s v="Life Sciences"/>
    <n v="3"/>
    <n v="1"/>
    <n v="21"/>
    <n v="3"/>
    <n v="21"/>
    <n v="8"/>
    <n v="1"/>
    <n v="6"/>
    <x v="2"/>
    <d v="2022-10-29T00:00:00"/>
    <x v="0"/>
    <s v="Involuntary"/>
    <x v="1"/>
    <x v="0"/>
    <x v="1"/>
    <x v="0"/>
    <x v="1"/>
  </r>
  <r>
    <x v="549"/>
    <s v="No"/>
    <x v="1"/>
    <s v="Laboratory Technician"/>
    <x v="0"/>
    <x v="0"/>
    <n v="6"/>
    <n v="60300"/>
    <n v="12"/>
    <n v="37.5"/>
    <s v="No"/>
    <n v="32"/>
    <s v="Woman"/>
    <s v="Single"/>
    <x v="2"/>
    <n v="29"/>
    <s v="Master's Degree"/>
    <s v="Medical"/>
    <n v="3"/>
    <n v="0"/>
    <n v="10"/>
    <n v="2"/>
    <n v="8"/>
    <n v="7"/>
    <n v="7"/>
    <n v="7"/>
    <x v="1"/>
    <d v="2023-06-27T00:00:00"/>
    <x v="0"/>
    <s v="Voluntary"/>
    <x v="0"/>
    <x v="0"/>
    <x v="2"/>
    <x v="0"/>
    <x v="4"/>
  </r>
  <r>
    <x v="550"/>
    <s v="No"/>
    <x v="1"/>
    <s v="Sales Executive"/>
    <x v="0"/>
    <x v="1"/>
    <n v="9"/>
    <n v="112704"/>
    <n v="16"/>
    <n v="37.5"/>
    <s v="No"/>
    <n v="41"/>
    <s v="Man"/>
    <s v="Married"/>
    <x v="0"/>
    <n v="1"/>
    <s v="Bachelor's Degree"/>
    <s v="Marketing"/>
    <n v="3"/>
    <n v="1"/>
    <n v="10"/>
    <n v="2"/>
    <n v="10"/>
    <n v="7"/>
    <n v="0"/>
    <n v="7"/>
    <x v="2"/>
    <d v="2024-03-06T00:00:00"/>
    <x v="1"/>
    <s v="Voluntary"/>
    <x v="1"/>
    <x v="2"/>
    <x v="1"/>
    <x v="0"/>
    <x v="6"/>
  </r>
  <r>
    <x v="551"/>
    <s v="No"/>
    <x v="1"/>
    <s v="Sales Executive"/>
    <x v="0"/>
    <x v="1"/>
    <n v="6"/>
    <n v="60336"/>
    <n v="20"/>
    <n v="37.5"/>
    <s v="No"/>
    <n v="38"/>
    <s v="Woman"/>
    <s v="Single"/>
    <x v="0"/>
    <n v="7"/>
    <s v="Master's Degree"/>
    <s v="Marketing"/>
    <n v="4"/>
    <n v="0"/>
    <n v="8"/>
    <n v="2"/>
    <n v="7"/>
    <n v="7"/>
    <n v="0"/>
    <n v="5"/>
    <x v="1"/>
    <d v="2022-09-18T00:00:00"/>
    <x v="0"/>
    <s v="Voluntary"/>
    <x v="0"/>
    <x v="1"/>
    <x v="3"/>
    <x v="0"/>
    <x v="4"/>
  </r>
  <r>
    <x v="552"/>
    <s v="No"/>
    <x v="1"/>
    <s v="Laboratory Technician"/>
    <x v="0"/>
    <x v="0"/>
    <n v="6"/>
    <n v="66696"/>
    <n v="12"/>
    <n v="37.5"/>
    <s v="No"/>
    <n v="28"/>
    <s v="Man"/>
    <s v="Divorced"/>
    <x v="0"/>
    <n v="17"/>
    <s v="Certificate or Diploma"/>
    <s v="Medical"/>
    <n v="3"/>
    <n v="1"/>
    <n v="10"/>
    <n v="2"/>
    <n v="10"/>
    <n v="0"/>
    <n v="1"/>
    <n v="8"/>
    <x v="2"/>
    <d v="2025-08-18T00:00:00"/>
    <x v="1"/>
    <s v="Involuntary"/>
    <x v="2"/>
    <x v="2"/>
    <x v="0"/>
    <x v="0"/>
    <x v="1"/>
  </r>
  <r>
    <x v="553"/>
    <s v="No"/>
    <x v="1"/>
    <s v="Manufacturing Director"/>
    <x v="1"/>
    <x v="0"/>
    <n v="9"/>
    <n v="107628"/>
    <n v="14"/>
    <n v="37.5"/>
    <s v="Yes"/>
    <n v="52"/>
    <s v="Man"/>
    <s v="Married"/>
    <x v="0"/>
    <n v="3"/>
    <s v="Bachelor's Degree"/>
    <s v="Medical"/>
    <n v="3"/>
    <n v="0"/>
    <n v="28"/>
    <n v="4"/>
    <n v="5"/>
    <n v="4"/>
    <n v="0"/>
    <n v="4"/>
    <x v="1"/>
    <d v="2023-09-04T00:00:00"/>
    <x v="0"/>
    <s v="Involuntary"/>
    <x v="0"/>
    <x v="0"/>
    <x v="1"/>
    <x v="0"/>
    <x v="5"/>
  </r>
  <r>
    <x v="554"/>
    <s v="No"/>
    <x v="1"/>
    <s v="Laboratory Technician"/>
    <x v="0"/>
    <x v="0"/>
    <n v="6"/>
    <n v="60408"/>
    <n v="12"/>
    <n v="37.5"/>
    <s v="No"/>
    <n v="37"/>
    <s v="Woman"/>
    <s v="Divorced"/>
    <x v="0"/>
    <n v="14"/>
    <s v="Bachelor's Degree"/>
    <s v="Life Sciences"/>
    <n v="3"/>
    <n v="1"/>
    <n v="18"/>
    <n v="2"/>
    <n v="18"/>
    <n v="7"/>
    <n v="12"/>
    <n v="17"/>
    <x v="2"/>
    <d v="2023-09-02T00:00:00"/>
    <x v="0"/>
    <s v="Voluntary"/>
    <x v="0"/>
    <x v="2"/>
    <x v="1"/>
    <x v="1"/>
    <x v="2"/>
  </r>
  <r>
    <x v="555"/>
    <s v="No"/>
    <x v="1"/>
    <s v="Research Scientist"/>
    <x v="0"/>
    <x v="0"/>
    <n v="5"/>
    <n v="55848"/>
    <n v="21"/>
    <n v="37.5"/>
    <s v="No"/>
    <n v="45"/>
    <s v="Man"/>
    <s v="Married"/>
    <x v="0"/>
    <n v="10"/>
    <s v="Certificate or Diploma"/>
    <s v="Life Sciences"/>
    <n v="4"/>
    <n v="2"/>
    <n v="8"/>
    <n v="3"/>
    <n v="2"/>
    <n v="2"/>
    <n v="0"/>
    <n v="2"/>
    <x v="0"/>
    <d v="2025-12-28T00:00:00"/>
    <x v="1"/>
    <s v="Involuntary"/>
    <x v="3"/>
    <x v="1"/>
    <x v="0"/>
    <x v="1"/>
    <x v="1"/>
  </r>
  <r>
    <x v="556"/>
    <s v="No"/>
    <x v="1"/>
    <s v="Laboratory Technician"/>
    <x v="0"/>
    <x v="0"/>
    <n v="2"/>
    <n v="44424"/>
    <n v="23"/>
    <n v="37.5"/>
    <s v="Yes"/>
    <n v="38"/>
    <s v="Man"/>
    <s v="Married"/>
    <x v="1"/>
    <n v="2"/>
    <s v="Certificate or Diploma"/>
    <s v="Life Sciences"/>
    <n v="4"/>
    <n v="1"/>
    <n v="1"/>
    <n v="3"/>
    <n v="1"/>
    <n v="0"/>
    <n v="0"/>
    <n v="0"/>
    <x v="0"/>
    <d v="2024-04-04T00:00:00"/>
    <x v="1"/>
    <s v="Involuntary"/>
    <x v="0"/>
    <x v="1"/>
    <x v="1"/>
    <x v="0"/>
    <x v="0"/>
  </r>
  <r>
    <x v="557"/>
    <s v="No"/>
    <x v="1"/>
    <s v="Laboratory Technician"/>
    <x v="0"/>
    <x v="0"/>
    <n v="6"/>
    <n v="60456"/>
    <n v="12"/>
    <n v="37.5"/>
    <s v="No"/>
    <n v="36"/>
    <s v="Woman"/>
    <s v="Married"/>
    <x v="0"/>
    <n v="6"/>
    <s v="Bachelor's Degree"/>
    <s v="Life Sciences"/>
    <n v="3"/>
    <n v="0"/>
    <n v="5"/>
    <n v="3"/>
    <n v="1"/>
    <n v="0"/>
    <n v="0"/>
    <n v="0"/>
    <x v="0"/>
    <d v="2023-08-07T00:00:00"/>
    <x v="0"/>
    <s v="Voluntary"/>
    <x v="1"/>
    <x v="1"/>
    <x v="2"/>
    <x v="0"/>
    <x v="1"/>
  </r>
  <r>
    <x v="558"/>
    <s v="No"/>
    <x v="1"/>
    <s v="Laboratory Technician"/>
    <x v="0"/>
    <x v="0"/>
    <n v="3"/>
    <n v="49164"/>
    <n v="15"/>
    <n v="37.5"/>
    <s v="No"/>
    <n v="30"/>
    <s v="Man"/>
    <s v="Married"/>
    <x v="2"/>
    <n v="3"/>
    <s v="Bachelor's Degree"/>
    <s v="Life Sciences"/>
    <n v="3"/>
    <n v="1"/>
    <n v="9"/>
    <n v="3"/>
    <n v="5"/>
    <n v="3"/>
    <n v="1"/>
    <n v="4"/>
    <x v="1"/>
    <d v="2025-10-26T00:00:00"/>
    <x v="1"/>
    <s v="Involuntary"/>
    <x v="2"/>
    <x v="1"/>
    <x v="1"/>
    <x v="3"/>
    <x v="1"/>
  </r>
  <r>
    <x v="559"/>
    <s v="No"/>
    <x v="1"/>
    <s v="Research Director"/>
    <x v="1"/>
    <x v="0"/>
    <n v="10"/>
    <n v="155220"/>
    <n v="18"/>
    <n v="37.5"/>
    <s v="No"/>
    <n v="29"/>
    <s v="Man"/>
    <s v="Married"/>
    <x v="0"/>
    <n v="3"/>
    <s v="Master's Degree"/>
    <s v="Medical"/>
    <n v="3"/>
    <n v="0"/>
    <n v="10"/>
    <n v="2"/>
    <n v="10"/>
    <n v="2"/>
    <n v="0"/>
    <n v="7"/>
    <x v="2"/>
    <d v="2024-08-03T00:00:00"/>
    <x v="1"/>
    <s v="Voluntary"/>
    <x v="1"/>
    <x v="0"/>
    <x v="1"/>
    <x v="0"/>
    <x v="1"/>
  </r>
  <r>
    <x v="560"/>
    <s v="No"/>
    <x v="1"/>
    <s v="Sales Executive"/>
    <x v="0"/>
    <x v="1"/>
    <n v="6"/>
    <n v="60612"/>
    <n v="14"/>
    <n v="37.5"/>
    <s v="No"/>
    <n v="48"/>
    <s v="Woman"/>
    <s v="Married"/>
    <x v="0"/>
    <n v="2"/>
    <s v="Doctorate"/>
    <s v="Marketing"/>
    <n v="3"/>
    <n v="1"/>
    <n v="14"/>
    <n v="2"/>
    <n v="9"/>
    <n v="7"/>
    <n v="6"/>
    <n v="7"/>
    <x v="1"/>
    <d v="2023-04-04T00:00:00"/>
    <x v="0"/>
    <s v="Involuntary"/>
    <x v="1"/>
    <x v="1"/>
    <x v="3"/>
    <x v="0"/>
    <x v="2"/>
  </r>
  <r>
    <x v="561"/>
    <s v="No"/>
    <x v="1"/>
    <s v="Manager, Sales"/>
    <x v="1"/>
    <x v="1"/>
    <n v="4"/>
    <n v="181416"/>
    <n v="12"/>
    <n v="37.5"/>
    <s v="No"/>
    <n v="57"/>
    <s v="Man"/>
    <s v="Divorced"/>
    <x v="0"/>
    <n v="29"/>
    <s v="Bachelor's Degree"/>
    <s v="Marketing"/>
    <n v="3"/>
    <n v="1"/>
    <n v="32"/>
    <n v="3"/>
    <n v="1"/>
    <n v="0"/>
    <n v="0"/>
    <n v="0"/>
    <x v="0"/>
    <d v="2024-11-23T00:00:00"/>
    <x v="1"/>
    <s v="Involuntary"/>
    <x v="3"/>
    <x v="1"/>
    <x v="1"/>
    <x v="1"/>
    <x v="2"/>
  </r>
  <r>
    <x v="562"/>
    <s v="No"/>
    <x v="1"/>
    <s v="Manager, R&amp;D"/>
    <x v="1"/>
    <x v="0"/>
    <n v="4"/>
    <n v="216552"/>
    <n v="15"/>
    <n v="37.5"/>
    <s v="No"/>
    <n v="50"/>
    <s v="Man"/>
    <s v="Married"/>
    <x v="0"/>
    <n v="29"/>
    <s v="Master's Degree"/>
    <s v="Life Sciences"/>
    <n v="3"/>
    <n v="1"/>
    <n v="28"/>
    <n v="2"/>
    <n v="27"/>
    <n v="10"/>
    <n v="15"/>
    <n v="7"/>
    <x v="2"/>
    <d v="2023-07-15T00:00:00"/>
    <x v="0"/>
    <s v="Involuntary"/>
    <x v="1"/>
    <x v="0"/>
    <x v="2"/>
    <x v="0"/>
    <x v="2"/>
  </r>
  <r>
    <x v="563"/>
    <s v="No"/>
    <x v="1"/>
    <s v="Research Director"/>
    <x v="1"/>
    <x v="0"/>
    <n v="4"/>
    <n v="226332"/>
    <n v="13"/>
    <n v="37.5"/>
    <s v="No"/>
    <n v="46"/>
    <s v="Man"/>
    <s v="Married"/>
    <x v="0"/>
    <n v="2"/>
    <s v="Bachelor's Degree"/>
    <s v="Life Sciences"/>
    <n v="3"/>
    <n v="0"/>
    <n v="26"/>
    <n v="2"/>
    <n v="3"/>
    <n v="2"/>
    <n v="0"/>
    <n v="1"/>
    <x v="1"/>
    <d v="2025-07-02T00:00:00"/>
    <x v="1"/>
    <s v="Involuntary"/>
    <x v="3"/>
    <x v="0"/>
    <x v="1"/>
    <x v="3"/>
    <x v="8"/>
  </r>
  <r>
    <x v="564"/>
    <s v="No"/>
    <x v="1"/>
    <s v="Laboratory Technician"/>
    <x v="0"/>
    <x v="0"/>
    <n v="6"/>
    <n v="62760"/>
    <n v="15"/>
    <n v="37.5"/>
    <s v="No"/>
    <n v="35"/>
    <s v="Man"/>
    <s v="Single"/>
    <x v="0"/>
    <n v="22"/>
    <s v="Bachelor's Degree"/>
    <s v="Life Sciences"/>
    <n v="3"/>
    <n v="0"/>
    <n v="6"/>
    <n v="2"/>
    <n v="5"/>
    <n v="4"/>
    <n v="4"/>
    <n v="3"/>
    <x v="1"/>
    <d v="2023-04-04T00:00:00"/>
    <x v="0"/>
    <s v="Involuntary"/>
    <x v="0"/>
    <x v="0"/>
    <x v="1"/>
    <x v="0"/>
    <x v="5"/>
  </r>
  <r>
    <x v="565"/>
    <s v="No"/>
    <x v="1"/>
    <s v="Research Scientist"/>
    <x v="0"/>
    <x v="0"/>
    <n v="5"/>
    <n v="57216"/>
    <n v="12"/>
    <n v="37.5"/>
    <s v="No"/>
    <n v="34"/>
    <s v="Man"/>
    <s v="Divorced"/>
    <x v="0"/>
    <n v="2"/>
    <s v="Master's Degree"/>
    <s v="Life Sciences"/>
    <n v="3"/>
    <n v="1"/>
    <n v="14"/>
    <n v="3"/>
    <n v="7"/>
    <n v="3"/>
    <n v="5"/>
    <n v="7"/>
    <x v="1"/>
    <d v="2024-05-30T00:00:00"/>
    <x v="1"/>
    <s v="Voluntary"/>
    <x v="0"/>
    <x v="0"/>
    <x v="1"/>
    <x v="0"/>
    <x v="5"/>
  </r>
  <r>
    <x v="566"/>
    <s v="No"/>
    <x v="1"/>
    <s v="Manufacturing Director"/>
    <x v="1"/>
    <x v="0"/>
    <n v="9"/>
    <n v="139776"/>
    <n v="25"/>
    <n v="37.5"/>
    <s v="No"/>
    <n v="31"/>
    <s v="Man"/>
    <s v="Divorced"/>
    <x v="0"/>
    <n v="9"/>
    <s v="Trades Apprenticeship"/>
    <s v="Life Sciences"/>
    <n v="4"/>
    <n v="1"/>
    <n v="13"/>
    <n v="6"/>
    <n v="13"/>
    <n v="8"/>
    <n v="0"/>
    <n v="8"/>
    <x v="2"/>
    <d v="2025-08-28T00:00:00"/>
    <x v="1"/>
    <s v="Involuntary"/>
    <x v="2"/>
    <x v="3"/>
    <x v="0"/>
    <x v="2"/>
    <x v="5"/>
  </r>
  <r>
    <x v="567"/>
    <s v="No"/>
    <x v="1"/>
    <s v="Sales Representative"/>
    <x v="0"/>
    <x v="1"/>
    <n v="5"/>
    <n v="59796"/>
    <n v="14"/>
    <n v="37.5"/>
    <s v="No"/>
    <n v="30"/>
    <s v="Man"/>
    <s v="Single"/>
    <x v="0"/>
    <n v="7"/>
    <s v="Trades Apprenticeship"/>
    <s v="Marketing"/>
    <n v="3"/>
    <n v="0"/>
    <n v="4"/>
    <n v="3"/>
    <n v="3"/>
    <n v="2"/>
    <n v="1"/>
    <n v="2"/>
    <x v="1"/>
    <d v="2022-12-28T00:00:00"/>
    <x v="0"/>
    <s v="Involuntary"/>
    <x v="0"/>
    <x v="3"/>
    <x v="3"/>
    <x v="0"/>
    <x v="2"/>
  </r>
  <r>
    <x v="568"/>
    <s v="No"/>
    <x v="1"/>
    <s v="Healthcare Representative"/>
    <x v="0"/>
    <x v="0"/>
    <n v="9"/>
    <n v="103584"/>
    <n v="12"/>
    <n v="37.5"/>
    <s v="Yes"/>
    <n v="35"/>
    <s v="Man"/>
    <s v="Married"/>
    <x v="0"/>
    <n v="16"/>
    <s v="Bachelor's Degree"/>
    <s v="Life Sciences"/>
    <n v="3"/>
    <n v="0"/>
    <n v="10"/>
    <n v="2"/>
    <n v="8"/>
    <n v="7"/>
    <n v="0"/>
    <n v="0"/>
    <x v="1"/>
    <d v="2022-10-31T00:00:00"/>
    <x v="0"/>
    <s v="Voluntary"/>
    <x v="0"/>
    <x v="0"/>
    <x v="1"/>
    <x v="0"/>
    <x v="5"/>
  </r>
  <r>
    <x v="569"/>
    <s v="No"/>
    <x v="1"/>
    <s v="Laboratory Technician"/>
    <x v="0"/>
    <x v="0"/>
    <n v="3"/>
    <n v="49116"/>
    <n v="17"/>
    <n v="37.5"/>
    <s v="No"/>
    <n v="42"/>
    <s v="Man"/>
    <s v="Married"/>
    <x v="1"/>
    <n v="5"/>
    <s v="Certificate or Diploma"/>
    <s v="Other"/>
    <n v="3"/>
    <n v="1"/>
    <n v="8"/>
    <n v="4"/>
    <n v="2"/>
    <n v="2"/>
    <n v="2"/>
    <n v="0"/>
    <x v="0"/>
    <d v="2024-10-19T00:00:00"/>
    <x v="1"/>
    <s v="Involuntary"/>
    <x v="1"/>
    <x v="0"/>
    <x v="0"/>
    <x v="0"/>
    <x v="4"/>
  </r>
  <r>
    <x v="570"/>
    <s v="No"/>
    <x v="1"/>
    <s v="Research Scientist"/>
    <x v="0"/>
    <x v="0"/>
    <n v="6"/>
    <n v="60972"/>
    <n v="14"/>
    <n v="37.5"/>
    <s v="Yes"/>
    <n v="43"/>
    <s v="Woman"/>
    <s v="Single"/>
    <x v="0"/>
    <n v="6"/>
    <s v="Bachelor's Degree"/>
    <s v="Medical"/>
    <n v="3"/>
    <n v="0"/>
    <n v="20"/>
    <n v="3"/>
    <n v="20"/>
    <n v="7"/>
    <n v="1"/>
    <n v="8"/>
    <x v="2"/>
    <d v="2025-03-31T00:00:00"/>
    <x v="1"/>
    <s v="Voluntary"/>
    <x v="3"/>
    <x v="0"/>
    <x v="3"/>
    <x v="3"/>
    <x v="9"/>
  </r>
  <r>
    <x v="571"/>
    <s v="No"/>
    <x v="1"/>
    <s v="Sales Executive"/>
    <x v="0"/>
    <x v="1"/>
    <n v="9"/>
    <n v="131760"/>
    <n v="14"/>
    <n v="37.5"/>
    <s v="No"/>
    <n v="36"/>
    <s v="Man"/>
    <s v="Single"/>
    <x v="2"/>
    <n v="10"/>
    <s v="Master's Degree"/>
    <s v="Medical"/>
    <n v="3"/>
    <n v="0"/>
    <n v="10"/>
    <n v="3"/>
    <n v="10"/>
    <n v="3"/>
    <n v="9"/>
    <n v="7"/>
    <x v="2"/>
    <d v="2022-05-28T00:00:00"/>
    <x v="0"/>
    <s v="Involuntary"/>
    <x v="1"/>
    <x v="1"/>
    <x v="0"/>
    <x v="1"/>
    <x v="4"/>
  </r>
  <r>
    <x v="572"/>
    <s v="No"/>
    <x v="1"/>
    <s v="Healthcare Representative"/>
    <x v="0"/>
    <x v="0"/>
    <n v="6"/>
    <n v="61068"/>
    <n v="13"/>
    <n v="37.5"/>
    <s v="No"/>
    <n v="42"/>
    <s v="Woman"/>
    <s v="Married"/>
    <x v="0"/>
    <n v="2"/>
    <s v="Master's Degree"/>
    <s v="Life Sciences"/>
    <n v="3"/>
    <n v="2"/>
    <n v="10"/>
    <n v="4"/>
    <n v="10"/>
    <n v="2"/>
    <n v="2"/>
    <n v="2"/>
    <x v="2"/>
    <d v="2024-07-11T00:00:00"/>
    <x v="1"/>
    <s v="Involuntary"/>
    <x v="2"/>
    <x v="1"/>
    <x v="2"/>
    <x v="0"/>
    <x v="4"/>
  </r>
  <r>
    <x v="573"/>
    <s v="No"/>
    <x v="1"/>
    <s v="Sales Executive"/>
    <x v="0"/>
    <x v="1"/>
    <n v="6"/>
    <n v="61236"/>
    <n v="17"/>
    <n v="37.5"/>
    <s v="No"/>
    <n v="41"/>
    <s v="Woman"/>
    <s v="Divorced"/>
    <x v="1"/>
    <n v="1"/>
    <s v="Bachelor's Degree"/>
    <s v="Marketing"/>
    <n v="3"/>
    <n v="1"/>
    <n v="10"/>
    <n v="2"/>
    <n v="9"/>
    <n v="3"/>
    <n v="1"/>
    <n v="7"/>
    <x v="1"/>
    <d v="2023-04-26T00:00:00"/>
    <x v="0"/>
    <s v="Involuntary"/>
    <x v="2"/>
    <x v="2"/>
    <x v="0"/>
    <x v="0"/>
    <x v="1"/>
  </r>
  <r>
    <x v="574"/>
    <s v="No"/>
    <x v="1"/>
    <s v="Sales Executive"/>
    <x v="0"/>
    <x v="1"/>
    <n v="8"/>
    <n v="86760"/>
    <n v="14"/>
    <n v="37.5"/>
    <s v="No"/>
    <n v="41"/>
    <s v="Man"/>
    <s v="Single"/>
    <x v="2"/>
    <n v="10"/>
    <s v="Certificate or Diploma"/>
    <s v="Life Sciences"/>
    <n v="3"/>
    <n v="0"/>
    <n v="16"/>
    <n v="3"/>
    <n v="14"/>
    <n v="3"/>
    <n v="1"/>
    <n v="10"/>
    <x v="2"/>
    <d v="2024-09-16T00:00:00"/>
    <x v="1"/>
    <s v="Involuntary"/>
    <x v="0"/>
    <x v="1"/>
    <x v="0"/>
    <x v="0"/>
    <x v="7"/>
  </r>
  <r>
    <x v="575"/>
    <s v="No"/>
    <x v="1"/>
    <s v="Healthcare Representative"/>
    <x v="0"/>
    <x v="0"/>
    <n v="6"/>
    <n v="61284"/>
    <n v="15"/>
    <n v="37.5"/>
    <s v="No"/>
    <n v="37"/>
    <s v="Woman"/>
    <s v="Single"/>
    <x v="0"/>
    <n v="3"/>
    <s v="Bachelor's Degree"/>
    <s v="Other"/>
    <n v="3"/>
    <n v="0"/>
    <n v="8"/>
    <n v="3"/>
    <n v="4"/>
    <n v="3"/>
    <n v="0"/>
    <n v="1"/>
    <x v="1"/>
    <d v="2023-11-28T00:00:00"/>
    <x v="0"/>
    <s v="Voluntary"/>
    <x v="0"/>
    <x v="3"/>
    <x v="3"/>
    <x v="1"/>
    <x v="6"/>
  </r>
  <r>
    <x v="576"/>
    <s v="No"/>
    <x v="1"/>
    <s v="Sales Executive"/>
    <x v="0"/>
    <x v="1"/>
    <n v="6"/>
    <n v="68604"/>
    <n v="11"/>
    <n v="37.5"/>
    <s v="No"/>
    <n v="35"/>
    <s v="Man"/>
    <s v="Married"/>
    <x v="0"/>
    <n v="1"/>
    <s v="Bachelor's Degree"/>
    <s v="Marketing"/>
    <n v="3"/>
    <n v="0"/>
    <n v="15"/>
    <n v="2"/>
    <n v="11"/>
    <n v="9"/>
    <n v="6"/>
    <n v="9"/>
    <x v="2"/>
    <d v="2025-10-08T00:00:00"/>
    <x v="1"/>
    <s v="Voluntary"/>
    <x v="1"/>
    <x v="0"/>
    <x v="1"/>
    <x v="0"/>
    <x v="1"/>
  </r>
  <r>
    <x v="577"/>
    <s v="No"/>
    <x v="1"/>
    <s v="Sales Executive"/>
    <x v="0"/>
    <x v="1"/>
    <n v="8"/>
    <n v="90984"/>
    <n v="13"/>
    <n v="37.5"/>
    <s v="Yes"/>
    <n v="31"/>
    <s v="Man"/>
    <s v="Single"/>
    <x v="0"/>
    <n v="2"/>
    <s v="Trades Apprenticeship"/>
    <s v="Life Sciences"/>
    <n v="3"/>
    <n v="0"/>
    <n v="10"/>
    <n v="2"/>
    <n v="6"/>
    <n v="5"/>
    <n v="0"/>
    <n v="5"/>
    <x v="1"/>
    <d v="2024-07-13T00:00:00"/>
    <x v="1"/>
    <s v="Voluntary"/>
    <x v="1"/>
    <x v="1"/>
    <x v="1"/>
    <x v="2"/>
    <x v="5"/>
  </r>
  <r>
    <x v="578"/>
    <s v="No"/>
    <x v="1"/>
    <s v="Manufacturing Director"/>
    <x v="1"/>
    <x v="0"/>
    <n v="9"/>
    <n v="100872"/>
    <n v="21"/>
    <n v="37.5"/>
    <s v="Yes"/>
    <n v="42"/>
    <s v="Man"/>
    <s v="Married"/>
    <x v="0"/>
    <n v="24"/>
    <s v="Bachelor's Degree"/>
    <s v="Medical"/>
    <n v="4"/>
    <n v="1"/>
    <n v="10"/>
    <n v="5"/>
    <n v="10"/>
    <n v="9"/>
    <n v="5"/>
    <n v="8"/>
    <x v="2"/>
    <d v="2024-12-27T00:00:00"/>
    <x v="1"/>
    <s v="Involuntary"/>
    <x v="0"/>
    <x v="2"/>
    <x v="0"/>
    <x v="1"/>
    <x v="1"/>
  </r>
  <r>
    <x v="579"/>
    <s v="No"/>
    <x v="1"/>
    <s v="Sales Executive"/>
    <x v="0"/>
    <x v="1"/>
    <n v="6"/>
    <n v="69660"/>
    <n v="19"/>
    <n v="37.5"/>
    <s v="No"/>
    <n v="45"/>
    <s v="Man"/>
    <s v="Married"/>
    <x v="0"/>
    <n v="2"/>
    <s v="Bachelor's Degree"/>
    <s v="Other"/>
    <n v="3"/>
    <n v="1"/>
    <n v="9"/>
    <n v="3"/>
    <n v="8"/>
    <n v="7"/>
    <n v="3"/>
    <n v="7"/>
    <x v="1"/>
    <d v="2022-04-07T00:00:00"/>
    <x v="0"/>
    <s v="Voluntary"/>
    <x v="0"/>
    <x v="3"/>
    <x v="2"/>
    <x v="2"/>
    <x v="4"/>
  </r>
  <r>
    <x v="580"/>
    <s v="No"/>
    <x v="1"/>
    <s v="Laboratory Technician"/>
    <x v="0"/>
    <x v="0"/>
    <n v="6"/>
    <n v="61572"/>
    <n v="13"/>
    <n v="37.5"/>
    <s v="No"/>
    <n v="29"/>
    <s v="Woman"/>
    <s v="Married"/>
    <x v="0"/>
    <n v="6"/>
    <s v="Trades Apprenticeship"/>
    <s v="Medical"/>
    <n v="3"/>
    <n v="1"/>
    <n v="10"/>
    <n v="5"/>
    <n v="10"/>
    <n v="8"/>
    <n v="0"/>
    <n v="8"/>
    <x v="2"/>
    <d v="2022-08-20T00:00:00"/>
    <x v="0"/>
    <s v="Involuntary"/>
    <x v="1"/>
    <x v="1"/>
    <x v="3"/>
    <x v="0"/>
    <x v="2"/>
  </r>
  <r>
    <x v="581"/>
    <s v="No"/>
    <x v="1"/>
    <s v="Manufacturing Director"/>
    <x v="1"/>
    <x v="0"/>
    <n v="6"/>
    <n v="63144"/>
    <n v="12"/>
    <n v="37.5"/>
    <s v="No"/>
    <n v="29"/>
    <s v="Man"/>
    <s v="Divorced"/>
    <x v="0"/>
    <n v="19"/>
    <s v="Bachelor's Degree"/>
    <s v="Technical Degree"/>
    <n v="3"/>
    <n v="2"/>
    <n v="8"/>
    <n v="2"/>
    <n v="3"/>
    <n v="2"/>
    <n v="1"/>
    <n v="2"/>
    <x v="1"/>
    <d v="2022-09-02T00:00:00"/>
    <x v="0"/>
    <s v="Involuntary"/>
    <x v="0"/>
    <x v="1"/>
    <x v="2"/>
    <x v="2"/>
    <x v="0"/>
  </r>
  <r>
    <x v="582"/>
    <s v="No"/>
    <x v="1"/>
    <s v="Manufacturing Director"/>
    <x v="1"/>
    <x v="0"/>
    <n v="6"/>
    <n v="61776"/>
    <n v="12"/>
    <n v="37.5"/>
    <s v="No"/>
    <n v="31"/>
    <s v="Woman"/>
    <s v="Married"/>
    <x v="1"/>
    <n v="1"/>
    <s v="Trades Apprenticeship"/>
    <s v="Life Sciences"/>
    <n v="3"/>
    <n v="1"/>
    <n v="4"/>
    <n v="1"/>
    <n v="4"/>
    <n v="3"/>
    <n v="0"/>
    <n v="3"/>
    <x v="1"/>
    <d v="2024-03-10T00:00:00"/>
    <x v="1"/>
    <s v="Voluntary"/>
    <x v="2"/>
    <x v="2"/>
    <x v="1"/>
    <x v="0"/>
    <x v="2"/>
  </r>
  <r>
    <x v="583"/>
    <s v="No"/>
    <x v="1"/>
    <s v="Healthcare Representative"/>
    <x v="0"/>
    <x v="0"/>
    <n v="6"/>
    <n v="61776"/>
    <n v="12"/>
    <n v="37.5"/>
    <s v="No"/>
    <n v="35"/>
    <s v="Woman"/>
    <s v="Married"/>
    <x v="2"/>
    <n v="8"/>
    <s v="Master's Degree"/>
    <s v="Life Sciences"/>
    <n v="3"/>
    <n v="1"/>
    <n v="15"/>
    <n v="5"/>
    <n v="14"/>
    <n v="11"/>
    <n v="2"/>
    <n v="9"/>
    <x v="2"/>
    <d v="2023-05-17T00:00:00"/>
    <x v="0"/>
    <s v="Involuntary"/>
    <x v="2"/>
    <x v="0"/>
    <x v="0"/>
    <x v="0"/>
    <x v="5"/>
  </r>
  <r>
    <x v="584"/>
    <s v="No"/>
    <x v="1"/>
    <s v="Laboratory Technician"/>
    <x v="0"/>
    <x v="0"/>
    <n v="6"/>
    <n v="61788"/>
    <n v="20"/>
    <n v="37.5"/>
    <s v="No"/>
    <n v="52"/>
    <s v="Woman"/>
    <s v="Married"/>
    <x v="0"/>
    <n v="11"/>
    <s v="Master's Degree"/>
    <s v="Life Sciences"/>
    <n v="4"/>
    <n v="1"/>
    <n v="9"/>
    <n v="3"/>
    <n v="5"/>
    <n v="2"/>
    <n v="1"/>
    <n v="4"/>
    <x v="1"/>
    <d v="2023-03-15T00:00:00"/>
    <x v="0"/>
    <s v="Voluntary"/>
    <x v="0"/>
    <x v="0"/>
    <x v="2"/>
    <x v="0"/>
    <x v="4"/>
  </r>
  <r>
    <x v="585"/>
    <s v="No"/>
    <x v="1"/>
    <s v="Manager, Sales"/>
    <x v="1"/>
    <x v="1"/>
    <n v="10"/>
    <n v="150684"/>
    <n v="21"/>
    <n v="37.5"/>
    <s v="No"/>
    <n v="31"/>
    <s v="Man"/>
    <s v="Divorced"/>
    <x v="0"/>
    <n v="7"/>
    <s v="Bachelor's Degree"/>
    <s v="Life Sciences"/>
    <n v="4"/>
    <n v="1"/>
    <n v="10"/>
    <n v="3"/>
    <n v="5"/>
    <n v="4"/>
    <n v="0"/>
    <n v="1"/>
    <x v="1"/>
    <d v="2024-05-07T00:00:00"/>
    <x v="1"/>
    <s v="Voluntary"/>
    <x v="2"/>
    <x v="1"/>
    <x v="1"/>
    <x v="1"/>
    <x v="4"/>
  </r>
  <r>
    <x v="586"/>
    <s v="No"/>
    <x v="1"/>
    <s v="Sales Executive"/>
    <x v="0"/>
    <x v="1"/>
    <n v="6"/>
    <n v="61884"/>
    <n v="19"/>
    <n v="37.5"/>
    <s v="Yes"/>
    <n v="26"/>
    <s v="Woman"/>
    <s v="Married"/>
    <x v="0"/>
    <n v="23"/>
    <s v="Bachelor's Degree"/>
    <s v="Marketing"/>
    <n v="3"/>
    <n v="1"/>
    <n v="5"/>
    <n v="2"/>
    <n v="2"/>
    <n v="2"/>
    <n v="0"/>
    <n v="0"/>
    <x v="0"/>
    <d v="2024-02-02T00:00:00"/>
    <x v="1"/>
    <s v="Voluntary"/>
    <x v="2"/>
    <x v="1"/>
    <x v="1"/>
    <x v="1"/>
    <x v="4"/>
  </r>
  <r>
    <x v="587"/>
    <s v="No"/>
    <x v="1"/>
    <s v="Sales Executive"/>
    <x v="0"/>
    <x v="1"/>
    <n v="10"/>
    <n v="143184"/>
    <n v="15"/>
    <n v="37.5"/>
    <s v="No"/>
    <n v="40"/>
    <s v="Man"/>
    <s v="Divorced"/>
    <x v="2"/>
    <n v="28"/>
    <s v="Bachelor's Degree"/>
    <s v="Other"/>
    <n v="3"/>
    <n v="1"/>
    <n v="20"/>
    <n v="2"/>
    <n v="1"/>
    <n v="0"/>
    <n v="0"/>
    <n v="1"/>
    <x v="0"/>
    <d v="2022-10-23T00:00:00"/>
    <x v="0"/>
    <s v="Voluntary"/>
    <x v="2"/>
    <x v="2"/>
    <x v="1"/>
    <x v="0"/>
    <x v="2"/>
  </r>
  <r>
    <x v="588"/>
    <s v="No"/>
    <x v="1"/>
    <s v="Sales Executive"/>
    <x v="0"/>
    <x v="1"/>
    <n v="6"/>
    <n v="63672"/>
    <n v="12"/>
    <n v="37.5"/>
    <s v="No"/>
    <n v="26"/>
    <s v="Man"/>
    <s v="Divorced"/>
    <x v="0"/>
    <n v="29"/>
    <s v="Certificate or Diploma"/>
    <s v="Medical"/>
    <n v="3"/>
    <n v="2"/>
    <n v="8"/>
    <n v="5"/>
    <n v="0"/>
    <n v="0"/>
    <n v="0"/>
    <n v="0"/>
    <x v="0"/>
    <d v="2025-10-19T00:00:00"/>
    <x v="1"/>
    <s v="Involuntary"/>
    <x v="3"/>
    <x v="0"/>
    <x v="3"/>
    <x v="0"/>
    <x v="8"/>
  </r>
  <r>
    <x v="589"/>
    <s v="No"/>
    <x v="1"/>
    <s v="Sales Executive"/>
    <x v="0"/>
    <x v="1"/>
    <n v="6"/>
    <n v="61944"/>
    <n v="12"/>
    <n v="37.5"/>
    <s v="Yes"/>
    <n v="24"/>
    <s v="Woman"/>
    <s v="Married"/>
    <x v="0"/>
    <n v="4"/>
    <s v="Trades Apprenticeship"/>
    <s v="Medical"/>
    <n v="3"/>
    <n v="2"/>
    <n v="5"/>
    <n v="3"/>
    <n v="5"/>
    <n v="4"/>
    <n v="0"/>
    <n v="3"/>
    <x v="1"/>
    <d v="2023-05-11T00:00:00"/>
    <x v="0"/>
    <s v="Involuntary"/>
    <x v="0"/>
    <x v="0"/>
    <x v="1"/>
    <x v="0"/>
    <x v="5"/>
  </r>
  <r>
    <x v="590"/>
    <s v="No"/>
    <x v="1"/>
    <s v="Sales Executive"/>
    <x v="0"/>
    <x v="1"/>
    <n v="6"/>
    <n v="61956"/>
    <n v="17"/>
    <n v="37.5"/>
    <s v="Yes"/>
    <n v="47"/>
    <s v="Woman"/>
    <s v="Single"/>
    <x v="0"/>
    <n v="4"/>
    <s v="Certificate or Diploma"/>
    <s v="Life Sciences"/>
    <n v="3"/>
    <n v="0"/>
    <n v="9"/>
    <n v="0"/>
    <n v="9"/>
    <n v="0"/>
    <n v="0"/>
    <n v="7"/>
    <x v="1"/>
    <d v="2023-03-11T00:00:00"/>
    <x v="0"/>
    <s v="Involuntary"/>
    <x v="0"/>
    <x v="1"/>
    <x v="1"/>
    <x v="0"/>
    <x v="0"/>
  </r>
  <r>
    <x v="591"/>
    <s v="No"/>
    <x v="1"/>
    <s v="Sales Executive"/>
    <x v="0"/>
    <x v="1"/>
    <n v="7"/>
    <n v="76044"/>
    <n v="12"/>
    <n v="37.5"/>
    <s v="No"/>
    <n v="34"/>
    <s v="Man"/>
    <s v="Single"/>
    <x v="0"/>
    <n v="21"/>
    <s v="Master's Degree"/>
    <s v="Life Sciences"/>
    <n v="3"/>
    <n v="0"/>
    <n v="10"/>
    <n v="3"/>
    <n v="10"/>
    <n v="7"/>
    <n v="5"/>
    <n v="7"/>
    <x v="2"/>
    <d v="2025-11-12T00:00:00"/>
    <x v="1"/>
    <s v="Voluntary"/>
    <x v="0"/>
    <x v="1"/>
    <x v="0"/>
    <x v="0"/>
    <x v="7"/>
  </r>
  <r>
    <x v="592"/>
    <s v="No"/>
    <x v="1"/>
    <s v="Laboratory Technician"/>
    <x v="0"/>
    <x v="0"/>
    <n v="6"/>
    <n v="62160"/>
    <n v="13"/>
    <n v="37.5"/>
    <s v="No"/>
    <n v="29"/>
    <s v="Woman"/>
    <s v="Married"/>
    <x v="1"/>
    <n v="2"/>
    <s v="Trades Apprenticeship"/>
    <s v="Life Sciences"/>
    <n v="3"/>
    <n v="3"/>
    <n v="4"/>
    <n v="3"/>
    <n v="3"/>
    <n v="2"/>
    <n v="0"/>
    <n v="2"/>
    <x v="1"/>
    <d v="2025-12-09T00:00:00"/>
    <x v="1"/>
    <s v="Involuntary"/>
    <x v="0"/>
    <x v="3"/>
    <x v="1"/>
    <x v="0"/>
    <x v="4"/>
  </r>
  <r>
    <x v="593"/>
    <s v="No"/>
    <x v="1"/>
    <s v="Sales Executive"/>
    <x v="0"/>
    <x v="1"/>
    <n v="9"/>
    <n v="118008"/>
    <n v="13"/>
    <n v="37.5"/>
    <s v="No"/>
    <n v="37"/>
    <s v="Man"/>
    <s v="Divorced"/>
    <x v="2"/>
    <n v="9"/>
    <s v="Master's Degree"/>
    <s v="Medical"/>
    <n v="3"/>
    <n v="1"/>
    <n v="9"/>
    <n v="6"/>
    <n v="9"/>
    <n v="5"/>
    <n v="7"/>
    <n v="7"/>
    <x v="1"/>
    <d v="2024-09-23T00:00:00"/>
    <x v="1"/>
    <s v="Voluntary"/>
    <x v="3"/>
    <x v="3"/>
    <x v="0"/>
    <x v="0"/>
    <x v="2"/>
  </r>
  <r>
    <x v="594"/>
    <s v="No"/>
    <x v="1"/>
    <s v="Laboratory Technician"/>
    <x v="0"/>
    <x v="0"/>
    <n v="6"/>
    <n v="62316"/>
    <n v="12"/>
    <n v="37.5"/>
    <s v="Yes"/>
    <n v="29"/>
    <s v="Woman"/>
    <s v="Single"/>
    <x v="0"/>
    <n v="15"/>
    <s v="Certificate or Diploma"/>
    <s v="Life Sciences"/>
    <n v="3"/>
    <n v="0"/>
    <n v="10"/>
    <n v="3"/>
    <n v="9"/>
    <n v="5"/>
    <n v="0"/>
    <n v="8"/>
    <x v="1"/>
    <d v="2025-12-02T00:00:00"/>
    <x v="1"/>
    <s v="Voluntary"/>
    <x v="0"/>
    <x v="0"/>
    <x v="0"/>
    <x v="0"/>
    <x v="0"/>
  </r>
  <r>
    <x v="595"/>
    <s v="No"/>
    <x v="1"/>
    <s v="Research Scientist"/>
    <x v="0"/>
    <x v="0"/>
    <n v="7"/>
    <n v="78924"/>
    <n v="12"/>
    <n v="37.5"/>
    <s v="Yes"/>
    <n v="52"/>
    <s v="Man"/>
    <s v="Divorced"/>
    <x v="0"/>
    <n v="6"/>
    <s v="Certificate or Diploma"/>
    <s v="Technical Degree"/>
    <n v="3"/>
    <n v="2"/>
    <n v="18"/>
    <n v="3"/>
    <n v="10"/>
    <n v="9"/>
    <n v="6"/>
    <n v="9"/>
    <x v="2"/>
    <d v="2025-04-28T00:00:00"/>
    <x v="1"/>
    <s v="Voluntary"/>
    <x v="0"/>
    <x v="2"/>
    <x v="2"/>
    <x v="0"/>
    <x v="2"/>
  </r>
  <r>
    <x v="596"/>
    <s v="No"/>
    <x v="1"/>
    <s v="HR Operations Specialist"/>
    <x v="0"/>
    <x v="2"/>
    <n v="6"/>
    <n v="62340"/>
    <n v="18"/>
    <n v="37.5"/>
    <s v="Yes"/>
    <n v="44"/>
    <s v="Woman"/>
    <s v="Divorced"/>
    <x v="0"/>
    <n v="1"/>
    <s v="Bachelor's Degree"/>
    <s v="Life Sciences"/>
    <n v="3"/>
    <n v="3"/>
    <n v="8"/>
    <n v="2"/>
    <n v="2"/>
    <n v="2"/>
    <n v="2"/>
    <n v="2"/>
    <x v="0"/>
    <d v="2025-12-17T00:00:00"/>
    <x v="1"/>
    <s v="Voluntary"/>
    <x v="2"/>
    <x v="1"/>
    <x v="3"/>
    <x v="0"/>
    <x v="1"/>
  </r>
  <r>
    <x v="597"/>
    <s v="No"/>
    <x v="1"/>
    <s v="Sales Representative"/>
    <x v="0"/>
    <x v="1"/>
    <n v="4"/>
    <n v="52800"/>
    <n v="13"/>
    <n v="37.5"/>
    <s v="No"/>
    <n v="24"/>
    <s v="Man"/>
    <s v="Married"/>
    <x v="1"/>
    <n v="24"/>
    <s v="Bachelor's Degree"/>
    <s v="Medical"/>
    <n v="3"/>
    <n v="2"/>
    <n v="3"/>
    <n v="3"/>
    <n v="2"/>
    <n v="2"/>
    <n v="2"/>
    <n v="1"/>
    <x v="0"/>
    <d v="2024-02-07T00:00:00"/>
    <x v="1"/>
    <s v="Voluntary"/>
    <x v="0"/>
    <x v="1"/>
    <x v="1"/>
    <x v="0"/>
    <x v="0"/>
  </r>
  <r>
    <x v="598"/>
    <s v="No"/>
    <x v="1"/>
    <s v="Research Director"/>
    <x v="1"/>
    <x v="0"/>
    <n v="5"/>
    <n v="246024"/>
    <n v="17"/>
    <n v="37.5"/>
    <s v="Yes"/>
    <n v="49"/>
    <s v="Man"/>
    <s v="Divorced"/>
    <x v="0"/>
    <n v="18"/>
    <s v="Master's Degree"/>
    <s v="Life Sciences"/>
    <n v="3"/>
    <n v="1"/>
    <n v="31"/>
    <n v="5"/>
    <n v="31"/>
    <n v="9"/>
    <n v="0"/>
    <n v="9"/>
    <x v="2"/>
    <d v="2025-02-14T00:00:00"/>
    <x v="1"/>
    <s v="Involuntary"/>
    <x v="0"/>
    <x v="0"/>
    <x v="1"/>
    <x v="0"/>
    <x v="5"/>
  </r>
  <r>
    <x v="599"/>
    <s v="No"/>
    <x v="1"/>
    <s v="Sales Executive"/>
    <x v="0"/>
    <x v="1"/>
    <n v="6"/>
    <n v="62376"/>
    <n v="12"/>
    <n v="37.5"/>
    <s v="No"/>
    <n v="38"/>
    <s v="Woman"/>
    <s v="Single"/>
    <x v="0"/>
    <n v="16"/>
    <s v="Bachelor's Degree"/>
    <s v="Life Sciences"/>
    <n v="3"/>
    <n v="0"/>
    <n v="8"/>
    <n v="5"/>
    <n v="3"/>
    <n v="2"/>
    <n v="1"/>
    <n v="2"/>
    <x v="1"/>
    <d v="2024-06-18T00:00:00"/>
    <x v="1"/>
    <s v="Voluntary"/>
    <x v="1"/>
    <x v="3"/>
    <x v="2"/>
    <x v="2"/>
    <x v="2"/>
  </r>
  <r>
    <x v="600"/>
    <s v="No"/>
    <x v="1"/>
    <s v="Research Scientist"/>
    <x v="0"/>
    <x v="0"/>
    <n v="5"/>
    <n v="56700"/>
    <n v="11"/>
    <n v="37.5"/>
    <s v="Yes"/>
    <n v="24"/>
    <s v="Man"/>
    <s v="Married"/>
    <x v="0"/>
    <n v="23"/>
    <s v="Bachelor's Degree"/>
    <s v="Medical"/>
    <n v="3"/>
    <n v="2"/>
    <n v="6"/>
    <n v="3"/>
    <n v="6"/>
    <n v="5"/>
    <n v="1"/>
    <n v="4"/>
    <x v="1"/>
    <d v="2022-01-22T00:00:00"/>
    <x v="0"/>
    <s v="Involuntary"/>
    <x v="1"/>
    <x v="1"/>
    <x v="2"/>
    <x v="0"/>
    <x v="1"/>
  </r>
  <r>
    <x v="601"/>
    <s v="No"/>
    <x v="1"/>
    <s v="Research Scientist"/>
    <x v="0"/>
    <x v="0"/>
    <n v="6"/>
    <n v="62448"/>
    <n v="14"/>
    <n v="37.5"/>
    <s v="No"/>
    <n v="30"/>
    <s v="Woman"/>
    <s v="Divorced"/>
    <x v="0"/>
    <n v="5"/>
    <s v="Bachelor's Degree"/>
    <s v="Technical Degree"/>
    <n v="3"/>
    <n v="1"/>
    <n v="8"/>
    <n v="3"/>
    <n v="3"/>
    <n v="2"/>
    <n v="2"/>
    <n v="2"/>
    <x v="1"/>
    <d v="2022-12-07T00:00:00"/>
    <x v="0"/>
    <s v="Voluntary"/>
    <x v="0"/>
    <x v="2"/>
    <x v="0"/>
    <x v="0"/>
    <x v="4"/>
  </r>
  <r>
    <x v="602"/>
    <s v="No"/>
    <x v="1"/>
    <s v="Sales Executive"/>
    <x v="0"/>
    <x v="1"/>
    <n v="8"/>
    <n v="87264"/>
    <n v="20"/>
    <n v="37.5"/>
    <s v="No"/>
    <n v="26"/>
    <s v="Man"/>
    <s v="Married"/>
    <x v="0"/>
    <n v="28"/>
    <s v="Certificate or Diploma"/>
    <s v="Marketing"/>
    <n v="4"/>
    <n v="2"/>
    <n v="6"/>
    <n v="5"/>
    <n v="5"/>
    <n v="3"/>
    <n v="1"/>
    <n v="4"/>
    <x v="1"/>
    <d v="2023-01-21T00:00:00"/>
    <x v="0"/>
    <s v="Voluntary"/>
    <x v="3"/>
    <x v="3"/>
    <x v="0"/>
    <x v="2"/>
    <x v="1"/>
  </r>
  <r>
    <x v="603"/>
    <s v="No"/>
    <x v="1"/>
    <s v="Laboratory Technician"/>
    <x v="0"/>
    <x v="0"/>
    <n v="6"/>
    <n v="62532"/>
    <n v="14"/>
    <n v="37.5"/>
    <s v="No"/>
    <n v="49"/>
    <s v="Woman"/>
    <s v="Married"/>
    <x v="0"/>
    <n v="25"/>
    <s v="Master's Degree"/>
    <s v="Life Sciences"/>
    <n v="3"/>
    <n v="1"/>
    <n v="10"/>
    <n v="3"/>
    <n v="9"/>
    <n v="6"/>
    <n v="1"/>
    <n v="4"/>
    <x v="1"/>
    <d v="2025-12-06T00:00:00"/>
    <x v="1"/>
    <s v="Involuntary"/>
    <x v="2"/>
    <x v="2"/>
    <x v="0"/>
    <x v="1"/>
    <x v="2"/>
  </r>
  <r>
    <x v="604"/>
    <s v="No"/>
    <x v="1"/>
    <s v="Laboratory Technician"/>
    <x v="0"/>
    <x v="0"/>
    <n v="6"/>
    <n v="62544"/>
    <n v="15"/>
    <n v="37.5"/>
    <s v="No"/>
    <n v="52"/>
    <s v="Woman"/>
    <s v="Single"/>
    <x v="0"/>
    <n v="2"/>
    <s v="Bachelor's Degree"/>
    <s v="Life Sciences"/>
    <n v="3"/>
    <n v="0"/>
    <n v="6"/>
    <n v="3"/>
    <n v="2"/>
    <n v="2"/>
    <n v="2"/>
    <n v="2"/>
    <x v="0"/>
    <d v="2025-05-18T00:00:00"/>
    <x v="1"/>
    <s v="Voluntary"/>
    <x v="2"/>
    <x v="1"/>
    <x v="2"/>
    <x v="1"/>
    <x v="1"/>
  </r>
  <r>
    <x v="605"/>
    <s v="No"/>
    <x v="1"/>
    <s v="Laboratory Technician"/>
    <x v="0"/>
    <x v="0"/>
    <n v="3"/>
    <n v="49524"/>
    <n v="21"/>
    <n v="37.5"/>
    <s v="No"/>
    <n v="24"/>
    <s v="Man"/>
    <s v="Married"/>
    <x v="0"/>
    <n v="17"/>
    <s v="Certificate or Diploma"/>
    <s v="Other"/>
    <n v="4"/>
    <n v="1"/>
    <n v="1"/>
    <n v="2"/>
    <n v="1"/>
    <n v="0"/>
    <n v="0"/>
    <n v="0"/>
    <x v="0"/>
    <d v="2025-05-21T00:00:00"/>
    <x v="1"/>
    <s v="Voluntary"/>
    <x v="0"/>
    <x v="3"/>
    <x v="0"/>
    <x v="0"/>
    <x v="5"/>
  </r>
  <r>
    <x v="606"/>
    <s v="No"/>
    <x v="1"/>
    <s v="Manager, HR"/>
    <x v="1"/>
    <x v="2"/>
    <n v="5"/>
    <n v="230400"/>
    <n v="11"/>
    <n v="37.5"/>
    <s v="No"/>
    <n v="50"/>
    <s v="Man"/>
    <s v="Married"/>
    <x v="1"/>
    <n v="3"/>
    <s v="Bachelor's Degree"/>
    <s v="Medical"/>
    <n v="3"/>
    <n v="1"/>
    <n v="32"/>
    <n v="2"/>
    <n v="32"/>
    <n v="5"/>
    <n v="10"/>
    <n v="7"/>
    <x v="2"/>
    <d v="2025-12-19T00:00:00"/>
    <x v="1"/>
    <s v="Voluntary"/>
    <x v="3"/>
    <x v="3"/>
    <x v="1"/>
    <x v="0"/>
    <x v="6"/>
  </r>
  <r>
    <x v="607"/>
    <s v="No"/>
    <x v="1"/>
    <s v="Sales Representative"/>
    <x v="0"/>
    <x v="1"/>
    <n v="3"/>
    <n v="49152"/>
    <n v="11"/>
    <n v="37.5"/>
    <s v="No"/>
    <n v="25"/>
    <s v="Man"/>
    <s v="Married"/>
    <x v="0"/>
    <n v="13"/>
    <s v="Trades Apprenticeship"/>
    <s v="Medical"/>
    <n v="3"/>
    <n v="0"/>
    <n v="7"/>
    <n v="1"/>
    <n v="7"/>
    <n v="4"/>
    <n v="0"/>
    <n v="6"/>
    <x v="1"/>
    <d v="2023-11-12T00:00:00"/>
    <x v="0"/>
    <s v="Involuntary"/>
    <x v="1"/>
    <x v="0"/>
    <x v="1"/>
    <x v="0"/>
    <x v="1"/>
  </r>
  <r>
    <x v="608"/>
    <s v="No"/>
    <x v="1"/>
    <s v="Manufacturing Director"/>
    <x v="1"/>
    <x v="0"/>
    <n v="6"/>
    <n v="62724"/>
    <n v="18"/>
    <n v="37.5"/>
    <s v="No"/>
    <n v="27"/>
    <s v="Woman"/>
    <s v="Married"/>
    <x v="0"/>
    <n v="2"/>
    <s v="Master's Degree"/>
    <s v="Life Sciences"/>
    <n v="3"/>
    <n v="1"/>
    <n v="4"/>
    <n v="2"/>
    <n v="3"/>
    <n v="2"/>
    <n v="2"/>
    <n v="2"/>
    <x v="1"/>
    <d v="2023-07-20T00:00:00"/>
    <x v="0"/>
    <s v="Voluntary"/>
    <x v="3"/>
    <x v="1"/>
    <x v="2"/>
    <x v="0"/>
    <x v="2"/>
  </r>
  <r>
    <x v="609"/>
    <s v="No"/>
    <x v="1"/>
    <s v="Research Scientist"/>
    <x v="0"/>
    <x v="0"/>
    <n v="6"/>
    <n v="67464"/>
    <n v="13"/>
    <n v="37.5"/>
    <s v="Yes"/>
    <n v="34"/>
    <s v="Man"/>
    <s v="Married"/>
    <x v="0"/>
    <n v="1"/>
    <s v="Certificate or Diploma"/>
    <s v="Life Sciences"/>
    <n v="3"/>
    <n v="1"/>
    <n v="6"/>
    <n v="3"/>
    <n v="6"/>
    <n v="5"/>
    <n v="1"/>
    <n v="3"/>
    <x v="1"/>
    <d v="2024-03-08T00:00:00"/>
    <x v="1"/>
    <s v="Involuntary"/>
    <x v="1"/>
    <x v="1"/>
    <x v="0"/>
    <x v="0"/>
    <x v="5"/>
  </r>
  <r>
    <x v="610"/>
    <s v="No"/>
    <x v="1"/>
    <s v="Laboratory Technician"/>
    <x v="0"/>
    <x v="0"/>
    <n v="6"/>
    <n v="68172"/>
    <n v="14"/>
    <n v="37.5"/>
    <s v="No"/>
    <n v="35"/>
    <s v="Man"/>
    <s v="Single"/>
    <x v="0"/>
    <n v="25"/>
    <s v="Certificate or Diploma"/>
    <s v="Other"/>
    <n v="3"/>
    <n v="0"/>
    <n v="9"/>
    <n v="3"/>
    <n v="3"/>
    <n v="2"/>
    <n v="0"/>
    <n v="2"/>
    <x v="1"/>
    <d v="2022-02-13T00:00:00"/>
    <x v="0"/>
    <s v="Voluntary"/>
    <x v="3"/>
    <x v="1"/>
    <x v="0"/>
    <x v="0"/>
    <x v="4"/>
  </r>
  <r>
    <x v="611"/>
    <s v="No"/>
    <x v="1"/>
    <s v="Sales Executive"/>
    <x v="0"/>
    <x v="1"/>
    <n v="7"/>
    <n v="77520"/>
    <n v="22"/>
    <n v="37.5"/>
    <s v="No"/>
    <n v="31"/>
    <s v="Man"/>
    <s v="Divorced"/>
    <x v="0"/>
    <n v="6"/>
    <s v="Master's Degree"/>
    <s v="Medical"/>
    <n v="4"/>
    <n v="2"/>
    <n v="13"/>
    <n v="4"/>
    <n v="7"/>
    <n v="7"/>
    <n v="5"/>
    <n v="7"/>
    <x v="1"/>
    <d v="2024-05-09T00:00:00"/>
    <x v="1"/>
    <s v="Involuntary"/>
    <x v="3"/>
    <x v="1"/>
    <x v="0"/>
    <x v="2"/>
    <x v="5"/>
  </r>
  <r>
    <x v="612"/>
    <s v="No"/>
    <x v="1"/>
    <s v="Healthcare Representative"/>
    <x v="0"/>
    <x v="0"/>
    <n v="6"/>
    <n v="62928"/>
    <n v="24"/>
    <n v="37.5"/>
    <s v="No"/>
    <n v="40"/>
    <s v="Woman"/>
    <s v="Married"/>
    <x v="1"/>
    <n v="2"/>
    <s v="Certificate or Diploma"/>
    <s v="Medical"/>
    <n v="4"/>
    <n v="1"/>
    <n v="8"/>
    <n v="2"/>
    <n v="8"/>
    <n v="7"/>
    <n v="3"/>
    <n v="7"/>
    <x v="1"/>
    <d v="2022-04-01T00:00:00"/>
    <x v="0"/>
    <s v="Voluntary"/>
    <x v="2"/>
    <x v="3"/>
    <x v="0"/>
    <x v="0"/>
    <x v="4"/>
  </r>
  <r>
    <x v="613"/>
    <s v="No"/>
    <x v="1"/>
    <s v="Sales Executive"/>
    <x v="0"/>
    <x v="1"/>
    <n v="9"/>
    <n v="127224"/>
    <n v="11"/>
    <n v="37.5"/>
    <s v="Yes"/>
    <n v="37"/>
    <s v="Man"/>
    <s v="Married"/>
    <x v="0"/>
    <n v="2"/>
    <s v="Bachelor's Degree"/>
    <s v="Marketing"/>
    <n v="3"/>
    <n v="1"/>
    <n v="17"/>
    <n v="3"/>
    <n v="3"/>
    <n v="0"/>
    <n v="1"/>
    <n v="0"/>
    <x v="1"/>
    <d v="2022-04-19T00:00:00"/>
    <x v="0"/>
    <s v="Involuntary"/>
    <x v="0"/>
    <x v="0"/>
    <x v="1"/>
    <x v="1"/>
    <x v="4"/>
  </r>
  <r>
    <x v="614"/>
    <s v="No"/>
    <x v="1"/>
    <s v="Research Director"/>
    <x v="1"/>
    <x v="0"/>
    <n v="4"/>
    <n v="211524"/>
    <n v="14"/>
    <n v="37.5"/>
    <s v="Yes"/>
    <n v="43"/>
    <s v="Man"/>
    <s v="Divorced"/>
    <x v="0"/>
    <n v="6"/>
    <s v="Master's Degree"/>
    <s v="Other"/>
    <n v="3"/>
    <n v="1"/>
    <n v="21"/>
    <n v="3"/>
    <n v="1"/>
    <n v="0"/>
    <n v="0"/>
    <n v="0"/>
    <x v="0"/>
    <d v="2025-10-29T00:00:00"/>
    <x v="1"/>
    <s v="Voluntary"/>
    <x v="1"/>
    <x v="1"/>
    <x v="1"/>
    <x v="1"/>
    <x v="1"/>
  </r>
  <r>
    <x v="615"/>
    <s v="No"/>
    <x v="1"/>
    <s v="Research Scientist"/>
    <x v="0"/>
    <x v="0"/>
    <n v="6"/>
    <n v="63084"/>
    <n v="18"/>
    <n v="37.5"/>
    <s v="Yes"/>
    <n v="56"/>
    <s v="Woman"/>
    <s v="Divorced"/>
    <x v="0"/>
    <n v="8"/>
    <s v="Bachelor's Degree"/>
    <s v="Life Sciences"/>
    <n v="3"/>
    <n v="1"/>
    <n v="19"/>
    <n v="3"/>
    <n v="2"/>
    <n v="2"/>
    <n v="2"/>
    <n v="2"/>
    <x v="0"/>
    <d v="2023-01-09T00:00:00"/>
    <x v="0"/>
    <s v="Involuntary"/>
    <x v="2"/>
    <x v="2"/>
    <x v="1"/>
    <x v="0"/>
    <x v="2"/>
  </r>
  <r>
    <x v="616"/>
    <s v="No"/>
    <x v="1"/>
    <s v="Laboratory Technician"/>
    <x v="0"/>
    <x v="0"/>
    <n v="7"/>
    <n v="80148"/>
    <n v="13"/>
    <n v="37.5"/>
    <s v="Yes"/>
    <n v="43"/>
    <s v="Man"/>
    <s v="Divorced"/>
    <x v="1"/>
    <n v="9"/>
    <s v="Doctorate"/>
    <s v="Medical"/>
    <n v="3"/>
    <n v="1"/>
    <n v="10"/>
    <n v="3"/>
    <n v="8"/>
    <n v="7"/>
    <n v="4"/>
    <n v="7"/>
    <x v="1"/>
    <d v="2025-07-29T00:00:00"/>
    <x v="1"/>
    <s v="Voluntary"/>
    <x v="0"/>
    <x v="0"/>
    <x v="2"/>
    <x v="0"/>
    <x v="4"/>
  </r>
  <r>
    <x v="617"/>
    <s v="No"/>
    <x v="1"/>
    <s v="Sales Executive"/>
    <x v="0"/>
    <x v="1"/>
    <n v="6"/>
    <n v="63120"/>
    <n v="12"/>
    <n v="37.5"/>
    <s v="Yes"/>
    <n v="24"/>
    <s v="Woman"/>
    <s v="Divorced"/>
    <x v="0"/>
    <n v="10"/>
    <s v="Master's Degree"/>
    <s v="Marketing"/>
    <n v="3"/>
    <n v="1"/>
    <n v="5"/>
    <n v="2"/>
    <n v="5"/>
    <n v="2"/>
    <n v="0"/>
    <n v="3"/>
    <x v="1"/>
    <d v="2022-10-02T00:00:00"/>
    <x v="0"/>
    <s v="Voluntary"/>
    <x v="0"/>
    <x v="0"/>
    <x v="0"/>
    <x v="2"/>
    <x v="7"/>
  </r>
  <r>
    <x v="618"/>
    <s v="No"/>
    <x v="1"/>
    <s v="Sales Representative"/>
    <x v="0"/>
    <x v="1"/>
    <n v="6"/>
    <n v="65364"/>
    <n v="11"/>
    <n v="37.5"/>
    <s v="No"/>
    <n v="21"/>
    <s v="Man"/>
    <s v="Single"/>
    <x v="0"/>
    <n v="22"/>
    <s v="Trades Apprenticeship"/>
    <s v="Technical Degree"/>
    <n v="3"/>
    <n v="0"/>
    <n v="3"/>
    <n v="2"/>
    <n v="3"/>
    <n v="2"/>
    <n v="1"/>
    <n v="2"/>
    <x v="1"/>
    <d v="2024-11-23T00:00:00"/>
    <x v="1"/>
    <s v="Involuntary"/>
    <x v="2"/>
    <x v="0"/>
    <x v="1"/>
    <x v="0"/>
    <x v="4"/>
  </r>
  <r>
    <x v="619"/>
    <s v="No"/>
    <x v="1"/>
    <s v="Research Scientist"/>
    <x v="0"/>
    <x v="0"/>
    <n v="6"/>
    <n v="63360"/>
    <n v="16"/>
    <n v="37.5"/>
    <s v="No"/>
    <n v="34"/>
    <s v="Woman"/>
    <s v="Single"/>
    <x v="0"/>
    <n v="1"/>
    <s v="Master's Degree"/>
    <s v="Life Sciences"/>
    <n v="3"/>
    <n v="0"/>
    <n v="10"/>
    <n v="2"/>
    <n v="4"/>
    <n v="2"/>
    <n v="1"/>
    <n v="3"/>
    <x v="1"/>
    <d v="2022-02-07T00:00:00"/>
    <x v="0"/>
    <s v="Voluntary"/>
    <x v="1"/>
    <x v="1"/>
    <x v="1"/>
    <x v="0"/>
    <x v="4"/>
  </r>
  <r>
    <x v="620"/>
    <s v="No"/>
    <x v="1"/>
    <s v="Manager, R&amp;D"/>
    <x v="1"/>
    <x v="0"/>
    <n v="5"/>
    <n v="246156"/>
    <n v="12"/>
    <n v="37.5"/>
    <s v="Yes"/>
    <n v="44"/>
    <s v="Man"/>
    <s v="Married"/>
    <x v="0"/>
    <n v="3"/>
    <s v="Master's Degree"/>
    <s v="Other"/>
    <n v="3"/>
    <n v="1"/>
    <n v="26"/>
    <n v="2"/>
    <n v="2"/>
    <n v="2"/>
    <n v="0"/>
    <n v="1"/>
    <x v="0"/>
    <d v="2025-11-29T00:00:00"/>
    <x v="1"/>
    <s v="Involuntary"/>
    <x v="0"/>
    <x v="1"/>
    <x v="3"/>
    <x v="2"/>
    <x v="5"/>
  </r>
  <r>
    <x v="621"/>
    <s v="No"/>
    <x v="1"/>
    <s v="Research Scientist"/>
    <x v="0"/>
    <x v="0"/>
    <n v="5"/>
    <n v="57276"/>
    <n v="20"/>
    <n v="37.5"/>
    <s v="No"/>
    <n v="22"/>
    <s v="Man"/>
    <s v="Married"/>
    <x v="0"/>
    <n v="6"/>
    <s v="Trades Apprenticeship"/>
    <s v="Medical"/>
    <n v="4"/>
    <n v="0"/>
    <n v="3"/>
    <n v="3"/>
    <n v="2"/>
    <n v="2"/>
    <n v="2"/>
    <n v="2"/>
    <x v="0"/>
    <d v="2023-12-18T00:00:00"/>
    <x v="0"/>
    <s v="Voluntary"/>
    <x v="3"/>
    <x v="0"/>
    <x v="0"/>
    <x v="0"/>
    <x v="1"/>
  </r>
  <r>
    <x v="622"/>
    <s v="No"/>
    <x v="1"/>
    <s v="Sales Executive"/>
    <x v="0"/>
    <x v="1"/>
    <n v="8"/>
    <n v="97248"/>
    <n v="12"/>
    <n v="37.5"/>
    <s v="No"/>
    <n v="33"/>
    <s v="Man"/>
    <s v="Divorced"/>
    <x v="0"/>
    <n v="8"/>
    <s v="Master's Degree"/>
    <s v="Marketing"/>
    <n v="3"/>
    <n v="0"/>
    <n v="6"/>
    <n v="3"/>
    <n v="5"/>
    <n v="0"/>
    <n v="1"/>
    <n v="2"/>
    <x v="1"/>
    <d v="2024-09-19T00:00:00"/>
    <x v="1"/>
    <s v="Involuntary"/>
    <x v="2"/>
    <x v="0"/>
    <x v="0"/>
    <x v="0"/>
    <x v="5"/>
  </r>
  <r>
    <x v="623"/>
    <s v="No"/>
    <x v="1"/>
    <s v="Research Scientist"/>
    <x v="0"/>
    <x v="0"/>
    <n v="6"/>
    <n v="63492"/>
    <n v="14"/>
    <n v="37.5"/>
    <s v="No"/>
    <n v="29"/>
    <s v="Woman"/>
    <s v="Divorced"/>
    <x v="1"/>
    <n v="10"/>
    <s v="Bachelor's Degree"/>
    <s v="Life Sciences"/>
    <n v="3"/>
    <n v="2"/>
    <n v="8"/>
    <n v="2"/>
    <n v="7"/>
    <n v="5"/>
    <n v="1"/>
    <n v="1"/>
    <x v="1"/>
    <d v="2024-08-30T00:00:00"/>
    <x v="1"/>
    <s v="Involuntary"/>
    <x v="0"/>
    <x v="3"/>
    <x v="0"/>
    <x v="1"/>
    <x v="4"/>
  </r>
  <r>
    <x v="624"/>
    <s v="No"/>
    <x v="1"/>
    <s v="Sales Representative"/>
    <x v="0"/>
    <x v="1"/>
    <n v="6"/>
    <n v="63528"/>
    <n v="18"/>
    <n v="37.5"/>
    <s v="Yes"/>
    <n v="47"/>
    <s v="Woman"/>
    <s v="Single"/>
    <x v="0"/>
    <n v="2"/>
    <s v="Master's Degree"/>
    <s v="Life Sciences"/>
    <n v="3"/>
    <n v="0"/>
    <n v="3"/>
    <n v="3"/>
    <n v="3"/>
    <n v="2"/>
    <n v="1"/>
    <n v="2"/>
    <x v="1"/>
    <d v="2023-10-20T00:00:00"/>
    <x v="0"/>
    <s v="Voluntary"/>
    <x v="0"/>
    <x v="1"/>
    <x v="3"/>
    <x v="1"/>
    <x v="1"/>
  </r>
  <r>
    <x v="625"/>
    <s v="No"/>
    <x v="1"/>
    <s v="Laboratory Technician"/>
    <x v="0"/>
    <x v="0"/>
    <n v="6"/>
    <n v="63528"/>
    <n v="17"/>
    <n v="37.5"/>
    <s v="No"/>
    <n v="34"/>
    <s v="Woman"/>
    <s v="Married"/>
    <x v="0"/>
    <n v="1"/>
    <s v="Bachelor's Degree"/>
    <s v="Life Sciences"/>
    <n v="3"/>
    <n v="1"/>
    <n v="7"/>
    <n v="2"/>
    <n v="5"/>
    <n v="4"/>
    <n v="0"/>
    <n v="2"/>
    <x v="1"/>
    <d v="2023-08-19T00:00:00"/>
    <x v="0"/>
    <s v="Voluntary"/>
    <x v="0"/>
    <x v="3"/>
    <x v="3"/>
    <x v="1"/>
    <x v="6"/>
  </r>
  <r>
    <x v="626"/>
    <s v="No"/>
    <x v="1"/>
    <s v="Research Scientist"/>
    <x v="0"/>
    <x v="0"/>
    <n v="5"/>
    <n v="56292"/>
    <n v="12"/>
    <n v="37.5"/>
    <s v="No"/>
    <n v="34"/>
    <s v="Man"/>
    <s v="Married"/>
    <x v="0"/>
    <n v="1"/>
    <s v="Doctorate"/>
    <s v="Life Sciences"/>
    <n v="3"/>
    <n v="1"/>
    <n v="10"/>
    <n v="4"/>
    <n v="10"/>
    <n v="9"/>
    <n v="8"/>
    <n v="8"/>
    <x v="2"/>
    <d v="2024-04-07T00:00:00"/>
    <x v="1"/>
    <s v="Voluntary"/>
    <x v="1"/>
    <x v="1"/>
    <x v="0"/>
    <x v="1"/>
    <x v="4"/>
  </r>
  <r>
    <x v="627"/>
    <s v="No"/>
    <x v="1"/>
    <s v="Laboratory Technician"/>
    <x v="0"/>
    <x v="0"/>
    <n v="6"/>
    <n v="63540"/>
    <n v="13"/>
    <n v="37.5"/>
    <s v="No"/>
    <n v="23"/>
    <s v="Woman"/>
    <s v="Single"/>
    <x v="0"/>
    <n v="4"/>
    <s v="Trades Apprenticeship"/>
    <s v="Medical"/>
    <n v="3"/>
    <n v="0"/>
    <n v="3"/>
    <n v="3"/>
    <n v="3"/>
    <n v="2"/>
    <n v="1"/>
    <n v="2"/>
    <x v="1"/>
    <d v="2022-06-04T00:00:00"/>
    <x v="0"/>
    <s v="Involuntary"/>
    <x v="2"/>
    <x v="3"/>
    <x v="1"/>
    <x v="3"/>
    <x v="6"/>
  </r>
  <r>
    <x v="628"/>
    <s v="No"/>
    <x v="1"/>
    <s v="Manufacturing Director"/>
    <x v="1"/>
    <x v="0"/>
    <n v="9"/>
    <n v="125208"/>
    <n v="15"/>
    <n v="37.5"/>
    <s v="No"/>
    <n v="37"/>
    <s v="Man"/>
    <s v="Married"/>
    <x v="0"/>
    <n v="3"/>
    <s v="Bachelor's Degree"/>
    <s v="Other"/>
    <n v="3"/>
    <n v="1"/>
    <n v="10"/>
    <n v="2"/>
    <n v="10"/>
    <n v="7"/>
    <n v="7"/>
    <n v="8"/>
    <x v="2"/>
    <d v="2023-05-14T00:00:00"/>
    <x v="0"/>
    <s v="Involuntary"/>
    <x v="2"/>
    <x v="0"/>
    <x v="1"/>
    <x v="0"/>
    <x v="4"/>
  </r>
  <r>
    <x v="629"/>
    <s v="No"/>
    <x v="1"/>
    <s v="Research Scientist"/>
    <x v="0"/>
    <x v="0"/>
    <n v="8"/>
    <n v="91752"/>
    <n v="13"/>
    <n v="37.5"/>
    <s v="No"/>
    <n v="35"/>
    <s v="Man"/>
    <s v="Single"/>
    <x v="0"/>
    <n v="6"/>
    <s v="Master's Degree"/>
    <s v="Life Sciences"/>
    <n v="3"/>
    <n v="0"/>
    <n v="17"/>
    <n v="3"/>
    <n v="17"/>
    <n v="11"/>
    <n v="11"/>
    <n v="8"/>
    <x v="2"/>
    <d v="2023-01-21T00:00:00"/>
    <x v="0"/>
    <s v="Voluntary"/>
    <x v="1"/>
    <x v="1"/>
    <x v="2"/>
    <x v="0"/>
    <x v="1"/>
  </r>
  <r>
    <x v="630"/>
    <s v="No"/>
    <x v="1"/>
    <s v="Sales Executive"/>
    <x v="0"/>
    <x v="1"/>
    <n v="6"/>
    <n v="63624"/>
    <n v="17"/>
    <n v="37.5"/>
    <s v="No"/>
    <n v="33"/>
    <s v="Woman"/>
    <s v="Married"/>
    <x v="1"/>
    <n v="7"/>
    <s v="Bachelor's Degree"/>
    <s v="Life Sciences"/>
    <n v="3"/>
    <n v="1"/>
    <n v="4"/>
    <n v="3"/>
    <n v="3"/>
    <n v="2"/>
    <n v="0"/>
    <n v="2"/>
    <x v="1"/>
    <d v="2025-06-07T00:00:00"/>
    <x v="1"/>
    <s v="Involuntary"/>
    <x v="0"/>
    <x v="3"/>
    <x v="1"/>
    <x v="0"/>
    <x v="4"/>
  </r>
  <r>
    <x v="631"/>
    <s v="No"/>
    <x v="1"/>
    <s v="Laboratory Technician"/>
    <x v="0"/>
    <x v="0"/>
    <n v="6"/>
    <n v="63672"/>
    <n v="19"/>
    <n v="37.5"/>
    <s v="No"/>
    <n v="38"/>
    <s v="Woman"/>
    <s v="Married"/>
    <x v="0"/>
    <n v="4"/>
    <s v="Certificate or Diploma"/>
    <s v="Medical"/>
    <n v="3"/>
    <n v="1"/>
    <n v="7"/>
    <n v="5"/>
    <n v="0"/>
    <n v="0"/>
    <n v="0"/>
    <n v="0"/>
    <x v="0"/>
    <d v="2022-08-02T00:00:00"/>
    <x v="0"/>
    <s v="Involuntary"/>
    <x v="0"/>
    <x v="0"/>
    <x v="0"/>
    <x v="1"/>
    <x v="5"/>
  </r>
  <r>
    <x v="632"/>
    <s v="No"/>
    <x v="1"/>
    <s v="Manufacturing Director"/>
    <x v="1"/>
    <x v="0"/>
    <n v="6"/>
    <n v="63672"/>
    <n v="12"/>
    <n v="37.5"/>
    <s v="No"/>
    <n v="31"/>
    <s v="Woman"/>
    <s v="Married"/>
    <x v="0"/>
    <n v="7"/>
    <s v="Certificate or Diploma"/>
    <s v="Medical"/>
    <n v="3"/>
    <n v="1"/>
    <n v="13"/>
    <n v="5"/>
    <n v="13"/>
    <n v="10"/>
    <n v="3"/>
    <n v="12"/>
    <x v="2"/>
    <d v="2022-05-25T00:00:00"/>
    <x v="0"/>
    <s v="Voluntary"/>
    <x v="1"/>
    <x v="2"/>
    <x v="2"/>
    <x v="3"/>
    <x v="9"/>
  </r>
  <r>
    <x v="633"/>
    <s v="No"/>
    <x v="1"/>
    <s v="Healthcare Representative"/>
    <x v="0"/>
    <x v="0"/>
    <n v="9"/>
    <n v="104700"/>
    <n v="23"/>
    <n v="37.5"/>
    <s v="No"/>
    <n v="33"/>
    <s v="Man"/>
    <s v="Divorced"/>
    <x v="1"/>
    <n v="6"/>
    <s v="Bachelor's Degree"/>
    <s v="Life Sciences"/>
    <n v="4"/>
    <n v="1"/>
    <n v="15"/>
    <n v="2"/>
    <n v="13"/>
    <n v="11"/>
    <n v="4"/>
    <n v="7"/>
    <x v="2"/>
    <d v="2025-07-01T00:00:00"/>
    <x v="1"/>
    <s v="Voluntary"/>
    <x v="2"/>
    <x v="1"/>
    <x v="1"/>
    <x v="3"/>
    <x v="1"/>
  </r>
  <r>
    <x v="634"/>
    <s v="No"/>
    <x v="1"/>
    <s v="Research Scientist"/>
    <x v="0"/>
    <x v="0"/>
    <n v="6"/>
    <n v="63720"/>
    <n v="21"/>
    <n v="37.5"/>
    <s v="No"/>
    <n v="28"/>
    <s v="Woman"/>
    <s v="Single"/>
    <x v="0"/>
    <n v="8"/>
    <s v="Certificate or Diploma"/>
    <s v="Life Sciences"/>
    <n v="4"/>
    <n v="0"/>
    <n v="5"/>
    <n v="3"/>
    <n v="5"/>
    <n v="3"/>
    <n v="0"/>
    <n v="2"/>
    <x v="1"/>
    <d v="2022-08-19T00:00:00"/>
    <x v="0"/>
    <s v="Voluntary"/>
    <x v="0"/>
    <x v="1"/>
    <x v="0"/>
    <x v="0"/>
    <x v="7"/>
  </r>
  <r>
    <x v="635"/>
    <s v="No"/>
    <x v="1"/>
    <s v="Research Scientist"/>
    <x v="0"/>
    <x v="0"/>
    <n v="6"/>
    <n v="63744"/>
    <n v="17"/>
    <n v="37.5"/>
    <s v="No"/>
    <n v="32"/>
    <s v="Woman"/>
    <s v="Married"/>
    <x v="0"/>
    <n v="5"/>
    <s v="Master's Degree"/>
    <s v="Other"/>
    <n v="3"/>
    <n v="2"/>
    <n v="6"/>
    <n v="3"/>
    <n v="3"/>
    <n v="2"/>
    <n v="0"/>
    <n v="2"/>
    <x v="1"/>
    <d v="2024-01-31T00:00:00"/>
    <x v="1"/>
    <s v="Voluntary"/>
    <x v="1"/>
    <x v="1"/>
    <x v="0"/>
    <x v="0"/>
    <x v="5"/>
  </r>
  <r>
    <x v="636"/>
    <s v="No"/>
    <x v="1"/>
    <s v="HR Operations Specialist"/>
    <x v="0"/>
    <x v="2"/>
    <n v="10"/>
    <n v="140700"/>
    <n v="15"/>
    <n v="37.5"/>
    <s v="No"/>
    <n v="54"/>
    <s v="Man"/>
    <s v="Married"/>
    <x v="0"/>
    <n v="19"/>
    <s v="Master's Degree"/>
    <s v="Medical"/>
    <n v="3"/>
    <n v="1"/>
    <n v="16"/>
    <n v="1"/>
    <n v="9"/>
    <n v="7"/>
    <n v="7"/>
    <n v="1"/>
    <x v="1"/>
    <d v="2023-07-04T00:00:00"/>
    <x v="0"/>
    <s v="Voluntary"/>
    <x v="2"/>
    <x v="3"/>
    <x v="1"/>
    <x v="2"/>
    <x v="4"/>
  </r>
  <r>
    <x v="637"/>
    <s v="No"/>
    <x v="1"/>
    <s v="Research Scientist"/>
    <x v="0"/>
    <x v="0"/>
    <n v="6"/>
    <n v="63804"/>
    <n v="20"/>
    <n v="37.5"/>
    <s v="Yes"/>
    <n v="38"/>
    <s v="Woman"/>
    <s v="Single"/>
    <x v="0"/>
    <n v="3"/>
    <s v="Doctorate"/>
    <s v="Technical Degree"/>
    <n v="4"/>
    <n v="0"/>
    <n v="19"/>
    <n v="2"/>
    <n v="3"/>
    <n v="2"/>
    <n v="2"/>
    <n v="2"/>
    <x v="1"/>
    <d v="2023-07-13T00:00:00"/>
    <x v="0"/>
    <s v="Voluntary"/>
    <x v="0"/>
    <x v="0"/>
    <x v="2"/>
    <x v="0"/>
    <x v="4"/>
  </r>
  <r>
    <x v="638"/>
    <s v="No"/>
    <x v="1"/>
    <s v="Manufacturing Director"/>
    <x v="1"/>
    <x v="0"/>
    <n v="9"/>
    <n v="118164"/>
    <n v="11"/>
    <n v="37.5"/>
    <s v="Yes"/>
    <n v="36"/>
    <s v="Man"/>
    <s v="Divorced"/>
    <x v="0"/>
    <n v="9"/>
    <s v="Certificate or Diploma"/>
    <s v="Medical"/>
    <n v="3"/>
    <n v="1"/>
    <n v="13"/>
    <n v="2"/>
    <n v="3"/>
    <n v="2"/>
    <n v="0"/>
    <n v="2"/>
    <x v="1"/>
    <d v="2024-08-11T00:00:00"/>
    <x v="1"/>
    <s v="Voluntary"/>
    <x v="1"/>
    <x v="3"/>
    <x v="1"/>
    <x v="0"/>
    <x v="2"/>
  </r>
  <r>
    <x v="639"/>
    <s v="No"/>
    <x v="1"/>
    <s v="Research Scientist"/>
    <x v="0"/>
    <x v="0"/>
    <n v="3"/>
    <n v="48540"/>
    <n v="13"/>
    <n v="37.5"/>
    <s v="No"/>
    <n v="27"/>
    <s v="Man"/>
    <s v="Single"/>
    <x v="0"/>
    <n v="3"/>
    <s v="Master's Degree"/>
    <s v="Medical"/>
    <n v="3"/>
    <n v="0"/>
    <n v="5"/>
    <n v="0"/>
    <n v="4"/>
    <n v="2"/>
    <n v="1"/>
    <n v="1"/>
    <x v="1"/>
    <d v="2022-11-07T00:00:00"/>
    <x v="0"/>
    <s v="Involuntary"/>
    <x v="3"/>
    <x v="1"/>
    <x v="0"/>
    <x v="0"/>
    <x v="4"/>
  </r>
  <r>
    <x v="640"/>
    <s v="No"/>
    <x v="1"/>
    <s v="Research Scientist"/>
    <x v="0"/>
    <x v="0"/>
    <n v="5"/>
    <n v="57828"/>
    <n v="16"/>
    <n v="37.5"/>
    <s v="No"/>
    <n v="23"/>
    <s v="Man"/>
    <s v="Married"/>
    <x v="0"/>
    <n v="4"/>
    <s v="Bachelor's Degree"/>
    <s v="Medical"/>
    <n v="3"/>
    <n v="1"/>
    <n v="5"/>
    <n v="3"/>
    <n v="3"/>
    <n v="2"/>
    <n v="0"/>
    <n v="2"/>
    <x v="1"/>
    <d v="2023-02-23T00:00:00"/>
    <x v="0"/>
    <s v="Involuntary"/>
    <x v="3"/>
    <x v="2"/>
    <x v="3"/>
    <x v="2"/>
    <x v="3"/>
  </r>
  <r>
    <x v="641"/>
    <s v="No"/>
    <x v="1"/>
    <s v="Sales Executive"/>
    <x v="0"/>
    <x v="1"/>
    <n v="7"/>
    <n v="70212"/>
    <n v="22"/>
    <n v="37.5"/>
    <s v="No"/>
    <n v="25"/>
    <s v="Man"/>
    <s v="Married"/>
    <x v="0"/>
    <n v="8"/>
    <s v="Bachelor's Degree"/>
    <s v="Life Sciences"/>
    <n v="4"/>
    <n v="1"/>
    <n v="4"/>
    <n v="4"/>
    <n v="3"/>
    <n v="2"/>
    <n v="1"/>
    <n v="2"/>
    <x v="1"/>
    <d v="2023-01-19T00:00:00"/>
    <x v="0"/>
    <s v="Voluntary"/>
    <x v="0"/>
    <x v="3"/>
    <x v="1"/>
    <x v="0"/>
    <x v="4"/>
  </r>
  <r>
    <x v="642"/>
    <s v="No"/>
    <x v="1"/>
    <s v="Research Scientist"/>
    <x v="0"/>
    <x v="0"/>
    <n v="5"/>
    <n v="56640"/>
    <n v="18"/>
    <n v="37.5"/>
    <s v="No"/>
    <n v="29"/>
    <s v="Man"/>
    <s v="Divorced"/>
    <x v="1"/>
    <n v="1"/>
    <s v="Master's Degree"/>
    <s v="Life Sciences"/>
    <n v="3"/>
    <n v="1"/>
    <n v="10"/>
    <n v="5"/>
    <n v="10"/>
    <n v="7"/>
    <n v="2"/>
    <n v="8"/>
    <x v="2"/>
    <d v="2024-05-29T00:00:00"/>
    <x v="1"/>
    <s v="Voluntary"/>
    <x v="1"/>
    <x v="1"/>
    <x v="0"/>
    <x v="0"/>
    <x v="5"/>
  </r>
  <r>
    <x v="643"/>
    <s v="No"/>
    <x v="1"/>
    <s v="Sales Executive"/>
    <x v="0"/>
    <x v="1"/>
    <n v="9"/>
    <n v="109440"/>
    <n v="12"/>
    <n v="37.5"/>
    <s v="No"/>
    <n v="48"/>
    <s v="Man"/>
    <s v="Married"/>
    <x v="0"/>
    <n v="2"/>
    <s v="Trades Apprenticeship"/>
    <s v="Marketing"/>
    <n v="3"/>
    <n v="0"/>
    <n v="12"/>
    <n v="3"/>
    <n v="2"/>
    <n v="2"/>
    <n v="2"/>
    <n v="2"/>
    <x v="0"/>
    <d v="2024-10-25T00:00:00"/>
    <x v="1"/>
    <s v="Voluntary"/>
    <x v="1"/>
    <x v="3"/>
    <x v="0"/>
    <x v="0"/>
    <x v="1"/>
  </r>
  <r>
    <x v="644"/>
    <s v="No"/>
    <x v="1"/>
    <s v="Healthcare Representative"/>
    <x v="0"/>
    <x v="0"/>
    <n v="6"/>
    <n v="64020"/>
    <n v="12"/>
    <n v="37.5"/>
    <s v="No"/>
    <n v="29"/>
    <s v="Woman"/>
    <s v="Married"/>
    <x v="0"/>
    <n v="27"/>
    <s v="Bachelor's Degree"/>
    <s v="Medical"/>
    <n v="3"/>
    <n v="1"/>
    <n v="11"/>
    <n v="3"/>
    <n v="8"/>
    <n v="7"/>
    <n v="1"/>
    <n v="1"/>
    <x v="1"/>
    <d v="2022-04-21T00:00:00"/>
    <x v="0"/>
    <s v="Voluntary"/>
    <x v="1"/>
    <x v="0"/>
    <x v="3"/>
    <x v="1"/>
    <x v="8"/>
  </r>
  <r>
    <x v="645"/>
    <s v="No"/>
    <x v="1"/>
    <s v="Research Scientist"/>
    <x v="0"/>
    <x v="0"/>
    <n v="6"/>
    <n v="68160"/>
    <n v="17"/>
    <n v="37.5"/>
    <s v="No"/>
    <n v="37"/>
    <s v="Man"/>
    <s v="Single"/>
    <x v="0"/>
    <n v="10"/>
    <s v="Certificate or Diploma"/>
    <s v="Life Sciences"/>
    <n v="3"/>
    <n v="0"/>
    <n v="4"/>
    <n v="2"/>
    <n v="1"/>
    <n v="0"/>
    <n v="0"/>
    <n v="0"/>
    <x v="0"/>
    <d v="2023-07-12T00:00:00"/>
    <x v="0"/>
    <s v="Involuntary"/>
    <x v="0"/>
    <x v="1"/>
    <x v="3"/>
    <x v="0"/>
    <x v="4"/>
  </r>
  <r>
    <x v="646"/>
    <s v="No"/>
    <x v="1"/>
    <s v="Laboratory Technician"/>
    <x v="0"/>
    <x v="0"/>
    <n v="6"/>
    <n v="62652"/>
    <n v="11"/>
    <n v="37.5"/>
    <s v="Yes"/>
    <n v="50"/>
    <s v="Man"/>
    <s v="Married"/>
    <x v="0"/>
    <n v="28"/>
    <s v="Trades Apprenticeship"/>
    <s v="Medical"/>
    <n v="3"/>
    <n v="3"/>
    <n v="20"/>
    <n v="3"/>
    <n v="20"/>
    <n v="8"/>
    <n v="3"/>
    <n v="8"/>
    <x v="2"/>
    <d v="2024-04-07T00:00:00"/>
    <x v="1"/>
    <s v="Involuntary"/>
    <x v="0"/>
    <x v="0"/>
    <x v="1"/>
    <x v="0"/>
    <x v="5"/>
  </r>
  <r>
    <x v="647"/>
    <s v="No"/>
    <x v="1"/>
    <s v="Research Scientist"/>
    <x v="0"/>
    <x v="0"/>
    <n v="6"/>
    <n v="64152"/>
    <n v="20"/>
    <n v="37.5"/>
    <s v="Yes"/>
    <n v="58"/>
    <s v="Woman"/>
    <s v="Married"/>
    <x v="0"/>
    <n v="9"/>
    <s v="Bachelor's Degree"/>
    <s v="Medical"/>
    <n v="4"/>
    <n v="1"/>
    <n v="9"/>
    <n v="3"/>
    <n v="1"/>
    <n v="0"/>
    <n v="0"/>
    <n v="0"/>
    <x v="0"/>
    <d v="2025-05-29T00:00:00"/>
    <x v="1"/>
    <s v="Voluntary"/>
    <x v="1"/>
    <x v="3"/>
    <x v="2"/>
    <x v="1"/>
    <x v="8"/>
  </r>
  <r>
    <x v="648"/>
    <s v="No"/>
    <x v="1"/>
    <s v="Sales Executive"/>
    <x v="0"/>
    <x v="1"/>
    <n v="7"/>
    <n v="76752"/>
    <n v="12"/>
    <n v="37.5"/>
    <s v="No"/>
    <n v="32"/>
    <s v="Man"/>
    <s v="Single"/>
    <x v="0"/>
    <n v="10"/>
    <s v="Bachelor's Degree"/>
    <s v="Marketing"/>
    <n v="3"/>
    <n v="0"/>
    <n v="10"/>
    <n v="2"/>
    <n v="10"/>
    <n v="7"/>
    <n v="0"/>
    <n v="8"/>
    <x v="2"/>
    <d v="2025-12-06T00:00:00"/>
    <x v="1"/>
    <s v="Voluntary"/>
    <x v="0"/>
    <x v="1"/>
    <x v="0"/>
    <x v="1"/>
    <x v="0"/>
  </r>
  <r>
    <x v="649"/>
    <s v="No"/>
    <x v="1"/>
    <s v="Laboratory Technician"/>
    <x v="0"/>
    <x v="0"/>
    <n v="6"/>
    <n v="64368"/>
    <n v="14"/>
    <n v="37.5"/>
    <s v="No"/>
    <n v="26"/>
    <s v="Woman"/>
    <s v="Divorced"/>
    <x v="1"/>
    <n v="1"/>
    <s v="Certificate or Diploma"/>
    <s v="Life Sciences"/>
    <n v="3"/>
    <n v="1"/>
    <n v="5"/>
    <n v="2"/>
    <n v="2"/>
    <n v="2"/>
    <n v="2"/>
    <n v="0"/>
    <x v="0"/>
    <d v="2023-07-06T00:00:00"/>
    <x v="0"/>
    <s v="Involuntary"/>
    <x v="3"/>
    <x v="1"/>
    <x v="3"/>
    <x v="0"/>
    <x v="6"/>
  </r>
  <r>
    <x v="650"/>
    <s v="No"/>
    <x v="1"/>
    <s v="Manufacturing Director"/>
    <x v="1"/>
    <x v="0"/>
    <n v="6"/>
    <n v="64488"/>
    <n v="15"/>
    <n v="37.5"/>
    <s v="No"/>
    <n v="36"/>
    <s v="Woman"/>
    <s v="Married"/>
    <x v="2"/>
    <n v="1"/>
    <s v="Master's Degree"/>
    <s v="Medical"/>
    <n v="3"/>
    <n v="0"/>
    <n v="4"/>
    <n v="6"/>
    <n v="3"/>
    <n v="2"/>
    <n v="1"/>
    <n v="2"/>
    <x v="1"/>
    <d v="2024-04-26T00:00:00"/>
    <x v="1"/>
    <s v="Involuntary"/>
    <x v="0"/>
    <x v="0"/>
    <x v="1"/>
    <x v="0"/>
    <x v="5"/>
  </r>
  <r>
    <x v="651"/>
    <s v="No"/>
    <x v="1"/>
    <s v="Sales Executive"/>
    <x v="0"/>
    <x v="1"/>
    <n v="7"/>
    <n v="71520"/>
    <n v="12"/>
    <n v="37.5"/>
    <s v="No"/>
    <n v="47"/>
    <s v="Man"/>
    <s v="Single"/>
    <x v="0"/>
    <n v="14"/>
    <s v="Master's Degree"/>
    <s v="Marketing"/>
    <n v="3"/>
    <n v="0"/>
    <n v="20"/>
    <n v="2"/>
    <n v="7"/>
    <n v="7"/>
    <n v="1"/>
    <n v="7"/>
    <x v="1"/>
    <d v="2025-06-10T00:00:00"/>
    <x v="1"/>
    <s v="Involuntary"/>
    <x v="0"/>
    <x v="2"/>
    <x v="0"/>
    <x v="0"/>
    <x v="4"/>
  </r>
  <r>
    <x v="652"/>
    <s v="No"/>
    <x v="1"/>
    <s v="Research Scientist"/>
    <x v="0"/>
    <x v="0"/>
    <n v="6"/>
    <n v="64512"/>
    <n v="13"/>
    <n v="37.5"/>
    <s v="No"/>
    <n v="41"/>
    <s v="Woman"/>
    <s v="Married"/>
    <x v="0"/>
    <n v="7"/>
    <s v="Certificate or Diploma"/>
    <s v="Technical Degree"/>
    <n v="3"/>
    <n v="0"/>
    <n v="10"/>
    <n v="3"/>
    <n v="10"/>
    <n v="6"/>
    <n v="0"/>
    <n v="8"/>
    <x v="2"/>
    <d v="2025-10-13T00:00:00"/>
    <x v="1"/>
    <s v="Involuntary"/>
    <x v="1"/>
    <x v="0"/>
    <x v="1"/>
    <x v="0"/>
    <x v="1"/>
  </r>
  <r>
    <x v="653"/>
    <s v="No"/>
    <x v="1"/>
    <s v="Laboratory Technician"/>
    <x v="0"/>
    <x v="0"/>
    <n v="6"/>
    <n v="64524"/>
    <n v="17"/>
    <n v="37.5"/>
    <s v="No"/>
    <n v="40"/>
    <s v="Woman"/>
    <s v="Married"/>
    <x v="0"/>
    <n v="2"/>
    <s v="Certificate or Diploma"/>
    <s v="Life Sciences"/>
    <n v="3"/>
    <n v="1"/>
    <n v="7"/>
    <n v="5"/>
    <n v="4"/>
    <n v="3"/>
    <n v="0"/>
    <n v="2"/>
    <x v="1"/>
    <d v="2024-10-21T00:00:00"/>
    <x v="1"/>
    <s v="Voluntary"/>
    <x v="2"/>
    <x v="2"/>
    <x v="0"/>
    <x v="1"/>
    <x v="2"/>
  </r>
  <r>
    <x v="654"/>
    <s v="No"/>
    <x v="1"/>
    <s v="Manufacturing Director"/>
    <x v="1"/>
    <x v="0"/>
    <n v="6"/>
    <n v="64524"/>
    <n v="15"/>
    <n v="37.5"/>
    <s v="No"/>
    <n v="24"/>
    <s v="Woman"/>
    <s v="Divorced"/>
    <x v="0"/>
    <n v="17"/>
    <s v="Trades Apprenticeship"/>
    <s v="Medical"/>
    <n v="3"/>
    <n v="2"/>
    <n v="5"/>
    <n v="6"/>
    <n v="4"/>
    <n v="2"/>
    <n v="3"/>
    <n v="2"/>
    <x v="1"/>
    <d v="2024-06-04T00:00:00"/>
    <x v="1"/>
    <s v="Voluntary"/>
    <x v="0"/>
    <x v="0"/>
    <x v="2"/>
    <x v="0"/>
    <x v="4"/>
  </r>
  <r>
    <x v="655"/>
    <s v="No"/>
    <x v="1"/>
    <s v="Research Scientist"/>
    <x v="0"/>
    <x v="0"/>
    <n v="6"/>
    <n v="64572"/>
    <n v="11"/>
    <n v="37.5"/>
    <s v="No"/>
    <n v="34"/>
    <s v="Woman"/>
    <s v="Single"/>
    <x v="0"/>
    <n v="2"/>
    <s v="Master's Degree"/>
    <s v="Medical"/>
    <n v="3"/>
    <n v="0"/>
    <n v="6"/>
    <n v="3"/>
    <n v="6"/>
    <n v="5"/>
    <n v="1"/>
    <n v="3"/>
    <x v="1"/>
    <d v="2024-05-10T00:00:00"/>
    <x v="1"/>
    <s v="Voluntary"/>
    <x v="2"/>
    <x v="2"/>
    <x v="1"/>
    <x v="0"/>
    <x v="2"/>
  </r>
  <r>
    <x v="656"/>
    <s v="No"/>
    <x v="1"/>
    <s v="Sales Executive"/>
    <x v="0"/>
    <x v="1"/>
    <n v="9"/>
    <n v="137700"/>
    <n v="21"/>
    <n v="37.5"/>
    <s v="Yes"/>
    <n v="40"/>
    <s v="Man"/>
    <s v="Married"/>
    <x v="1"/>
    <n v="5"/>
    <s v="Master's Degree"/>
    <s v="Life Sciences"/>
    <n v="4"/>
    <n v="1"/>
    <n v="20"/>
    <n v="2"/>
    <n v="18"/>
    <n v="13"/>
    <n v="1"/>
    <n v="12"/>
    <x v="2"/>
    <d v="2022-01-27T00:00:00"/>
    <x v="0"/>
    <s v="Involuntary"/>
    <x v="0"/>
    <x v="2"/>
    <x v="1"/>
    <x v="0"/>
    <x v="1"/>
  </r>
  <r>
    <x v="657"/>
    <s v="No"/>
    <x v="1"/>
    <s v="Research Director"/>
    <x v="1"/>
    <x v="0"/>
    <n v="4"/>
    <n v="189768"/>
    <n v="19"/>
    <n v="37.5"/>
    <s v="No"/>
    <n v="53"/>
    <s v="Man"/>
    <s v="Married"/>
    <x v="0"/>
    <n v="7"/>
    <s v="Bachelor's Degree"/>
    <s v="Life Sciences"/>
    <n v="3"/>
    <n v="0"/>
    <n v="32"/>
    <n v="3"/>
    <n v="5"/>
    <n v="1"/>
    <n v="1"/>
    <n v="3"/>
    <x v="1"/>
    <d v="2022-05-16T00:00:00"/>
    <x v="0"/>
    <s v="Involuntary"/>
    <x v="2"/>
    <x v="0"/>
    <x v="1"/>
    <x v="0"/>
    <x v="4"/>
  </r>
  <r>
    <x v="658"/>
    <s v="No"/>
    <x v="1"/>
    <s v="Manager, HR"/>
    <x v="1"/>
    <x v="2"/>
    <n v="5"/>
    <n v="241692"/>
    <n v="15"/>
    <n v="37.5"/>
    <s v="No"/>
    <n v="41"/>
    <s v="Man"/>
    <s v="Divorced"/>
    <x v="0"/>
    <n v="10"/>
    <s v="Master's Degree"/>
    <s v="Human Resources"/>
    <n v="3"/>
    <n v="3"/>
    <n v="23"/>
    <n v="2"/>
    <n v="21"/>
    <n v="6"/>
    <n v="12"/>
    <n v="6"/>
    <x v="2"/>
    <d v="2023-09-02T00:00:00"/>
    <x v="0"/>
    <s v="Voluntary"/>
    <x v="1"/>
    <x v="1"/>
    <x v="2"/>
    <x v="1"/>
    <x v="2"/>
  </r>
  <r>
    <x v="659"/>
    <s v="No"/>
    <x v="1"/>
    <s v="Sales Executive"/>
    <x v="0"/>
    <x v="1"/>
    <n v="6"/>
    <n v="64716"/>
    <n v="21"/>
    <n v="37.5"/>
    <s v="No"/>
    <n v="41"/>
    <s v="Woman"/>
    <s v="Married"/>
    <x v="0"/>
    <n v="8"/>
    <s v="Bachelor's Degree"/>
    <s v="Marketing"/>
    <n v="4"/>
    <n v="1"/>
    <n v="14"/>
    <n v="3"/>
    <n v="5"/>
    <n v="4"/>
    <n v="1"/>
    <n v="4"/>
    <x v="1"/>
    <d v="2025-03-25T00:00:00"/>
    <x v="1"/>
    <s v="Voluntary"/>
    <x v="2"/>
    <x v="3"/>
    <x v="1"/>
    <x v="0"/>
    <x v="1"/>
  </r>
  <r>
    <x v="660"/>
    <s v="No"/>
    <x v="1"/>
    <s v="Sales Executive"/>
    <x v="0"/>
    <x v="1"/>
    <n v="7"/>
    <n v="76860"/>
    <n v="14"/>
    <n v="37.5"/>
    <s v="No"/>
    <n v="60"/>
    <s v="Man"/>
    <s v="Single"/>
    <x v="0"/>
    <n v="16"/>
    <s v="Master's Degree"/>
    <s v="Marketing"/>
    <n v="3"/>
    <n v="0"/>
    <n v="10"/>
    <n v="1"/>
    <n v="2"/>
    <n v="2"/>
    <n v="2"/>
    <n v="2"/>
    <x v="0"/>
    <d v="2022-09-21T00:00:00"/>
    <x v="0"/>
    <s v="Involuntary"/>
    <x v="3"/>
    <x v="2"/>
    <x v="0"/>
    <x v="0"/>
    <x v="6"/>
  </r>
  <r>
    <x v="661"/>
    <s v="No"/>
    <x v="1"/>
    <s v="Manufacturing Director"/>
    <x v="1"/>
    <x v="0"/>
    <n v="9"/>
    <n v="117516"/>
    <n v="21"/>
    <n v="37.5"/>
    <s v="No"/>
    <n v="27"/>
    <s v="Man"/>
    <s v="Divorced"/>
    <x v="1"/>
    <n v="10"/>
    <s v="Certificate or Diploma"/>
    <s v="Life Sciences"/>
    <n v="4"/>
    <n v="2"/>
    <n v="9"/>
    <n v="4"/>
    <n v="9"/>
    <n v="7"/>
    <n v="1"/>
    <n v="7"/>
    <x v="1"/>
    <d v="2024-09-27T00:00:00"/>
    <x v="1"/>
    <s v="Involuntary"/>
    <x v="0"/>
    <x v="2"/>
    <x v="1"/>
    <x v="1"/>
    <x v="2"/>
  </r>
  <r>
    <x v="662"/>
    <s v="No"/>
    <x v="1"/>
    <s v="Manager, HR"/>
    <x v="1"/>
    <x v="2"/>
    <n v="5"/>
    <n v="242268"/>
    <n v="12"/>
    <n v="37.5"/>
    <s v="No"/>
    <n v="41"/>
    <s v="Man"/>
    <s v="Married"/>
    <x v="0"/>
    <n v="1"/>
    <s v="Bachelor's Degree"/>
    <s v="Human Resources"/>
    <n v="3"/>
    <n v="1"/>
    <n v="22"/>
    <n v="3"/>
    <n v="22"/>
    <n v="7"/>
    <n v="2"/>
    <n v="10"/>
    <x v="2"/>
    <d v="2024-05-02T00:00:00"/>
    <x v="1"/>
    <s v="Involuntary"/>
    <x v="0"/>
    <x v="0"/>
    <x v="2"/>
    <x v="0"/>
    <x v="4"/>
  </r>
  <r>
    <x v="663"/>
    <s v="No"/>
    <x v="1"/>
    <s v="Sales Representative"/>
    <x v="0"/>
    <x v="1"/>
    <n v="7"/>
    <n v="70500"/>
    <n v="15"/>
    <n v="37.5"/>
    <s v="No"/>
    <n v="50"/>
    <s v="Man"/>
    <s v="Married"/>
    <x v="0"/>
    <n v="8"/>
    <s v="Master's Degree"/>
    <s v="Marketing"/>
    <n v="3"/>
    <n v="1"/>
    <n v="4"/>
    <n v="2"/>
    <n v="2"/>
    <n v="2"/>
    <n v="2"/>
    <n v="2"/>
    <x v="0"/>
    <d v="2024-07-16T00:00:00"/>
    <x v="1"/>
    <s v="Involuntary"/>
    <x v="0"/>
    <x v="3"/>
    <x v="0"/>
    <x v="0"/>
    <x v="5"/>
  </r>
  <r>
    <x v="664"/>
    <s v="No"/>
    <x v="1"/>
    <s v="Laboratory Technician"/>
    <x v="0"/>
    <x v="0"/>
    <n v="6"/>
    <n v="68496"/>
    <n v="14"/>
    <n v="37.5"/>
    <s v="No"/>
    <n v="44"/>
    <s v="Man"/>
    <s v="Single"/>
    <x v="2"/>
    <n v="24"/>
    <s v="Bachelor's Degree"/>
    <s v="Medical"/>
    <n v="3"/>
    <n v="0"/>
    <n v="9"/>
    <n v="5"/>
    <n v="5"/>
    <n v="2"/>
    <n v="1"/>
    <n v="4"/>
    <x v="1"/>
    <d v="2022-01-18T00:00:00"/>
    <x v="0"/>
    <s v="Involuntary"/>
    <x v="3"/>
    <x v="0"/>
    <x v="1"/>
    <x v="0"/>
    <x v="2"/>
  </r>
  <r>
    <x v="665"/>
    <s v="No"/>
    <x v="1"/>
    <s v="Sales Executive"/>
    <x v="0"/>
    <x v="1"/>
    <n v="7"/>
    <n v="75648"/>
    <n v="23"/>
    <n v="37.5"/>
    <s v="No"/>
    <n v="30"/>
    <s v="Man"/>
    <s v="Divorced"/>
    <x v="0"/>
    <n v="27"/>
    <s v="Doctorate"/>
    <s v="Marketing"/>
    <n v="4"/>
    <n v="1"/>
    <n v="10"/>
    <n v="2"/>
    <n v="8"/>
    <n v="7"/>
    <n v="7"/>
    <n v="7"/>
    <x v="1"/>
    <d v="2023-08-30T00:00:00"/>
    <x v="0"/>
    <s v="Involuntary"/>
    <x v="2"/>
    <x v="1"/>
    <x v="0"/>
    <x v="1"/>
    <x v="5"/>
  </r>
  <r>
    <x v="666"/>
    <s v="No"/>
    <x v="1"/>
    <s v="Sales Representative"/>
    <x v="0"/>
    <x v="1"/>
    <n v="5"/>
    <n v="55704"/>
    <n v="11"/>
    <n v="37.5"/>
    <s v="No"/>
    <n v="29"/>
    <s v="Man"/>
    <s v="Single"/>
    <x v="0"/>
    <n v="10"/>
    <s v="Bachelor's Degree"/>
    <s v="Life Sciences"/>
    <n v="3"/>
    <n v="0"/>
    <n v="1"/>
    <n v="6"/>
    <n v="1"/>
    <n v="0"/>
    <n v="0"/>
    <n v="0"/>
    <x v="0"/>
    <d v="2022-11-24T00:00:00"/>
    <x v="0"/>
    <s v="Involuntary"/>
    <x v="2"/>
    <x v="0"/>
    <x v="1"/>
    <x v="0"/>
    <x v="4"/>
  </r>
  <r>
    <x v="667"/>
    <s v="No"/>
    <x v="1"/>
    <s v="Research Scientist"/>
    <x v="0"/>
    <x v="0"/>
    <n v="6"/>
    <n v="65028"/>
    <n v="14"/>
    <n v="37.5"/>
    <s v="Yes"/>
    <n v="36"/>
    <s v="Woman"/>
    <s v="Married"/>
    <x v="0"/>
    <n v="5"/>
    <s v="Master's Degree"/>
    <s v="Life Sciences"/>
    <n v="3"/>
    <n v="1"/>
    <n v="6"/>
    <n v="3"/>
    <n v="1"/>
    <n v="1"/>
    <n v="0"/>
    <n v="0"/>
    <x v="0"/>
    <d v="2025-11-15T00:00:00"/>
    <x v="1"/>
    <s v="Voluntary"/>
    <x v="1"/>
    <x v="2"/>
    <x v="0"/>
    <x v="2"/>
    <x v="1"/>
  </r>
  <r>
    <x v="668"/>
    <s v="No"/>
    <x v="1"/>
    <s v="Sales Executive"/>
    <x v="0"/>
    <x v="1"/>
    <n v="8"/>
    <n v="93648"/>
    <n v="18"/>
    <n v="37.5"/>
    <s v="No"/>
    <n v="43"/>
    <s v="Man"/>
    <s v="Married"/>
    <x v="1"/>
    <n v="15"/>
    <s v="Bachelor's Degree"/>
    <s v="Life Sciences"/>
    <n v="3"/>
    <n v="1"/>
    <n v="7"/>
    <n v="5"/>
    <n v="2"/>
    <n v="2"/>
    <n v="2"/>
    <n v="2"/>
    <x v="0"/>
    <d v="2023-10-03T00:00:00"/>
    <x v="0"/>
    <s v="Involuntary"/>
    <x v="0"/>
    <x v="1"/>
    <x v="1"/>
    <x v="0"/>
    <x v="0"/>
  </r>
  <r>
    <x v="669"/>
    <s v="No"/>
    <x v="1"/>
    <s v="Laboratory Technician"/>
    <x v="0"/>
    <x v="0"/>
    <n v="4"/>
    <n v="54000"/>
    <n v="14"/>
    <n v="37.5"/>
    <s v="No"/>
    <n v="23"/>
    <s v="Man"/>
    <s v="Married"/>
    <x v="0"/>
    <n v="9"/>
    <s v="Trades Apprenticeship"/>
    <s v="Medical"/>
    <n v="3"/>
    <n v="1"/>
    <n v="5"/>
    <n v="2"/>
    <n v="4"/>
    <n v="3"/>
    <n v="0"/>
    <n v="2"/>
    <x v="1"/>
    <d v="2024-11-23T00:00:00"/>
    <x v="1"/>
    <s v="Voluntary"/>
    <x v="1"/>
    <x v="2"/>
    <x v="0"/>
    <x v="2"/>
    <x v="1"/>
  </r>
  <r>
    <x v="670"/>
    <s v="No"/>
    <x v="1"/>
    <s v="Research Scientist"/>
    <x v="0"/>
    <x v="0"/>
    <n v="6"/>
    <n v="65064"/>
    <n v="13"/>
    <n v="37.5"/>
    <s v="Yes"/>
    <n v="40"/>
    <s v="Woman"/>
    <s v="Married"/>
    <x v="1"/>
    <n v="26"/>
    <s v="Certificate or Diploma"/>
    <s v="Medical"/>
    <n v="3"/>
    <n v="1"/>
    <n v="16"/>
    <n v="3"/>
    <n v="1"/>
    <n v="1"/>
    <n v="0"/>
    <n v="0"/>
    <x v="0"/>
    <d v="2024-02-15T00:00:00"/>
    <x v="1"/>
    <s v="Involuntary"/>
    <x v="2"/>
    <x v="1"/>
    <x v="0"/>
    <x v="3"/>
    <x v="4"/>
  </r>
  <r>
    <x v="671"/>
    <s v="No"/>
    <x v="1"/>
    <s v="Compensation Analyst"/>
    <x v="0"/>
    <x v="2"/>
    <n v="6"/>
    <n v="65076"/>
    <n v="12"/>
    <n v="37.5"/>
    <s v="No"/>
    <n v="46"/>
    <s v="Woman"/>
    <s v="Single"/>
    <x v="0"/>
    <n v="1"/>
    <s v="Certificate or Diploma"/>
    <s v="Life Sciences"/>
    <n v="3"/>
    <n v="0"/>
    <n v="10"/>
    <n v="3"/>
    <n v="7"/>
    <n v="6"/>
    <n v="5"/>
    <n v="7"/>
    <x v="1"/>
    <d v="2023-09-08T00:00:00"/>
    <x v="0"/>
    <s v="Voluntary"/>
    <x v="0"/>
    <x v="2"/>
    <x v="1"/>
    <x v="2"/>
    <x v="4"/>
  </r>
  <r>
    <x v="672"/>
    <s v="No"/>
    <x v="1"/>
    <s v="Healthcare Representative"/>
    <x v="0"/>
    <x v="0"/>
    <n v="10"/>
    <n v="145236"/>
    <n v="11"/>
    <n v="37.5"/>
    <s v="No"/>
    <n v="56"/>
    <s v="Man"/>
    <s v="Married"/>
    <x v="0"/>
    <n v="9"/>
    <s v="Bachelor's Degree"/>
    <s v="Medical"/>
    <n v="3"/>
    <n v="0"/>
    <n v="30"/>
    <n v="1"/>
    <n v="10"/>
    <n v="7"/>
    <n v="1"/>
    <n v="1"/>
    <x v="2"/>
    <d v="2022-07-12T00:00:00"/>
    <x v="0"/>
    <s v="Voluntary"/>
    <x v="2"/>
    <x v="1"/>
    <x v="1"/>
    <x v="1"/>
    <x v="4"/>
  </r>
  <r>
    <x v="673"/>
    <s v="No"/>
    <x v="1"/>
    <s v="Manufacturing Director"/>
    <x v="1"/>
    <x v="0"/>
    <n v="6"/>
    <n v="65088"/>
    <n v="23"/>
    <n v="37.5"/>
    <s v="No"/>
    <n v="31"/>
    <s v="Woman"/>
    <s v="Single"/>
    <x v="0"/>
    <n v="8"/>
    <s v="Master's Degree"/>
    <s v="Life Sciences"/>
    <n v="4"/>
    <n v="0"/>
    <n v="11"/>
    <n v="2"/>
    <n v="11"/>
    <n v="7"/>
    <n v="1"/>
    <n v="8"/>
    <x v="2"/>
    <d v="2023-12-08T00:00:00"/>
    <x v="0"/>
    <s v="Involuntary"/>
    <x v="2"/>
    <x v="1"/>
    <x v="0"/>
    <x v="0"/>
    <x v="0"/>
  </r>
  <r>
    <x v="674"/>
    <s v="No"/>
    <x v="1"/>
    <s v="Laboratory Technician"/>
    <x v="0"/>
    <x v="0"/>
    <n v="6"/>
    <n v="65100"/>
    <n v="11"/>
    <n v="37.5"/>
    <s v="No"/>
    <n v="35"/>
    <s v="Woman"/>
    <s v="Single"/>
    <x v="1"/>
    <n v="2"/>
    <s v="Bachelor's Degree"/>
    <s v="Medical"/>
    <n v="3"/>
    <n v="0"/>
    <n v="10"/>
    <n v="5"/>
    <n v="6"/>
    <n v="2"/>
    <n v="1"/>
    <n v="2"/>
    <x v="1"/>
    <d v="2022-06-23T00:00:00"/>
    <x v="0"/>
    <s v="Involuntary"/>
    <x v="1"/>
    <x v="3"/>
    <x v="0"/>
    <x v="0"/>
    <x v="1"/>
  </r>
  <r>
    <x v="675"/>
    <s v="No"/>
    <x v="1"/>
    <s v="Sales Representative"/>
    <x v="0"/>
    <x v="1"/>
    <n v="4"/>
    <n v="51564"/>
    <n v="14"/>
    <n v="37.5"/>
    <s v="No"/>
    <n v="29"/>
    <s v="Man"/>
    <s v="Divorced"/>
    <x v="0"/>
    <n v="10"/>
    <s v="Bachelor's Degree"/>
    <s v="Marketing"/>
    <n v="3"/>
    <n v="2"/>
    <n v="2"/>
    <n v="2"/>
    <n v="2"/>
    <n v="2"/>
    <n v="2"/>
    <n v="2"/>
    <x v="0"/>
    <d v="2023-01-08T00:00:00"/>
    <x v="0"/>
    <s v="Voluntary"/>
    <x v="0"/>
    <x v="3"/>
    <x v="0"/>
    <x v="0"/>
    <x v="5"/>
  </r>
  <r>
    <x v="676"/>
    <s v="No"/>
    <x v="1"/>
    <s v="Laboratory Technician"/>
    <x v="0"/>
    <x v="0"/>
    <n v="4"/>
    <n v="53400"/>
    <n v="17"/>
    <n v="37.5"/>
    <s v="No"/>
    <n v="53"/>
    <s v="Man"/>
    <s v="Single"/>
    <x v="0"/>
    <n v="6"/>
    <s v="Bachelor's Degree"/>
    <s v="Life Sciences"/>
    <n v="3"/>
    <n v="0"/>
    <n v="19"/>
    <n v="4"/>
    <n v="2"/>
    <n v="2"/>
    <n v="2"/>
    <n v="2"/>
    <x v="0"/>
    <d v="2025-11-27T00:00:00"/>
    <x v="1"/>
    <s v="Voluntary"/>
    <x v="0"/>
    <x v="1"/>
    <x v="0"/>
    <x v="0"/>
    <x v="7"/>
  </r>
  <r>
    <x v="677"/>
    <s v="No"/>
    <x v="1"/>
    <s v="Manufacturing Director"/>
    <x v="1"/>
    <x v="0"/>
    <n v="6"/>
    <n v="65280"/>
    <n v="19"/>
    <n v="37.5"/>
    <s v="Yes"/>
    <n v="54"/>
    <s v="Woman"/>
    <s v="Single"/>
    <x v="0"/>
    <n v="10"/>
    <s v="Bachelor's Degree"/>
    <s v="Medical"/>
    <n v="3"/>
    <n v="0"/>
    <n v="9"/>
    <n v="3"/>
    <n v="5"/>
    <n v="2"/>
    <n v="1"/>
    <n v="4"/>
    <x v="1"/>
    <d v="2022-09-28T00:00:00"/>
    <x v="0"/>
    <s v="Involuntary"/>
    <x v="2"/>
    <x v="2"/>
    <x v="0"/>
    <x v="0"/>
    <x v="1"/>
  </r>
  <r>
    <x v="678"/>
    <s v="No"/>
    <x v="1"/>
    <s v="Laboratory Technician"/>
    <x v="0"/>
    <x v="0"/>
    <n v="7"/>
    <n v="75708"/>
    <n v="15"/>
    <n v="37.5"/>
    <s v="No"/>
    <n v="32"/>
    <s v="Man"/>
    <s v="Married"/>
    <x v="1"/>
    <n v="24"/>
    <s v="Master's Degree"/>
    <s v="Life Sciences"/>
    <n v="3"/>
    <n v="2"/>
    <n v="10"/>
    <n v="2"/>
    <n v="10"/>
    <n v="8"/>
    <n v="4"/>
    <n v="7"/>
    <x v="2"/>
    <d v="2024-07-13T00:00:00"/>
    <x v="1"/>
    <s v="Involuntary"/>
    <x v="3"/>
    <x v="1"/>
    <x v="0"/>
    <x v="0"/>
    <x v="4"/>
  </r>
  <r>
    <x v="679"/>
    <s v="No"/>
    <x v="1"/>
    <s v="Research Scientist"/>
    <x v="0"/>
    <x v="0"/>
    <n v="6"/>
    <n v="60684"/>
    <n v="13"/>
    <n v="37.5"/>
    <s v="Yes"/>
    <n v="38"/>
    <s v="Man"/>
    <s v="Married"/>
    <x v="0"/>
    <n v="2"/>
    <s v="Doctorate"/>
    <s v="Medical"/>
    <n v="3"/>
    <n v="1"/>
    <n v="6"/>
    <n v="0"/>
    <n v="1"/>
    <n v="0"/>
    <n v="0"/>
    <n v="1"/>
    <x v="0"/>
    <d v="2024-08-12T00:00:00"/>
    <x v="1"/>
    <s v="Voluntary"/>
    <x v="0"/>
    <x v="0"/>
    <x v="2"/>
    <x v="3"/>
    <x v="2"/>
  </r>
  <r>
    <x v="680"/>
    <s v="No"/>
    <x v="1"/>
    <s v="Laboratory Technician"/>
    <x v="0"/>
    <x v="0"/>
    <n v="6"/>
    <n v="65328"/>
    <n v="13"/>
    <n v="37.5"/>
    <s v="No"/>
    <n v="34"/>
    <s v="Woman"/>
    <s v="Divorced"/>
    <x v="1"/>
    <n v="19"/>
    <s v="Bachelor's Degree"/>
    <s v="Medical"/>
    <n v="3"/>
    <n v="2"/>
    <n v="15"/>
    <n v="2"/>
    <n v="11"/>
    <n v="8"/>
    <n v="5"/>
    <n v="10"/>
    <x v="2"/>
    <d v="2023-12-13T00:00:00"/>
    <x v="0"/>
    <s v="Involuntary"/>
    <x v="2"/>
    <x v="3"/>
    <x v="1"/>
    <x v="2"/>
    <x v="4"/>
  </r>
  <r>
    <x v="681"/>
    <s v="No"/>
    <x v="1"/>
    <s v="Research Scientist"/>
    <x v="0"/>
    <x v="0"/>
    <n v="6"/>
    <n v="65340"/>
    <n v="11"/>
    <n v="37.5"/>
    <s v="No"/>
    <n v="27"/>
    <s v="Woman"/>
    <s v="Single"/>
    <x v="0"/>
    <n v="8"/>
    <s v="Bachelor's Degree"/>
    <s v="Medical"/>
    <n v="3"/>
    <n v="0"/>
    <n v="6"/>
    <n v="5"/>
    <n v="6"/>
    <n v="2"/>
    <n v="1"/>
    <n v="4"/>
    <x v="1"/>
    <d v="2025-08-17T00:00:00"/>
    <x v="1"/>
    <s v="Voluntary"/>
    <x v="2"/>
    <x v="1"/>
    <x v="1"/>
    <x v="1"/>
    <x v="4"/>
  </r>
  <r>
    <x v="682"/>
    <s v="No"/>
    <x v="1"/>
    <s v="Manager, Sales"/>
    <x v="1"/>
    <x v="1"/>
    <n v="4"/>
    <n v="214272"/>
    <n v="11"/>
    <n v="37.5"/>
    <s v="No"/>
    <n v="52"/>
    <s v="Man"/>
    <s v="Married"/>
    <x v="0"/>
    <n v="3"/>
    <s v="Master's Degree"/>
    <s v="Marketing"/>
    <n v="3"/>
    <n v="0"/>
    <n v="34"/>
    <n v="3"/>
    <n v="34"/>
    <n v="6"/>
    <n v="1"/>
    <n v="16"/>
    <x v="2"/>
    <d v="2025-08-10T00:00:00"/>
    <x v="1"/>
    <s v="Involuntary"/>
    <x v="2"/>
    <x v="2"/>
    <x v="3"/>
    <x v="2"/>
    <x v="6"/>
  </r>
  <r>
    <x v="683"/>
    <s v="No"/>
    <x v="1"/>
    <s v="Laboratory Technician"/>
    <x v="0"/>
    <x v="0"/>
    <n v="6"/>
    <n v="65376"/>
    <n v="22"/>
    <n v="37.5"/>
    <s v="No"/>
    <n v="40"/>
    <s v="Woman"/>
    <s v="Married"/>
    <x v="0"/>
    <n v="2"/>
    <s v="Bachelor's Degree"/>
    <s v="Medical"/>
    <n v="4"/>
    <n v="1"/>
    <n v="20"/>
    <n v="3"/>
    <n v="1"/>
    <n v="0"/>
    <n v="0"/>
    <n v="0"/>
    <x v="0"/>
    <d v="2023-03-25T00:00:00"/>
    <x v="0"/>
    <s v="Voluntary"/>
    <x v="1"/>
    <x v="0"/>
    <x v="2"/>
    <x v="0"/>
    <x v="2"/>
  </r>
  <r>
    <x v="684"/>
    <s v="No"/>
    <x v="1"/>
    <s v="Healthcare Representative"/>
    <x v="0"/>
    <x v="0"/>
    <n v="6"/>
    <n v="65376"/>
    <n v="12"/>
    <n v="37.5"/>
    <s v="No"/>
    <n v="40"/>
    <s v="Woman"/>
    <s v="Divorced"/>
    <x v="0"/>
    <n v="12"/>
    <s v="Bachelor's Degree"/>
    <s v="Life Sciences"/>
    <n v="3"/>
    <n v="1"/>
    <n v="15"/>
    <n v="3"/>
    <n v="7"/>
    <n v="4"/>
    <n v="7"/>
    <n v="7"/>
    <x v="1"/>
    <d v="2025-06-26T00:00:00"/>
    <x v="1"/>
    <s v="Voluntary"/>
    <x v="1"/>
    <x v="2"/>
    <x v="2"/>
    <x v="0"/>
    <x v="8"/>
  </r>
  <r>
    <x v="685"/>
    <s v="No"/>
    <x v="1"/>
    <s v="Research Scientist"/>
    <x v="0"/>
    <x v="0"/>
    <n v="6"/>
    <n v="65388"/>
    <n v="15"/>
    <n v="37.5"/>
    <s v="Yes"/>
    <n v="37"/>
    <s v="Woman"/>
    <s v="Married"/>
    <x v="2"/>
    <n v="25"/>
    <s v="Doctorate"/>
    <s v="Medical"/>
    <n v="3"/>
    <n v="2"/>
    <n v="15"/>
    <n v="2"/>
    <n v="13"/>
    <n v="11"/>
    <n v="10"/>
    <n v="7"/>
    <x v="2"/>
    <d v="2022-02-05T00:00:00"/>
    <x v="0"/>
    <s v="Voluntary"/>
    <x v="1"/>
    <x v="0"/>
    <x v="3"/>
    <x v="0"/>
    <x v="6"/>
  </r>
  <r>
    <x v="686"/>
    <s v="No"/>
    <x v="1"/>
    <s v="Manufacturing Director"/>
    <x v="1"/>
    <x v="0"/>
    <n v="6"/>
    <n v="65400"/>
    <n v="11"/>
    <n v="37.5"/>
    <s v="No"/>
    <n v="53"/>
    <s v="Woman"/>
    <s v="Divorced"/>
    <x v="0"/>
    <n v="13"/>
    <s v="Certificate or Diploma"/>
    <s v="Medical"/>
    <n v="3"/>
    <n v="2"/>
    <n v="5"/>
    <n v="3"/>
    <n v="4"/>
    <n v="2"/>
    <n v="1"/>
    <n v="3"/>
    <x v="1"/>
    <d v="2023-04-07T00:00:00"/>
    <x v="0"/>
    <s v="Voluntary"/>
    <x v="0"/>
    <x v="2"/>
    <x v="1"/>
    <x v="0"/>
    <x v="1"/>
  </r>
  <r>
    <x v="687"/>
    <s v="No"/>
    <x v="1"/>
    <s v="Sales Representative"/>
    <x v="0"/>
    <x v="1"/>
    <n v="8"/>
    <n v="91584"/>
    <n v="13"/>
    <n v="37.5"/>
    <s v="No"/>
    <n v="45"/>
    <s v="Man"/>
    <s v="Single"/>
    <x v="0"/>
    <n v="2"/>
    <s v="Certificate or Diploma"/>
    <s v="Technical Degree"/>
    <n v="3"/>
    <n v="0"/>
    <n v="9"/>
    <n v="3"/>
    <n v="8"/>
    <n v="7"/>
    <n v="3"/>
    <n v="1"/>
    <x v="1"/>
    <d v="2024-09-19T00:00:00"/>
    <x v="1"/>
    <s v="Involuntary"/>
    <x v="1"/>
    <x v="0"/>
    <x v="3"/>
    <x v="0"/>
    <x v="6"/>
  </r>
  <r>
    <x v="688"/>
    <s v="No"/>
    <x v="1"/>
    <s v="Laboratory Technician"/>
    <x v="0"/>
    <x v="0"/>
    <n v="6"/>
    <n v="65424"/>
    <n v="20"/>
    <n v="37.5"/>
    <s v="No"/>
    <n v="37"/>
    <s v="Woman"/>
    <s v="Married"/>
    <x v="0"/>
    <n v="10"/>
    <s v="Bachelor's Degree"/>
    <s v="Medical"/>
    <n v="4"/>
    <n v="1"/>
    <n v="17"/>
    <n v="3"/>
    <n v="5"/>
    <n v="4"/>
    <n v="0"/>
    <n v="3"/>
    <x v="1"/>
    <d v="2022-03-15T00:00:00"/>
    <x v="0"/>
    <s v="Voluntary"/>
    <x v="2"/>
    <x v="2"/>
    <x v="2"/>
    <x v="0"/>
    <x v="6"/>
  </r>
  <r>
    <x v="689"/>
    <s v="No"/>
    <x v="1"/>
    <s v="Research Scientist"/>
    <x v="0"/>
    <x v="0"/>
    <n v="6"/>
    <n v="65424"/>
    <n v="18"/>
    <n v="37.5"/>
    <s v="No"/>
    <n v="33"/>
    <s v="Woman"/>
    <s v="Single"/>
    <x v="0"/>
    <n v="13"/>
    <s v="Trades Apprenticeship"/>
    <s v="Life Sciences"/>
    <n v="3"/>
    <n v="0"/>
    <n v="5"/>
    <n v="4"/>
    <n v="3"/>
    <n v="2"/>
    <n v="0"/>
    <n v="2"/>
    <x v="1"/>
    <d v="2023-05-29T00:00:00"/>
    <x v="0"/>
    <s v="Voluntary"/>
    <x v="1"/>
    <x v="1"/>
    <x v="3"/>
    <x v="0"/>
    <x v="2"/>
  </r>
  <r>
    <x v="690"/>
    <s v="No"/>
    <x v="1"/>
    <s v="Research Scientist"/>
    <x v="0"/>
    <x v="0"/>
    <n v="6"/>
    <n v="66060"/>
    <n v="18"/>
    <n v="37.5"/>
    <s v="No"/>
    <n v="23"/>
    <s v="Man"/>
    <s v="Single"/>
    <x v="0"/>
    <n v="10"/>
    <s v="Trades Apprenticeship"/>
    <s v="Medical"/>
    <n v="3"/>
    <n v="0"/>
    <n v="2"/>
    <n v="3"/>
    <n v="2"/>
    <n v="2"/>
    <n v="0"/>
    <n v="2"/>
    <x v="0"/>
    <d v="2023-03-18T00:00:00"/>
    <x v="0"/>
    <s v="Voluntary"/>
    <x v="3"/>
    <x v="0"/>
    <x v="0"/>
    <x v="0"/>
    <x v="1"/>
  </r>
  <r>
    <x v="691"/>
    <s v="No"/>
    <x v="1"/>
    <s v="Sales Executive"/>
    <x v="0"/>
    <x v="1"/>
    <n v="8"/>
    <n v="87288"/>
    <n v="22"/>
    <n v="37.5"/>
    <s v="No"/>
    <n v="34"/>
    <s v="Man"/>
    <s v="Single"/>
    <x v="0"/>
    <n v="2"/>
    <s v="Bachelor's Degree"/>
    <s v="Other"/>
    <n v="4"/>
    <n v="0"/>
    <n v="6"/>
    <n v="5"/>
    <n v="6"/>
    <n v="5"/>
    <n v="1"/>
    <n v="4"/>
    <x v="1"/>
    <d v="2025-12-16T00:00:00"/>
    <x v="1"/>
    <s v="Voluntary"/>
    <x v="0"/>
    <x v="1"/>
    <x v="1"/>
    <x v="0"/>
    <x v="0"/>
  </r>
  <r>
    <x v="692"/>
    <s v="No"/>
    <x v="1"/>
    <s v="Sales Executive"/>
    <x v="0"/>
    <x v="1"/>
    <n v="9"/>
    <n v="103044"/>
    <n v="15"/>
    <n v="37.5"/>
    <s v="No"/>
    <n v="36"/>
    <s v="Man"/>
    <s v="Single"/>
    <x v="2"/>
    <n v="8"/>
    <s v="Master's Degree"/>
    <s v="Life Sciences"/>
    <n v="3"/>
    <n v="0"/>
    <n v="10"/>
    <n v="1"/>
    <n v="10"/>
    <n v="7"/>
    <n v="0"/>
    <n v="9"/>
    <x v="2"/>
    <d v="2022-03-21T00:00:00"/>
    <x v="0"/>
    <s v="Involuntary"/>
    <x v="3"/>
    <x v="2"/>
    <x v="2"/>
    <x v="0"/>
    <x v="3"/>
  </r>
  <r>
    <x v="693"/>
    <s v="No"/>
    <x v="1"/>
    <s v="Research Scientist"/>
    <x v="0"/>
    <x v="0"/>
    <n v="6"/>
    <n v="65724"/>
    <n v="19"/>
    <n v="37.5"/>
    <s v="Yes"/>
    <n v="45"/>
    <s v="Woman"/>
    <s v="Married"/>
    <x v="0"/>
    <n v="7"/>
    <s v="Bachelor's Degree"/>
    <s v="Medical"/>
    <n v="3"/>
    <n v="1"/>
    <n v="7"/>
    <n v="2"/>
    <n v="3"/>
    <n v="2"/>
    <n v="0"/>
    <n v="2"/>
    <x v="1"/>
    <d v="2025-08-23T00:00:00"/>
    <x v="1"/>
    <s v="Voluntary"/>
    <x v="3"/>
    <x v="0"/>
    <x v="1"/>
    <x v="1"/>
    <x v="6"/>
  </r>
  <r>
    <x v="694"/>
    <s v="No"/>
    <x v="1"/>
    <s v="Research Scientist"/>
    <x v="0"/>
    <x v="0"/>
    <n v="6"/>
    <n v="63096"/>
    <n v="18"/>
    <n v="37.5"/>
    <s v="No"/>
    <n v="52"/>
    <s v="Man"/>
    <s v="Married"/>
    <x v="2"/>
    <n v="19"/>
    <s v="Master's Degree"/>
    <s v="Medical"/>
    <n v="3"/>
    <n v="1"/>
    <n v="5"/>
    <n v="3"/>
    <n v="4"/>
    <n v="3"/>
    <n v="1"/>
    <n v="2"/>
    <x v="1"/>
    <d v="2023-02-27T00:00:00"/>
    <x v="0"/>
    <s v="Voluntary"/>
    <x v="0"/>
    <x v="1"/>
    <x v="3"/>
    <x v="0"/>
    <x v="4"/>
  </r>
  <r>
    <x v="695"/>
    <s v="No"/>
    <x v="1"/>
    <s v="Sales Executive"/>
    <x v="0"/>
    <x v="1"/>
    <n v="6"/>
    <n v="64104"/>
    <n v="19"/>
    <n v="37.5"/>
    <s v="No"/>
    <n v="27"/>
    <s v="Man"/>
    <s v="Married"/>
    <x v="1"/>
    <n v="8"/>
    <s v="Trades Apprenticeship"/>
    <s v="Marketing"/>
    <n v="3"/>
    <n v="1"/>
    <n v="5"/>
    <n v="3"/>
    <n v="4"/>
    <n v="2"/>
    <n v="1"/>
    <n v="1"/>
    <x v="1"/>
    <d v="2024-03-06T00:00:00"/>
    <x v="1"/>
    <s v="Voluntary"/>
    <x v="2"/>
    <x v="1"/>
    <x v="2"/>
    <x v="0"/>
    <x v="4"/>
  </r>
  <r>
    <x v="696"/>
    <s v="No"/>
    <x v="1"/>
    <s v="Laboratory Technician"/>
    <x v="0"/>
    <x v="0"/>
    <n v="6"/>
    <n v="69996"/>
    <n v="21"/>
    <n v="37.5"/>
    <s v="No"/>
    <n v="30"/>
    <s v="Man"/>
    <s v="Married"/>
    <x v="0"/>
    <n v="1"/>
    <s v="Bachelor's Degree"/>
    <s v="Life Sciences"/>
    <n v="4"/>
    <n v="2"/>
    <n v="7"/>
    <n v="2"/>
    <n v="2"/>
    <n v="2"/>
    <n v="0"/>
    <n v="2"/>
    <x v="0"/>
    <d v="2022-12-14T00:00:00"/>
    <x v="0"/>
    <s v="Involuntary"/>
    <x v="0"/>
    <x v="0"/>
    <x v="1"/>
    <x v="0"/>
    <x v="5"/>
  </r>
  <r>
    <x v="697"/>
    <s v="No"/>
    <x v="1"/>
    <s v="Manager, R&amp;D"/>
    <x v="1"/>
    <x v="0"/>
    <n v="5"/>
    <n v="233160"/>
    <n v="13"/>
    <n v="37.5"/>
    <s v="No"/>
    <n v="42"/>
    <s v="Man"/>
    <s v="Divorced"/>
    <x v="1"/>
    <n v="8"/>
    <s v="Bachelor's Degree"/>
    <s v="Life Sciences"/>
    <n v="3"/>
    <n v="1"/>
    <n v="24"/>
    <n v="4"/>
    <n v="24"/>
    <n v="7"/>
    <n v="14"/>
    <n v="9"/>
    <x v="2"/>
    <d v="2023-12-14T00:00:00"/>
    <x v="0"/>
    <s v="Involuntary"/>
    <x v="1"/>
    <x v="1"/>
    <x v="2"/>
    <x v="1"/>
    <x v="2"/>
  </r>
  <r>
    <x v="698"/>
    <s v="No"/>
    <x v="1"/>
    <s v="Sales Executive"/>
    <x v="0"/>
    <x v="1"/>
    <n v="6"/>
    <n v="65844"/>
    <n v="11"/>
    <n v="37.5"/>
    <s v="Yes"/>
    <n v="25"/>
    <s v="Woman"/>
    <s v="Single"/>
    <x v="0"/>
    <n v="4"/>
    <s v="Certificate or Diploma"/>
    <s v="Life Sciences"/>
    <n v="3"/>
    <n v="0"/>
    <n v="5"/>
    <n v="3"/>
    <n v="5"/>
    <n v="4"/>
    <n v="1"/>
    <n v="3"/>
    <x v="1"/>
    <d v="2024-11-05T00:00:00"/>
    <x v="1"/>
    <s v="Involuntary"/>
    <x v="1"/>
    <x v="1"/>
    <x v="2"/>
    <x v="0"/>
    <x v="1"/>
  </r>
  <r>
    <x v="699"/>
    <s v="No"/>
    <x v="1"/>
    <s v="Laboratory Technician"/>
    <x v="0"/>
    <x v="0"/>
    <n v="5"/>
    <n v="56328"/>
    <n v="11"/>
    <n v="37.5"/>
    <s v="No"/>
    <n v="24"/>
    <s v="Man"/>
    <s v="Divorced"/>
    <x v="2"/>
    <n v="9"/>
    <s v="Bachelor's Degree"/>
    <s v="Life Sciences"/>
    <n v="3"/>
    <n v="3"/>
    <n v="1"/>
    <n v="4"/>
    <n v="1"/>
    <n v="0"/>
    <n v="0"/>
    <n v="0"/>
    <x v="0"/>
    <d v="2022-04-04T00:00:00"/>
    <x v="0"/>
    <s v="Involuntary"/>
    <x v="2"/>
    <x v="3"/>
    <x v="1"/>
    <x v="0"/>
    <x v="1"/>
  </r>
  <r>
    <x v="700"/>
    <s v="No"/>
    <x v="1"/>
    <s v="Research Director"/>
    <x v="1"/>
    <x v="0"/>
    <n v="4"/>
    <n v="223668"/>
    <n v="16"/>
    <n v="37.5"/>
    <s v="No"/>
    <n v="50"/>
    <s v="Man"/>
    <s v="Married"/>
    <x v="0"/>
    <n v="2"/>
    <s v="Bachelor's Degree"/>
    <s v="Medical"/>
    <n v="3"/>
    <n v="0"/>
    <n v="30"/>
    <n v="3"/>
    <n v="4"/>
    <n v="3"/>
    <n v="0"/>
    <n v="3"/>
    <x v="1"/>
    <d v="2023-11-28T00:00:00"/>
    <x v="0"/>
    <s v="Voluntary"/>
    <x v="2"/>
    <x v="0"/>
    <x v="0"/>
    <x v="0"/>
    <x v="5"/>
  </r>
  <r>
    <x v="701"/>
    <s v="No"/>
    <x v="1"/>
    <s v="Sales Representative"/>
    <x v="0"/>
    <x v="1"/>
    <n v="6"/>
    <n v="66024"/>
    <n v="15"/>
    <n v="37.5"/>
    <s v="No"/>
    <n v="36"/>
    <s v="Woman"/>
    <s v="Single"/>
    <x v="0"/>
    <n v="2"/>
    <s v="Master's Degree"/>
    <s v="Life Sciences"/>
    <n v="3"/>
    <n v="0"/>
    <n v="17"/>
    <n v="2"/>
    <n v="13"/>
    <n v="7"/>
    <n v="6"/>
    <n v="7"/>
    <x v="2"/>
    <d v="2024-10-03T00:00:00"/>
    <x v="1"/>
    <s v="Voluntary"/>
    <x v="2"/>
    <x v="1"/>
    <x v="1"/>
    <x v="1"/>
    <x v="4"/>
  </r>
  <r>
    <x v="702"/>
    <s v="No"/>
    <x v="1"/>
    <s v="Research Director"/>
    <x v="1"/>
    <x v="0"/>
    <n v="10"/>
    <n v="152292"/>
    <n v="11"/>
    <n v="37.5"/>
    <s v="No"/>
    <n v="33"/>
    <s v="Man"/>
    <s v="Married"/>
    <x v="0"/>
    <n v="7"/>
    <s v="Bachelor's Degree"/>
    <s v="Medical"/>
    <n v="3"/>
    <n v="0"/>
    <n v="14"/>
    <n v="3"/>
    <n v="13"/>
    <n v="9"/>
    <n v="3"/>
    <n v="7"/>
    <x v="2"/>
    <d v="2025-11-14T00:00:00"/>
    <x v="1"/>
    <s v="Involuntary"/>
    <x v="2"/>
    <x v="0"/>
    <x v="0"/>
    <x v="2"/>
    <x v="0"/>
  </r>
  <r>
    <x v="703"/>
    <s v="No"/>
    <x v="1"/>
    <s v="Research Scientist"/>
    <x v="0"/>
    <x v="0"/>
    <n v="6"/>
    <n v="66060"/>
    <n v="15"/>
    <n v="37.5"/>
    <s v="No"/>
    <n v="34"/>
    <s v="Woman"/>
    <s v="Divorced"/>
    <x v="0"/>
    <n v="6"/>
    <s v="Master's Degree"/>
    <s v="Life Sciences"/>
    <n v="3"/>
    <n v="1"/>
    <n v="12"/>
    <n v="3"/>
    <n v="1"/>
    <n v="0"/>
    <n v="0"/>
    <n v="0"/>
    <x v="0"/>
    <d v="2022-07-08T00:00:00"/>
    <x v="0"/>
    <s v="Involuntary"/>
    <x v="2"/>
    <x v="3"/>
    <x v="1"/>
    <x v="0"/>
    <x v="1"/>
  </r>
  <r>
    <x v="704"/>
    <s v="No"/>
    <x v="1"/>
    <s v="Research Scientist"/>
    <x v="0"/>
    <x v="0"/>
    <n v="5"/>
    <n v="56400"/>
    <n v="24"/>
    <n v="37.5"/>
    <s v="No"/>
    <n v="29"/>
    <s v="Man"/>
    <s v="Married"/>
    <x v="0"/>
    <n v="23"/>
    <s v="Certificate or Diploma"/>
    <s v="Life Sciences"/>
    <n v="4"/>
    <n v="1"/>
    <n v="10"/>
    <n v="3"/>
    <n v="10"/>
    <n v="7"/>
    <n v="0"/>
    <n v="7"/>
    <x v="2"/>
    <d v="2023-04-04T00:00:00"/>
    <x v="0"/>
    <s v="Involuntary"/>
    <x v="2"/>
    <x v="0"/>
    <x v="1"/>
    <x v="0"/>
    <x v="4"/>
  </r>
  <r>
    <x v="705"/>
    <s v="No"/>
    <x v="1"/>
    <s v="Sales Executive"/>
    <x v="0"/>
    <x v="1"/>
    <n v="6"/>
    <n v="66084"/>
    <n v="12"/>
    <n v="37.5"/>
    <s v="No"/>
    <n v="49"/>
    <s v="Woman"/>
    <s v="Single"/>
    <x v="0"/>
    <n v="11"/>
    <s v="Master's Degree"/>
    <s v="Marketing"/>
    <n v="3"/>
    <n v="0"/>
    <n v="8"/>
    <n v="1"/>
    <n v="5"/>
    <n v="1"/>
    <n v="0"/>
    <n v="4"/>
    <x v="1"/>
    <d v="2025-04-13T00:00:00"/>
    <x v="1"/>
    <s v="Voluntary"/>
    <x v="0"/>
    <x v="1"/>
    <x v="1"/>
    <x v="2"/>
    <x v="7"/>
  </r>
  <r>
    <x v="706"/>
    <s v="No"/>
    <x v="1"/>
    <s v="Research Scientist"/>
    <x v="0"/>
    <x v="0"/>
    <n v="6"/>
    <n v="66204"/>
    <n v="17"/>
    <n v="37.5"/>
    <s v="No"/>
    <n v="27"/>
    <s v="Woman"/>
    <s v="Married"/>
    <x v="0"/>
    <n v="8"/>
    <s v="Bachelor's Degree"/>
    <s v="Medical"/>
    <n v="3"/>
    <n v="0"/>
    <n v="5"/>
    <n v="0"/>
    <n v="3"/>
    <n v="2"/>
    <n v="0"/>
    <n v="2"/>
    <x v="1"/>
    <d v="2025-08-30T00:00:00"/>
    <x v="1"/>
    <s v="Involuntary"/>
    <x v="1"/>
    <x v="0"/>
    <x v="3"/>
    <x v="0"/>
    <x v="6"/>
  </r>
  <r>
    <x v="707"/>
    <s v="No"/>
    <x v="1"/>
    <s v="Healthcare Representative"/>
    <x v="0"/>
    <x v="0"/>
    <n v="6"/>
    <n v="66264"/>
    <n v="14"/>
    <n v="37.5"/>
    <s v="Yes"/>
    <n v="43"/>
    <s v="Woman"/>
    <s v="Divorced"/>
    <x v="0"/>
    <n v="8"/>
    <s v="Master's Degree"/>
    <s v="Other"/>
    <n v="3"/>
    <n v="0"/>
    <n v="8"/>
    <n v="3"/>
    <n v="5"/>
    <n v="2"/>
    <n v="0"/>
    <n v="2"/>
    <x v="1"/>
    <d v="2024-04-13T00:00:00"/>
    <x v="1"/>
    <s v="Voluntary"/>
    <x v="2"/>
    <x v="0"/>
    <x v="0"/>
    <x v="0"/>
    <x v="5"/>
  </r>
  <r>
    <x v="708"/>
    <s v="No"/>
    <x v="1"/>
    <s v="Healthcare Representative"/>
    <x v="0"/>
    <x v="0"/>
    <n v="6"/>
    <n v="66276"/>
    <n v="11"/>
    <n v="37.5"/>
    <s v="No"/>
    <n v="42"/>
    <s v="Woman"/>
    <s v="Married"/>
    <x v="1"/>
    <n v="28"/>
    <s v="Master's Degree"/>
    <s v="Technical Degree"/>
    <n v="3"/>
    <n v="3"/>
    <n v="7"/>
    <n v="4"/>
    <n v="6"/>
    <n v="5"/>
    <n v="0"/>
    <n v="4"/>
    <x v="1"/>
    <d v="2023-03-25T00:00:00"/>
    <x v="0"/>
    <s v="Voluntary"/>
    <x v="0"/>
    <x v="1"/>
    <x v="0"/>
    <x v="2"/>
    <x v="12"/>
  </r>
  <r>
    <x v="709"/>
    <s v="No"/>
    <x v="1"/>
    <s v="Sales Executive"/>
    <x v="0"/>
    <x v="1"/>
    <n v="6"/>
    <n v="66444"/>
    <n v="22"/>
    <n v="37.5"/>
    <s v="Yes"/>
    <n v="47"/>
    <s v="Woman"/>
    <s v="Married"/>
    <x v="0"/>
    <n v="2"/>
    <s v="Certificate or Diploma"/>
    <s v="Marketing"/>
    <n v="4"/>
    <n v="1"/>
    <n v="8"/>
    <n v="2"/>
    <n v="7"/>
    <n v="6"/>
    <n v="7"/>
    <n v="7"/>
    <x v="1"/>
    <d v="2025-12-28T00:00:00"/>
    <x v="1"/>
    <s v="Involuntary"/>
    <x v="2"/>
    <x v="1"/>
    <x v="3"/>
    <x v="0"/>
    <x v="1"/>
  </r>
  <r>
    <x v="710"/>
    <s v="No"/>
    <x v="1"/>
    <s v="Sales Executive"/>
    <x v="0"/>
    <x v="1"/>
    <n v="6"/>
    <n v="66456"/>
    <n v="12"/>
    <n v="37.5"/>
    <s v="Yes"/>
    <n v="34"/>
    <s v="Woman"/>
    <s v="Single"/>
    <x v="0"/>
    <n v="2"/>
    <s v="Bachelor's Degree"/>
    <s v="Marketing"/>
    <n v="3"/>
    <n v="0"/>
    <n v="4"/>
    <n v="3"/>
    <n v="3"/>
    <n v="2"/>
    <n v="0"/>
    <n v="2"/>
    <x v="1"/>
    <d v="2024-06-08T00:00:00"/>
    <x v="1"/>
    <s v="Involuntary"/>
    <x v="2"/>
    <x v="2"/>
    <x v="0"/>
    <x v="0"/>
    <x v="1"/>
  </r>
  <r>
    <x v="711"/>
    <s v="No"/>
    <x v="1"/>
    <s v="Compensation Analyst"/>
    <x v="0"/>
    <x v="2"/>
    <n v="3"/>
    <n v="49716"/>
    <n v="13"/>
    <n v="37.5"/>
    <s v="No"/>
    <n v="36"/>
    <s v="Man"/>
    <s v="Married"/>
    <x v="0"/>
    <n v="13"/>
    <s v="Bachelor's Degree"/>
    <s v="Human Resources"/>
    <n v="3"/>
    <n v="1"/>
    <n v="8"/>
    <n v="2"/>
    <n v="5"/>
    <n v="2"/>
    <n v="0"/>
    <n v="4"/>
    <x v="1"/>
    <d v="2022-05-01T00:00:00"/>
    <x v="0"/>
    <s v="Voluntary"/>
    <x v="2"/>
    <x v="3"/>
    <x v="2"/>
    <x v="0"/>
    <x v="2"/>
  </r>
  <r>
    <x v="712"/>
    <s v="No"/>
    <x v="1"/>
    <s v="Sales Executive"/>
    <x v="0"/>
    <x v="1"/>
    <n v="6"/>
    <n v="66468"/>
    <n v="12"/>
    <n v="37.5"/>
    <s v="No"/>
    <n v="33"/>
    <s v="Woman"/>
    <s v="Married"/>
    <x v="1"/>
    <n v="25"/>
    <s v="Bachelor's Degree"/>
    <s v="Medical"/>
    <n v="3"/>
    <n v="1"/>
    <n v="10"/>
    <n v="3"/>
    <n v="10"/>
    <n v="7"/>
    <n v="0"/>
    <n v="1"/>
    <x v="2"/>
    <d v="2025-11-16T00:00:00"/>
    <x v="1"/>
    <s v="Voluntary"/>
    <x v="1"/>
    <x v="0"/>
    <x v="3"/>
    <x v="1"/>
    <x v="8"/>
  </r>
  <r>
    <x v="713"/>
    <s v="No"/>
    <x v="1"/>
    <s v="Sales Representative"/>
    <x v="0"/>
    <x v="1"/>
    <n v="6"/>
    <n v="66480"/>
    <n v="21"/>
    <n v="37.5"/>
    <s v="No"/>
    <n v="27"/>
    <s v="Woman"/>
    <s v="Married"/>
    <x v="0"/>
    <n v="23"/>
    <s v="Trades Apprenticeship"/>
    <s v="Medical"/>
    <n v="4"/>
    <n v="1"/>
    <n v="9"/>
    <n v="5"/>
    <n v="9"/>
    <n v="8"/>
    <n v="5"/>
    <n v="8"/>
    <x v="1"/>
    <d v="2022-08-03T00:00:00"/>
    <x v="0"/>
    <s v="Involuntary"/>
    <x v="1"/>
    <x v="0"/>
    <x v="0"/>
    <x v="0"/>
    <x v="4"/>
  </r>
  <r>
    <x v="714"/>
    <s v="No"/>
    <x v="1"/>
    <s v="Laboratory Technician"/>
    <x v="0"/>
    <x v="0"/>
    <n v="7"/>
    <n v="73128"/>
    <n v="14"/>
    <n v="37.5"/>
    <s v="No"/>
    <n v="40"/>
    <s v="Man"/>
    <s v="Single"/>
    <x v="1"/>
    <n v="16"/>
    <s v="Master's Degree"/>
    <s v="Medical"/>
    <n v="3"/>
    <n v="0"/>
    <n v="10"/>
    <n v="6"/>
    <n v="1"/>
    <n v="0"/>
    <n v="0"/>
    <n v="0"/>
    <x v="0"/>
    <d v="2025-03-05T00:00:00"/>
    <x v="1"/>
    <s v="Involuntary"/>
    <x v="3"/>
    <x v="0"/>
    <x v="0"/>
    <x v="0"/>
    <x v="1"/>
  </r>
  <r>
    <x v="715"/>
    <s v="No"/>
    <x v="1"/>
    <s v="Manufacturing Director"/>
    <x v="1"/>
    <x v="0"/>
    <n v="6"/>
    <n v="65208"/>
    <n v="13"/>
    <n v="37.5"/>
    <s v="No"/>
    <n v="42"/>
    <s v="Man"/>
    <s v="Married"/>
    <x v="0"/>
    <n v="29"/>
    <s v="Bachelor's Degree"/>
    <s v="Life Sciences"/>
    <n v="3"/>
    <n v="1"/>
    <n v="10"/>
    <n v="3"/>
    <n v="9"/>
    <n v="8"/>
    <n v="7"/>
    <n v="8"/>
    <x v="1"/>
    <d v="2023-08-26T00:00:00"/>
    <x v="0"/>
    <s v="Voluntary"/>
    <x v="1"/>
    <x v="3"/>
    <x v="0"/>
    <x v="1"/>
    <x v="2"/>
  </r>
  <r>
    <x v="716"/>
    <s v="No"/>
    <x v="1"/>
    <s v="Healthcare Representative"/>
    <x v="0"/>
    <x v="0"/>
    <n v="6"/>
    <n v="66636"/>
    <n v="11"/>
    <n v="37.5"/>
    <s v="No"/>
    <n v="39"/>
    <s v="Woman"/>
    <s v="Single"/>
    <x v="0"/>
    <n v="2"/>
    <s v="Master's Degree"/>
    <s v="Technical Degree"/>
    <n v="3"/>
    <n v="0"/>
    <n v="20"/>
    <n v="4"/>
    <n v="20"/>
    <n v="7"/>
    <n v="11"/>
    <n v="10"/>
    <x v="2"/>
    <d v="2023-12-27T00:00:00"/>
    <x v="0"/>
    <s v="Voluntary"/>
    <x v="0"/>
    <x v="0"/>
    <x v="3"/>
    <x v="0"/>
    <x v="1"/>
  </r>
  <r>
    <x v="717"/>
    <s v="No"/>
    <x v="1"/>
    <s v="Healthcare Representative"/>
    <x v="0"/>
    <x v="0"/>
    <n v="8"/>
    <n v="87456"/>
    <n v="15"/>
    <n v="37.5"/>
    <s v="No"/>
    <n v="38"/>
    <s v="Man"/>
    <s v="Divorced"/>
    <x v="1"/>
    <n v="12"/>
    <s v="Bachelor's Degree"/>
    <s v="Life Sciences"/>
    <n v="3"/>
    <n v="1"/>
    <n v="13"/>
    <n v="3"/>
    <n v="4"/>
    <n v="3"/>
    <n v="1"/>
    <n v="2"/>
    <x v="1"/>
    <d v="2025-02-20T00:00:00"/>
    <x v="1"/>
    <s v="Involuntary"/>
    <x v="3"/>
    <x v="2"/>
    <x v="1"/>
    <x v="1"/>
    <x v="3"/>
  </r>
  <r>
    <x v="718"/>
    <s v="No"/>
    <x v="1"/>
    <s v="Research Scientist"/>
    <x v="0"/>
    <x v="0"/>
    <n v="6"/>
    <n v="66672"/>
    <n v="11"/>
    <n v="37.5"/>
    <s v="No"/>
    <n v="42"/>
    <s v="Woman"/>
    <s v="Divorced"/>
    <x v="1"/>
    <n v="29"/>
    <s v="Certificate or Diploma"/>
    <s v="Life Sciences"/>
    <n v="3"/>
    <n v="1"/>
    <n v="19"/>
    <n v="3"/>
    <n v="5"/>
    <n v="4"/>
    <n v="0"/>
    <n v="2"/>
    <x v="1"/>
    <d v="2022-02-15T00:00:00"/>
    <x v="0"/>
    <s v="Involuntary"/>
    <x v="3"/>
    <x v="0"/>
    <x v="2"/>
    <x v="0"/>
    <x v="6"/>
  </r>
  <r>
    <x v="719"/>
    <s v="No"/>
    <x v="1"/>
    <s v="Research Director"/>
    <x v="1"/>
    <x v="0"/>
    <n v="4"/>
    <n v="217908"/>
    <n v="24"/>
    <n v="37.5"/>
    <s v="No"/>
    <n v="43"/>
    <s v="Man"/>
    <s v="Married"/>
    <x v="0"/>
    <n v="14"/>
    <s v="Certificate or Diploma"/>
    <s v="Life Sciences"/>
    <n v="4"/>
    <n v="1"/>
    <n v="22"/>
    <n v="3"/>
    <n v="4"/>
    <n v="1"/>
    <n v="1"/>
    <n v="0"/>
    <x v="1"/>
    <d v="2024-05-03T00:00:00"/>
    <x v="1"/>
    <s v="Voluntary"/>
    <x v="1"/>
    <x v="2"/>
    <x v="1"/>
    <x v="0"/>
    <x v="6"/>
  </r>
  <r>
    <x v="720"/>
    <s v="No"/>
    <x v="1"/>
    <s v="Research Director"/>
    <x v="1"/>
    <x v="0"/>
    <n v="10"/>
    <n v="165696"/>
    <n v="16"/>
    <n v="37.5"/>
    <s v="Yes"/>
    <n v="27"/>
    <s v="Man"/>
    <s v="Divorced"/>
    <x v="0"/>
    <n v="5"/>
    <s v="Trades Apprenticeship"/>
    <s v="Technical Degree"/>
    <n v="3"/>
    <n v="1"/>
    <n v="9"/>
    <n v="3"/>
    <n v="9"/>
    <n v="8"/>
    <n v="0"/>
    <n v="8"/>
    <x v="1"/>
    <d v="2023-07-04T00:00:00"/>
    <x v="0"/>
    <s v="Voluntary"/>
    <x v="2"/>
    <x v="1"/>
    <x v="2"/>
    <x v="0"/>
    <x v="4"/>
  </r>
  <r>
    <x v="721"/>
    <s v="No"/>
    <x v="1"/>
    <s v="Manufacturing Director"/>
    <x v="1"/>
    <x v="0"/>
    <n v="9"/>
    <n v="134652"/>
    <n v="21"/>
    <n v="37.5"/>
    <s v="No"/>
    <n v="35"/>
    <s v="Man"/>
    <s v="Single"/>
    <x v="0"/>
    <n v="7"/>
    <s v="Bachelor's Degree"/>
    <s v="Other"/>
    <n v="4"/>
    <n v="0"/>
    <n v="17"/>
    <n v="3"/>
    <n v="8"/>
    <n v="5"/>
    <n v="1"/>
    <n v="6"/>
    <x v="1"/>
    <d v="2024-02-05T00:00:00"/>
    <x v="1"/>
    <s v="Involuntary"/>
    <x v="2"/>
    <x v="0"/>
    <x v="2"/>
    <x v="2"/>
    <x v="4"/>
  </r>
  <r>
    <x v="722"/>
    <s v="No"/>
    <x v="1"/>
    <s v="HR Business Partner"/>
    <x v="0"/>
    <x v="2"/>
    <n v="6"/>
    <n v="68844"/>
    <n v="19"/>
    <n v="37.5"/>
    <s v="No"/>
    <n v="34"/>
    <s v="Man"/>
    <s v="Married"/>
    <x v="0"/>
    <n v="3"/>
    <s v="Certificate or Diploma"/>
    <s v="Human Resources"/>
    <n v="3"/>
    <n v="1"/>
    <n v="4"/>
    <n v="1"/>
    <n v="3"/>
    <n v="2"/>
    <n v="0"/>
    <n v="2"/>
    <x v="1"/>
    <d v="2024-09-13T00:00:00"/>
    <x v="1"/>
    <s v="Voluntary"/>
    <x v="2"/>
    <x v="1"/>
    <x v="1"/>
    <x v="3"/>
    <x v="1"/>
  </r>
  <r>
    <x v="723"/>
    <s v="No"/>
    <x v="1"/>
    <s v="Research Scientist"/>
    <x v="0"/>
    <x v="0"/>
    <n v="6"/>
    <n v="66960"/>
    <n v="16"/>
    <n v="37.5"/>
    <s v="No"/>
    <n v="49"/>
    <s v="Woman"/>
    <s v="Married"/>
    <x v="0"/>
    <n v="1"/>
    <s v="Bachelor's Degree"/>
    <s v="Technical Degree"/>
    <n v="3"/>
    <n v="1"/>
    <n v="7"/>
    <n v="2"/>
    <n v="4"/>
    <n v="2"/>
    <n v="0"/>
    <n v="2"/>
    <x v="1"/>
    <d v="2024-11-11T00:00:00"/>
    <x v="1"/>
    <s v="Voluntary"/>
    <x v="2"/>
    <x v="2"/>
    <x v="2"/>
    <x v="0"/>
    <x v="6"/>
  </r>
  <r>
    <x v="724"/>
    <s v="No"/>
    <x v="1"/>
    <s v="Research Scientist"/>
    <x v="0"/>
    <x v="0"/>
    <n v="2"/>
    <n v="44472"/>
    <n v="11"/>
    <n v="37.5"/>
    <s v="No"/>
    <n v="27"/>
    <s v="Man"/>
    <s v="Married"/>
    <x v="2"/>
    <n v="3"/>
    <s v="Bachelor's Degree"/>
    <s v="Medical"/>
    <n v="3"/>
    <n v="3"/>
    <n v="0"/>
    <n v="6"/>
    <n v="0"/>
    <n v="0"/>
    <n v="0"/>
    <n v="0"/>
    <x v="0"/>
    <d v="2025-03-23T00:00:00"/>
    <x v="1"/>
    <s v="Involuntary"/>
    <x v="0"/>
    <x v="1"/>
    <x v="1"/>
    <x v="1"/>
    <x v="5"/>
  </r>
  <r>
    <x v="725"/>
    <s v="No"/>
    <x v="1"/>
    <s v="Research Scientist"/>
    <x v="0"/>
    <x v="0"/>
    <n v="6"/>
    <n v="67092"/>
    <n v="25"/>
    <n v="37.5"/>
    <s v="No"/>
    <n v="28"/>
    <s v="Woman"/>
    <s v="Married"/>
    <x v="0"/>
    <n v="1"/>
    <s v="Bachelor's Degree"/>
    <s v="Medical"/>
    <n v="4"/>
    <n v="1"/>
    <n v="3"/>
    <n v="3"/>
    <n v="3"/>
    <n v="2"/>
    <n v="1"/>
    <n v="2"/>
    <x v="1"/>
    <d v="2022-08-13T00:00:00"/>
    <x v="0"/>
    <s v="Voluntary"/>
    <x v="2"/>
    <x v="2"/>
    <x v="1"/>
    <x v="0"/>
    <x v="2"/>
  </r>
  <r>
    <x v="726"/>
    <s v="No"/>
    <x v="1"/>
    <s v="Sales Executive"/>
    <x v="0"/>
    <x v="1"/>
    <n v="6"/>
    <n v="67092"/>
    <n v="17"/>
    <n v="37.5"/>
    <s v="Yes"/>
    <n v="47"/>
    <s v="Woman"/>
    <s v="Married"/>
    <x v="0"/>
    <n v="14"/>
    <s v="Bachelor's Degree"/>
    <s v="Medical"/>
    <n v="3"/>
    <n v="1"/>
    <n v="11"/>
    <n v="4"/>
    <n v="5"/>
    <n v="4"/>
    <n v="1"/>
    <n v="2"/>
    <x v="1"/>
    <d v="2024-02-17T00:00:00"/>
    <x v="1"/>
    <s v="Voluntary"/>
    <x v="2"/>
    <x v="0"/>
    <x v="1"/>
    <x v="1"/>
    <x v="1"/>
  </r>
  <r>
    <x v="727"/>
    <s v="No"/>
    <x v="1"/>
    <s v="Healthcare Representative"/>
    <x v="0"/>
    <x v="0"/>
    <n v="7"/>
    <n v="83196"/>
    <n v="12"/>
    <n v="37.5"/>
    <s v="No"/>
    <n v="44"/>
    <s v="Man"/>
    <s v="Single"/>
    <x v="0"/>
    <n v="4"/>
    <s v="Bachelor's Degree"/>
    <s v="Medical"/>
    <n v="3"/>
    <n v="0"/>
    <n v="10"/>
    <n v="2"/>
    <n v="5"/>
    <n v="2"/>
    <n v="2"/>
    <n v="3"/>
    <x v="1"/>
    <d v="2024-11-26T00:00:00"/>
    <x v="1"/>
    <s v="Involuntary"/>
    <x v="0"/>
    <x v="3"/>
    <x v="0"/>
    <x v="1"/>
    <x v="4"/>
  </r>
  <r>
    <x v="728"/>
    <s v="No"/>
    <x v="1"/>
    <s v="Research Scientist"/>
    <x v="0"/>
    <x v="0"/>
    <n v="6"/>
    <n v="65088"/>
    <n v="13"/>
    <n v="37.5"/>
    <s v="No"/>
    <n v="25"/>
    <s v="Man"/>
    <s v="Single"/>
    <x v="0"/>
    <n v="2"/>
    <s v="Trades Apprenticeship"/>
    <s v="Medical"/>
    <n v="3"/>
    <n v="0"/>
    <n v="6"/>
    <n v="3"/>
    <n v="4"/>
    <n v="3"/>
    <n v="0"/>
    <n v="1"/>
    <x v="1"/>
    <d v="2025-10-06T00:00:00"/>
    <x v="1"/>
    <s v="Voluntary"/>
    <x v="3"/>
    <x v="2"/>
    <x v="1"/>
    <x v="1"/>
    <x v="3"/>
  </r>
  <r>
    <x v="729"/>
    <s v="No"/>
    <x v="1"/>
    <s v="Sales Executive"/>
    <x v="0"/>
    <x v="1"/>
    <n v="6"/>
    <n v="67212"/>
    <n v="16"/>
    <n v="37.5"/>
    <s v="No"/>
    <n v="35"/>
    <s v="Woman"/>
    <s v="Married"/>
    <x v="0"/>
    <n v="18"/>
    <s v="Bachelor's Degree"/>
    <s v="Medical"/>
    <n v="3"/>
    <n v="0"/>
    <n v="5"/>
    <n v="3"/>
    <n v="5"/>
    <n v="2"/>
    <n v="1"/>
    <n v="0"/>
    <x v="1"/>
    <d v="2025-02-02T00:00:00"/>
    <x v="1"/>
    <s v="Voluntary"/>
    <x v="2"/>
    <x v="0"/>
    <x v="2"/>
    <x v="0"/>
    <x v="1"/>
  </r>
  <r>
    <x v="730"/>
    <s v="No"/>
    <x v="1"/>
    <s v="Research Scientist"/>
    <x v="0"/>
    <x v="0"/>
    <n v="6"/>
    <n v="67380"/>
    <n v="23"/>
    <n v="37.5"/>
    <s v="Yes"/>
    <n v="46"/>
    <s v="Woman"/>
    <s v="Divorced"/>
    <x v="0"/>
    <n v="8"/>
    <s v="Master's Degree"/>
    <s v="Life Sciences"/>
    <n v="4"/>
    <n v="3"/>
    <n v="19"/>
    <n v="2"/>
    <n v="16"/>
    <n v="13"/>
    <n v="1"/>
    <n v="7"/>
    <x v="2"/>
    <d v="2023-03-28T00:00:00"/>
    <x v="0"/>
    <s v="Involuntary"/>
    <x v="0"/>
    <x v="2"/>
    <x v="3"/>
    <x v="0"/>
    <x v="6"/>
  </r>
  <r>
    <x v="731"/>
    <s v="No"/>
    <x v="1"/>
    <s v="Sales Executive"/>
    <x v="0"/>
    <x v="1"/>
    <n v="6"/>
    <n v="60444"/>
    <n v="22"/>
    <n v="37.5"/>
    <s v="No"/>
    <n v="33"/>
    <s v="Man"/>
    <s v="Divorced"/>
    <x v="0"/>
    <n v="1"/>
    <s v="Bachelor's Degree"/>
    <s v="Medical"/>
    <n v="4"/>
    <n v="1"/>
    <n v="9"/>
    <n v="5"/>
    <n v="9"/>
    <n v="8"/>
    <n v="0"/>
    <n v="8"/>
    <x v="1"/>
    <d v="2022-03-21T00:00:00"/>
    <x v="0"/>
    <s v="Voluntary"/>
    <x v="3"/>
    <x v="2"/>
    <x v="3"/>
    <x v="0"/>
    <x v="9"/>
  </r>
  <r>
    <x v="732"/>
    <s v="No"/>
    <x v="1"/>
    <s v="Sales Executive"/>
    <x v="0"/>
    <x v="1"/>
    <n v="8"/>
    <n v="86412"/>
    <n v="14"/>
    <n v="37.5"/>
    <s v="Yes"/>
    <n v="36"/>
    <s v="Man"/>
    <s v="Married"/>
    <x v="0"/>
    <n v="1"/>
    <s v="Certificate or Diploma"/>
    <s v="Life Sciences"/>
    <n v="3"/>
    <n v="1"/>
    <n v="18"/>
    <n v="1"/>
    <n v="18"/>
    <n v="14"/>
    <n v="4"/>
    <n v="11"/>
    <x v="2"/>
    <d v="2023-10-29T00:00:00"/>
    <x v="0"/>
    <s v="Involuntary"/>
    <x v="1"/>
    <x v="1"/>
    <x v="0"/>
    <x v="1"/>
    <x v="4"/>
  </r>
  <r>
    <x v="733"/>
    <s v="No"/>
    <x v="1"/>
    <s v="Sales Executive"/>
    <x v="0"/>
    <x v="1"/>
    <n v="6"/>
    <n v="64836"/>
    <n v="11"/>
    <n v="37.5"/>
    <s v="No"/>
    <n v="32"/>
    <s v="Man"/>
    <s v="Divorced"/>
    <x v="0"/>
    <n v="13"/>
    <s v="Master's Degree"/>
    <s v="Life Sciences"/>
    <n v="3"/>
    <n v="1"/>
    <n v="8"/>
    <n v="3"/>
    <n v="5"/>
    <n v="2"/>
    <n v="0"/>
    <n v="3"/>
    <x v="1"/>
    <d v="2025-07-28T00:00:00"/>
    <x v="1"/>
    <s v="Voluntary"/>
    <x v="1"/>
    <x v="1"/>
    <x v="1"/>
    <x v="1"/>
    <x v="1"/>
  </r>
  <r>
    <x v="734"/>
    <s v="No"/>
    <x v="1"/>
    <s v="Research Scientist"/>
    <x v="0"/>
    <x v="0"/>
    <n v="6"/>
    <n v="69132"/>
    <n v="12"/>
    <n v="37.5"/>
    <s v="No"/>
    <n v="30"/>
    <s v="Man"/>
    <s v="Divorced"/>
    <x v="1"/>
    <n v="5"/>
    <s v="Master's Degree"/>
    <s v="Life Sciences"/>
    <n v="3"/>
    <n v="1"/>
    <n v="10"/>
    <n v="3"/>
    <n v="5"/>
    <n v="4"/>
    <n v="0"/>
    <n v="3"/>
    <x v="1"/>
    <d v="2022-05-07T00:00:00"/>
    <x v="0"/>
    <s v="Involuntary"/>
    <x v="1"/>
    <x v="1"/>
    <x v="2"/>
    <x v="1"/>
    <x v="2"/>
  </r>
  <r>
    <x v="735"/>
    <s v="No"/>
    <x v="1"/>
    <s v="Laboratory Technician"/>
    <x v="0"/>
    <x v="0"/>
    <n v="6"/>
    <n v="67524"/>
    <n v="12"/>
    <n v="37.5"/>
    <s v="No"/>
    <n v="30"/>
    <s v="Woman"/>
    <s v="Married"/>
    <x v="0"/>
    <n v="6"/>
    <s v="Bachelor's Degree"/>
    <s v="Technical Degree"/>
    <n v="3"/>
    <n v="1"/>
    <n v="10"/>
    <n v="6"/>
    <n v="9"/>
    <n v="2"/>
    <n v="6"/>
    <n v="7"/>
    <x v="1"/>
    <d v="2024-12-05T00:00:00"/>
    <x v="1"/>
    <s v="Involuntary"/>
    <x v="3"/>
    <x v="1"/>
    <x v="3"/>
    <x v="0"/>
    <x v="6"/>
  </r>
  <r>
    <x v="736"/>
    <s v="No"/>
    <x v="1"/>
    <s v="Laboratory Technician"/>
    <x v="0"/>
    <x v="0"/>
    <n v="6"/>
    <n v="67548"/>
    <n v="18"/>
    <n v="37.5"/>
    <s v="No"/>
    <n v="37"/>
    <s v="Woman"/>
    <s v="Single"/>
    <x v="0"/>
    <n v="11"/>
    <s v="Bachelor's Degree"/>
    <s v="Medical"/>
    <n v="3"/>
    <n v="0"/>
    <n v="8"/>
    <n v="6"/>
    <n v="3"/>
    <n v="2"/>
    <n v="0"/>
    <n v="2"/>
    <x v="1"/>
    <d v="2023-05-10T00:00:00"/>
    <x v="0"/>
    <s v="Involuntary"/>
    <x v="3"/>
    <x v="0"/>
    <x v="3"/>
    <x v="0"/>
    <x v="8"/>
  </r>
  <r>
    <x v="737"/>
    <s v="No"/>
    <x v="1"/>
    <s v="Sales Executive"/>
    <x v="0"/>
    <x v="1"/>
    <n v="10"/>
    <n v="141132"/>
    <n v="12"/>
    <n v="37.5"/>
    <s v="Yes"/>
    <n v="45"/>
    <s v="Man"/>
    <s v="Divorced"/>
    <x v="0"/>
    <n v="9"/>
    <s v="Bachelor's Degree"/>
    <s v="Marketing"/>
    <n v="3"/>
    <n v="1"/>
    <n v="18"/>
    <n v="2"/>
    <n v="5"/>
    <n v="4"/>
    <n v="0"/>
    <n v="2"/>
    <x v="1"/>
    <d v="2025-08-23T00:00:00"/>
    <x v="1"/>
    <s v="Involuntary"/>
    <x v="0"/>
    <x v="2"/>
    <x v="1"/>
    <x v="0"/>
    <x v="1"/>
  </r>
  <r>
    <x v="738"/>
    <s v="No"/>
    <x v="1"/>
    <s v="Sales Executive"/>
    <x v="0"/>
    <x v="1"/>
    <n v="6"/>
    <n v="67668"/>
    <n v="16"/>
    <n v="37.5"/>
    <s v="No"/>
    <n v="36"/>
    <s v="Woman"/>
    <s v="Married"/>
    <x v="1"/>
    <n v="7"/>
    <s v="Bachelor's Degree"/>
    <s v="Marketing"/>
    <n v="3"/>
    <n v="1"/>
    <n v="17"/>
    <n v="2"/>
    <n v="15"/>
    <n v="7"/>
    <n v="6"/>
    <n v="13"/>
    <x v="2"/>
    <d v="2023-03-19T00:00:00"/>
    <x v="0"/>
    <s v="Involuntary"/>
    <x v="3"/>
    <x v="2"/>
    <x v="0"/>
    <x v="1"/>
    <x v="8"/>
  </r>
  <r>
    <x v="739"/>
    <s v="No"/>
    <x v="1"/>
    <s v="Sales Executive"/>
    <x v="0"/>
    <x v="1"/>
    <n v="6"/>
    <n v="67668"/>
    <n v="15"/>
    <n v="37.5"/>
    <s v="No"/>
    <n v="40"/>
    <s v="Woman"/>
    <s v="Married"/>
    <x v="0"/>
    <n v="14"/>
    <s v="Certificate or Diploma"/>
    <s v="Life Sciences"/>
    <n v="3"/>
    <n v="1"/>
    <n v="5"/>
    <n v="2"/>
    <n v="5"/>
    <n v="4"/>
    <n v="1"/>
    <n v="2"/>
    <x v="1"/>
    <d v="2022-05-08T00:00:00"/>
    <x v="0"/>
    <s v="Voluntary"/>
    <x v="0"/>
    <x v="2"/>
    <x v="1"/>
    <x v="0"/>
    <x v="1"/>
  </r>
  <r>
    <x v="740"/>
    <s v="No"/>
    <x v="1"/>
    <s v="Sales Executive"/>
    <x v="0"/>
    <x v="1"/>
    <n v="6"/>
    <n v="67764"/>
    <n v="20"/>
    <n v="37.5"/>
    <s v="Yes"/>
    <n v="27"/>
    <s v="Woman"/>
    <s v="Divorced"/>
    <x v="1"/>
    <n v="3"/>
    <s v="Trades Apprenticeship"/>
    <s v="Medical"/>
    <n v="4"/>
    <n v="2"/>
    <n v="6"/>
    <n v="3"/>
    <n v="6"/>
    <n v="5"/>
    <n v="0"/>
    <n v="4"/>
    <x v="1"/>
    <d v="2025-09-28T00:00:00"/>
    <x v="1"/>
    <s v="Voluntary"/>
    <x v="0"/>
    <x v="1"/>
    <x v="2"/>
    <x v="0"/>
    <x v="5"/>
  </r>
  <r>
    <x v="741"/>
    <s v="No"/>
    <x v="1"/>
    <s v="Sales Executive"/>
    <x v="0"/>
    <x v="1"/>
    <n v="8"/>
    <n v="88008"/>
    <n v="19"/>
    <n v="37.5"/>
    <s v="No"/>
    <n v="37"/>
    <s v="Man"/>
    <s v="Divorced"/>
    <x v="0"/>
    <n v="16"/>
    <s v="Master's Degree"/>
    <s v="Marketing"/>
    <n v="3"/>
    <n v="2"/>
    <n v="9"/>
    <n v="2"/>
    <n v="1"/>
    <n v="0"/>
    <n v="0"/>
    <n v="0"/>
    <x v="0"/>
    <d v="2025-05-25T00:00:00"/>
    <x v="1"/>
    <s v="Involuntary"/>
    <x v="0"/>
    <x v="0"/>
    <x v="0"/>
    <x v="0"/>
    <x v="0"/>
  </r>
  <r>
    <x v="742"/>
    <s v="No"/>
    <x v="1"/>
    <s v="Compensation Analyst"/>
    <x v="0"/>
    <x v="2"/>
    <n v="7"/>
    <n v="71232"/>
    <n v="13"/>
    <n v="37.5"/>
    <s v="No"/>
    <n v="28"/>
    <s v="Man"/>
    <s v="Divorced"/>
    <x v="0"/>
    <n v="8"/>
    <s v="Certificate or Diploma"/>
    <s v="Medical"/>
    <n v="3"/>
    <n v="1"/>
    <n v="6"/>
    <n v="6"/>
    <n v="5"/>
    <n v="1"/>
    <n v="0"/>
    <n v="4"/>
    <x v="1"/>
    <d v="2022-05-15T00:00:00"/>
    <x v="0"/>
    <s v="Voluntary"/>
    <x v="1"/>
    <x v="1"/>
    <x v="0"/>
    <x v="0"/>
    <x v="5"/>
  </r>
  <r>
    <x v="743"/>
    <s v="No"/>
    <x v="1"/>
    <s v="Research Scientist"/>
    <x v="0"/>
    <x v="0"/>
    <n v="6"/>
    <n v="67920"/>
    <n v="13"/>
    <n v="37.5"/>
    <s v="No"/>
    <n v="28"/>
    <s v="Woman"/>
    <s v="Single"/>
    <x v="0"/>
    <n v="10"/>
    <s v="Bachelor's Degree"/>
    <s v="Other"/>
    <n v="3"/>
    <n v="0"/>
    <n v="10"/>
    <n v="4"/>
    <n v="8"/>
    <n v="7"/>
    <n v="1"/>
    <n v="7"/>
    <x v="1"/>
    <d v="2024-08-15T00:00:00"/>
    <x v="1"/>
    <s v="Involuntary"/>
    <x v="2"/>
    <x v="0"/>
    <x v="0"/>
    <x v="2"/>
    <x v="0"/>
  </r>
  <r>
    <x v="744"/>
    <s v="No"/>
    <x v="1"/>
    <s v="Manufacturing Director"/>
    <x v="1"/>
    <x v="0"/>
    <n v="6"/>
    <n v="69300"/>
    <n v="22"/>
    <n v="37.5"/>
    <s v="No"/>
    <n v="22"/>
    <s v="Man"/>
    <s v="Married"/>
    <x v="0"/>
    <n v="1"/>
    <s v="Certificate or Diploma"/>
    <s v="Life Sciences"/>
    <n v="4"/>
    <n v="2"/>
    <n v="4"/>
    <n v="2"/>
    <n v="2"/>
    <n v="2"/>
    <n v="2"/>
    <n v="2"/>
    <x v="0"/>
    <d v="2024-05-27T00:00:00"/>
    <x v="1"/>
    <s v="Voluntary"/>
    <x v="0"/>
    <x v="1"/>
    <x v="3"/>
    <x v="3"/>
    <x v="2"/>
  </r>
  <r>
    <x v="745"/>
    <s v="No"/>
    <x v="1"/>
    <s v="Manufacturing Director"/>
    <x v="1"/>
    <x v="0"/>
    <n v="6"/>
    <n v="67956"/>
    <n v="12"/>
    <n v="37.5"/>
    <s v="Yes"/>
    <n v="36"/>
    <s v="Woman"/>
    <s v="Married"/>
    <x v="0"/>
    <n v="12"/>
    <s v="Master's Degree"/>
    <s v="Life Sciences"/>
    <n v="3"/>
    <n v="2"/>
    <n v="7"/>
    <n v="2"/>
    <n v="3"/>
    <n v="2"/>
    <n v="1"/>
    <n v="1"/>
    <x v="1"/>
    <d v="2024-07-18T00:00:00"/>
    <x v="1"/>
    <s v="Voluntary"/>
    <x v="2"/>
    <x v="0"/>
    <x v="2"/>
    <x v="0"/>
    <x v="1"/>
  </r>
  <r>
    <x v="746"/>
    <s v="No"/>
    <x v="1"/>
    <s v="Laboratory Technician"/>
    <x v="0"/>
    <x v="0"/>
    <n v="5"/>
    <n v="57816"/>
    <n v="24"/>
    <n v="37.5"/>
    <s v="Yes"/>
    <n v="44"/>
    <s v="Man"/>
    <s v="Married"/>
    <x v="0"/>
    <n v="8"/>
    <s v="Master's Degree"/>
    <s v="Life Sciences"/>
    <n v="4"/>
    <n v="1"/>
    <n v="10"/>
    <n v="2"/>
    <n v="3"/>
    <n v="2"/>
    <n v="0"/>
    <n v="2"/>
    <x v="1"/>
    <d v="2023-06-16T00:00:00"/>
    <x v="0"/>
    <s v="Involuntary"/>
    <x v="3"/>
    <x v="1"/>
    <x v="1"/>
    <x v="1"/>
    <x v="2"/>
  </r>
  <r>
    <x v="747"/>
    <s v="No"/>
    <x v="1"/>
    <s v="Research Scientist"/>
    <x v="0"/>
    <x v="0"/>
    <n v="4"/>
    <n v="54180"/>
    <n v="14"/>
    <n v="37.5"/>
    <s v="Yes"/>
    <n v="42"/>
    <s v="Man"/>
    <s v="Single"/>
    <x v="1"/>
    <n v="2"/>
    <s v="Trades Apprenticeship"/>
    <s v="Medical"/>
    <n v="3"/>
    <n v="0"/>
    <n v="8"/>
    <n v="2"/>
    <n v="2"/>
    <n v="1"/>
    <n v="2"/>
    <n v="2"/>
    <x v="0"/>
    <d v="2022-01-19T00:00:00"/>
    <x v="0"/>
    <s v="Involuntary"/>
    <x v="1"/>
    <x v="1"/>
    <x v="0"/>
    <x v="0"/>
    <x v="5"/>
  </r>
  <r>
    <x v="748"/>
    <s v="No"/>
    <x v="1"/>
    <s v="Laboratory Technician"/>
    <x v="0"/>
    <x v="0"/>
    <n v="6"/>
    <n v="68076"/>
    <n v="13"/>
    <n v="37.5"/>
    <s v="No"/>
    <n v="42"/>
    <s v="Woman"/>
    <s v="Single"/>
    <x v="1"/>
    <n v="9"/>
    <s v="Certificate or Diploma"/>
    <s v="Medical"/>
    <n v="3"/>
    <n v="0"/>
    <n v="12"/>
    <n v="3"/>
    <n v="12"/>
    <n v="9"/>
    <n v="5"/>
    <n v="8"/>
    <x v="2"/>
    <d v="2024-01-29T00:00:00"/>
    <x v="1"/>
    <s v="Involuntary"/>
    <x v="3"/>
    <x v="1"/>
    <x v="1"/>
    <x v="0"/>
    <x v="1"/>
  </r>
  <r>
    <x v="749"/>
    <s v="No"/>
    <x v="1"/>
    <s v="HR Operations Specialist"/>
    <x v="0"/>
    <x v="2"/>
    <n v="4"/>
    <n v="52104"/>
    <n v="21"/>
    <n v="37.5"/>
    <s v="No"/>
    <n v="36"/>
    <s v="Man"/>
    <s v="Married"/>
    <x v="0"/>
    <n v="8"/>
    <s v="Bachelor's Degree"/>
    <s v="Life Sciences"/>
    <n v="4"/>
    <n v="0"/>
    <n v="6"/>
    <n v="3"/>
    <n v="5"/>
    <n v="4"/>
    <n v="0"/>
    <n v="3"/>
    <x v="1"/>
    <d v="2022-12-09T00:00:00"/>
    <x v="0"/>
    <s v="Voluntary"/>
    <x v="3"/>
    <x v="2"/>
    <x v="1"/>
    <x v="0"/>
    <x v="8"/>
  </r>
  <r>
    <x v="750"/>
    <s v="No"/>
    <x v="1"/>
    <s v="Sales Executive"/>
    <x v="0"/>
    <x v="1"/>
    <n v="6"/>
    <n v="62328"/>
    <n v="18"/>
    <n v="37.5"/>
    <s v="Yes"/>
    <n v="25"/>
    <s v="Man"/>
    <s v="Married"/>
    <x v="0"/>
    <n v="3"/>
    <s v="Trades Apprenticeship"/>
    <s v="Other"/>
    <n v="3"/>
    <n v="0"/>
    <n v="5"/>
    <n v="3"/>
    <n v="5"/>
    <n v="3"/>
    <n v="0"/>
    <n v="3"/>
    <x v="1"/>
    <d v="2022-12-01T00:00:00"/>
    <x v="0"/>
    <s v="Voluntary"/>
    <x v="2"/>
    <x v="2"/>
    <x v="0"/>
    <x v="0"/>
    <x v="1"/>
  </r>
  <r>
    <x v="751"/>
    <s v="No"/>
    <x v="1"/>
    <s v="Laboratory Technician"/>
    <x v="0"/>
    <x v="0"/>
    <n v="4"/>
    <n v="51768"/>
    <n v="12"/>
    <n v="37.5"/>
    <s v="No"/>
    <n v="32"/>
    <s v="Man"/>
    <s v="Divorced"/>
    <x v="2"/>
    <n v="1"/>
    <s v="Bachelor's Degree"/>
    <s v="Life Sciences"/>
    <n v="3"/>
    <n v="1"/>
    <n v="4"/>
    <n v="2"/>
    <n v="3"/>
    <n v="0"/>
    <n v="0"/>
    <n v="2"/>
    <x v="1"/>
    <d v="2025-10-08T00:00:00"/>
    <x v="1"/>
    <s v="Voluntary"/>
    <x v="0"/>
    <x v="1"/>
    <x v="2"/>
    <x v="0"/>
    <x v="5"/>
  </r>
  <r>
    <x v="752"/>
    <s v="No"/>
    <x v="1"/>
    <s v="Sales Executive"/>
    <x v="0"/>
    <x v="1"/>
    <n v="6"/>
    <n v="63072"/>
    <n v="12"/>
    <n v="37.5"/>
    <s v="No"/>
    <n v="25"/>
    <s v="Man"/>
    <s v="Married"/>
    <x v="0"/>
    <n v="4"/>
    <s v="Trades Apprenticeship"/>
    <s v="Marketing"/>
    <n v="3"/>
    <n v="0"/>
    <n v="5"/>
    <n v="1"/>
    <n v="5"/>
    <n v="2"/>
    <n v="0"/>
    <n v="3"/>
    <x v="1"/>
    <d v="2023-10-03T00:00:00"/>
    <x v="0"/>
    <s v="Voluntary"/>
    <x v="2"/>
    <x v="2"/>
    <x v="3"/>
    <x v="2"/>
    <x v="6"/>
  </r>
  <r>
    <x v="753"/>
    <s v="No"/>
    <x v="1"/>
    <s v="Laboratory Technician"/>
    <x v="0"/>
    <x v="0"/>
    <n v="6"/>
    <n v="61944"/>
    <n v="17"/>
    <n v="37.5"/>
    <s v="No"/>
    <n v="24"/>
    <s v="Man"/>
    <s v="Married"/>
    <x v="2"/>
    <n v="4"/>
    <s v="Trades Apprenticeship"/>
    <s v="Life Sciences"/>
    <n v="3"/>
    <n v="0"/>
    <n v="6"/>
    <n v="2"/>
    <n v="5"/>
    <n v="2"/>
    <n v="3"/>
    <n v="4"/>
    <x v="1"/>
    <d v="2023-04-14T00:00:00"/>
    <x v="0"/>
    <s v="Voluntary"/>
    <x v="3"/>
    <x v="1"/>
    <x v="0"/>
    <x v="1"/>
    <x v="1"/>
  </r>
  <r>
    <x v="754"/>
    <s v="No"/>
    <x v="1"/>
    <s v="Sales Executive"/>
    <x v="0"/>
    <x v="1"/>
    <n v="8"/>
    <n v="90288"/>
    <n v="14"/>
    <n v="37.5"/>
    <s v="No"/>
    <n v="32"/>
    <s v="Man"/>
    <s v="Married"/>
    <x v="1"/>
    <n v="5"/>
    <s v="Certificate or Diploma"/>
    <s v="Life Sciences"/>
    <n v="3"/>
    <n v="1"/>
    <n v="10"/>
    <n v="3"/>
    <n v="10"/>
    <n v="8"/>
    <n v="5"/>
    <n v="3"/>
    <x v="2"/>
    <d v="2025-02-20T00:00:00"/>
    <x v="1"/>
    <s v="Involuntary"/>
    <x v="1"/>
    <x v="3"/>
    <x v="0"/>
    <x v="0"/>
    <x v="1"/>
  </r>
  <r>
    <x v="755"/>
    <s v="No"/>
    <x v="1"/>
    <s v="Sales Representative"/>
    <x v="0"/>
    <x v="1"/>
    <n v="5"/>
    <n v="58788"/>
    <n v="19"/>
    <n v="37.5"/>
    <s v="No"/>
    <n v="38"/>
    <s v="Man"/>
    <s v="Married"/>
    <x v="0"/>
    <n v="9"/>
    <s v="Bachelor's Degree"/>
    <s v="Marketing"/>
    <n v="3"/>
    <n v="1"/>
    <n v="3"/>
    <n v="3"/>
    <n v="2"/>
    <n v="2"/>
    <n v="1"/>
    <n v="2"/>
    <x v="0"/>
    <d v="2023-04-01T00:00:00"/>
    <x v="0"/>
    <s v="Voluntary"/>
    <x v="1"/>
    <x v="3"/>
    <x v="0"/>
    <x v="0"/>
    <x v="1"/>
  </r>
  <r>
    <x v="756"/>
    <s v="No"/>
    <x v="1"/>
    <s v="Research Scientist"/>
    <x v="0"/>
    <x v="0"/>
    <n v="4"/>
    <n v="52272"/>
    <n v="19"/>
    <n v="37.5"/>
    <s v="Yes"/>
    <n v="31"/>
    <s v="Man"/>
    <s v="Married"/>
    <x v="0"/>
    <n v="11"/>
    <s v="Master's Degree"/>
    <s v="Life Sciences"/>
    <n v="3"/>
    <n v="1"/>
    <n v="8"/>
    <n v="2"/>
    <n v="6"/>
    <n v="4"/>
    <n v="0"/>
    <n v="2"/>
    <x v="1"/>
    <d v="2024-06-27T00:00:00"/>
    <x v="1"/>
    <s v="Voluntary"/>
    <x v="0"/>
    <x v="1"/>
    <x v="2"/>
    <x v="0"/>
    <x v="5"/>
  </r>
  <r>
    <x v="757"/>
    <s v="No"/>
    <x v="1"/>
    <s v="Sales Executive"/>
    <x v="0"/>
    <x v="1"/>
    <n v="10"/>
    <n v="154032"/>
    <n v="14"/>
    <n v="37.5"/>
    <s v="No"/>
    <n v="53"/>
    <s v="Man"/>
    <s v="Married"/>
    <x v="0"/>
    <n v="8"/>
    <s v="Bachelor's Degree"/>
    <s v="Marketing"/>
    <n v="3"/>
    <n v="1"/>
    <n v="28"/>
    <n v="3"/>
    <n v="2"/>
    <n v="0"/>
    <n v="2"/>
    <n v="2"/>
    <x v="0"/>
    <d v="2023-08-19T00:00:00"/>
    <x v="0"/>
    <s v="Involuntary"/>
    <x v="3"/>
    <x v="1"/>
    <x v="1"/>
    <x v="0"/>
    <x v="1"/>
  </r>
  <r>
    <x v="758"/>
    <s v="No"/>
    <x v="1"/>
    <s v="Manufacturing Director"/>
    <x v="1"/>
    <x v="0"/>
    <n v="6"/>
    <n v="68340"/>
    <n v="18"/>
    <n v="37.5"/>
    <s v="Yes"/>
    <n v="30"/>
    <s v="Woman"/>
    <s v="Single"/>
    <x v="2"/>
    <n v="9"/>
    <s v="Certificate or Diploma"/>
    <s v="Medical"/>
    <n v="3"/>
    <n v="0"/>
    <n v="10"/>
    <n v="3"/>
    <n v="8"/>
    <n v="4"/>
    <n v="1"/>
    <n v="7"/>
    <x v="1"/>
    <d v="2023-11-03T00:00:00"/>
    <x v="0"/>
    <s v="Involuntary"/>
    <x v="2"/>
    <x v="0"/>
    <x v="1"/>
    <x v="0"/>
    <x v="4"/>
  </r>
  <r>
    <x v="759"/>
    <s v="No"/>
    <x v="1"/>
    <s v="Manufacturing Director"/>
    <x v="1"/>
    <x v="0"/>
    <n v="10"/>
    <n v="142836"/>
    <n v="16"/>
    <n v="37.5"/>
    <s v="No"/>
    <n v="35"/>
    <s v="Man"/>
    <s v="Married"/>
    <x v="0"/>
    <n v="25"/>
    <s v="Bachelor's Degree"/>
    <s v="Technical Degree"/>
    <n v="3"/>
    <n v="0"/>
    <n v="16"/>
    <n v="2"/>
    <n v="13"/>
    <n v="10"/>
    <n v="4"/>
    <n v="8"/>
    <x v="2"/>
    <d v="2023-02-27T00:00:00"/>
    <x v="0"/>
    <s v="Involuntary"/>
    <x v="0"/>
    <x v="3"/>
    <x v="3"/>
    <x v="0"/>
    <x v="2"/>
  </r>
  <r>
    <x v="760"/>
    <s v="No"/>
    <x v="1"/>
    <s v="Laboratory Technician"/>
    <x v="0"/>
    <x v="0"/>
    <n v="6"/>
    <n v="68424"/>
    <n v="11"/>
    <n v="37.5"/>
    <s v="No"/>
    <n v="38"/>
    <s v="Woman"/>
    <s v="Married"/>
    <x v="0"/>
    <n v="6"/>
    <s v="Certificate or Diploma"/>
    <s v="Other"/>
    <n v="3"/>
    <n v="1"/>
    <n v="5"/>
    <n v="3"/>
    <n v="5"/>
    <n v="4"/>
    <n v="0"/>
    <n v="4"/>
    <x v="1"/>
    <d v="2025-11-15T00:00:00"/>
    <x v="1"/>
    <s v="Involuntary"/>
    <x v="0"/>
    <x v="0"/>
    <x v="2"/>
    <x v="0"/>
    <x v="4"/>
  </r>
  <r>
    <x v="761"/>
    <s v="No"/>
    <x v="1"/>
    <s v="Sales Executive"/>
    <x v="0"/>
    <x v="1"/>
    <n v="9"/>
    <n v="103704"/>
    <n v="13"/>
    <n v="37.5"/>
    <s v="Yes"/>
    <n v="37"/>
    <s v="Man"/>
    <s v="Single"/>
    <x v="2"/>
    <n v="19"/>
    <s v="Certificate or Diploma"/>
    <s v="Medical"/>
    <n v="3"/>
    <n v="0"/>
    <n v="10"/>
    <n v="2"/>
    <n v="10"/>
    <n v="0"/>
    <n v="0"/>
    <n v="9"/>
    <x v="2"/>
    <d v="2022-11-03T00:00:00"/>
    <x v="0"/>
    <s v="Involuntary"/>
    <x v="3"/>
    <x v="3"/>
    <x v="0"/>
    <x v="0"/>
    <x v="2"/>
  </r>
  <r>
    <x v="762"/>
    <s v="No"/>
    <x v="1"/>
    <s v="Manager, R&amp;D"/>
    <x v="1"/>
    <x v="0"/>
    <n v="4"/>
    <n v="227088"/>
    <n v="11"/>
    <n v="37.5"/>
    <s v="No"/>
    <n v="50"/>
    <s v="Man"/>
    <s v="Divorced"/>
    <x v="2"/>
    <n v="2"/>
    <s v="Master's Degree"/>
    <s v="Life Sciences"/>
    <n v="3"/>
    <n v="1"/>
    <n v="31"/>
    <n v="3"/>
    <n v="31"/>
    <n v="6"/>
    <n v="14"/>
    <n v="7"/>
    <x v="2"/>
    <d v="2023-11-17T00:00:00"/>
    <x v="0"/>
    <s v="Voluntary"/>
    <x v="3"/>
    <x v="2"/>
    <x v="0"/>
    <x v="0"/>
    <x v="6"/>
  </r>
  <r>
    <x v="763"/>
    <s v="No"/>
    <x v="1"/>
    <s v="HR Operations Specialist"/>
    <x v="0"/>
    <x v="2"/>
    <n v="4"/>
    <n v="51324"/>
    <n v="11"/>
    <n v="37.5"/>
    <s v="Yes"/>
    <n v="33"/>
    <s v="Man"/>
    <s v="Divorced"/>
    <x v="0"/>
    <n v="3"/>
    <s v="Certificate or Diploma"/>
    <s v="Human Resources"/>
    <n v="3"/>
    <n v="1"/>
    <n v="7"/>
    <n v="4"/>
    <n v="4"/>
    <n v="3"/>
    <n v="0"/>
    <n v="3"/>
    <x v="1"/>
    <d v="2023-08-21T00:00:00"/>
    <x v="0"/>
    <s v="Voluntary"/>
    <x v="0"/>
    <x v="3"/>
    <x v="1"/>
    <x v="2"/>
    <x v="5"/>
  </r>
  <r>
    <x v="764"/>
    <s v="No"/>
    <x v="1"/>
    <s v="Research Scientist"/>
    <x v="0"/>
    <x v="0"/>
    <n v="4"/>
    <n v="54708"/>
    <n v="13"/>
    <n v="37.5"/>
    <s v="Yes"/>
    <n v="44"/>
    <s v="Man"/>
    <s v="Married"/>
    <x v="0"/>
    <n v="9"/>
    <s v="Certificate or Diploma"/>
    <s v="Life Sciences"/>
    <n v="3"/>
    <n v="0"/>
    <n v="8"/>
    <n v="0"/>
    <n v="8"/>
    <n v="7"/>
    <n v="7"/>
    <n v="1"/>
    <x v="1"/>
    <d v="2023-10-31T00:00:00"/>
    <x v="0"/>
    <s v="Involuntary"/>
    <x v="1"/>
    <x v="2"/>
    <x v="0"/>
    <x v="0"/>
    <x v="2"/>
  </r>
  <r>
    <x v="765"/>
    <s v="No"/>
    <x v="1"/>
    <s v="Sales Executive"/>
    <x v="0"/>
    <x v="1"/>
    <n v="7"/>
    <n v="70896"/>
    <n v="14"/>
    <n v="37.5"/>
    <s v="No"/>
    <n v="28"/>
    <s v="Man"/>
    <s v="Single"/>
    <x v="0"/>
    <n v="5"/>
    <s v="Master's Degree"/>
    <s v="Medical"/>
    <n v="3"/>
    <n v="0"/>
    <n v="4"/>
    <n v="3"/>
    <n v="4"/>
    <n v="2"/>
    <n v="0"/>
    <n v="2"/>
    <x v="1"/>
    <d v="2022-09-16T00:00:00"/>
    <x v="0"/>
    <s v="Involuntary"/>
    <x v="3"/>
    <x v="1"/>
    <x v="2"/>
    <x v="0"/>
    <x v="2"/>
  </r>
  <r>
    <x v="766"/>
    <s v="No"/>
    <x v="1"/>
    <s v="Healthcare Representative"/>
    <x v="0"/>
    <x v="0"/>
    <n v="8"/>
    <n v="91032"/>
    <n v="17"/>
    <n v="37.5"/>
    <s v="Yes"/>
    <n v="36"/>
    <s v="Man"/>
    <s v="Married"/>
    <x v="0"/>
    <n v="14"/>
    <s v="Trades Apprenticeship"/>
    <s v="Life Sciences"/>
    <n v="3"/>
    <n v="1"/>
    <n v="17"/>
    <n v="2"/>
    <n v="16"/>
    <n v="8"/>
    <n v="4"/>
    <n v="11"/>
    <x v="2"/>
    <d v="2025-09-03T00:00:00"/>
    <x v="1"/>
    <s v="Involuntary"/>
    <x v="2"/>
    <x v="1"/>
    <x v="3"/>
    <x v="1"/>
    <x v="2"/>
  </r>
  <r>
    <x v="767"/>
    <s v="No"/>
    <x v="1"/>
    <s v="Laboratory Technician"/>
    <x v="0"/>
    <x v="0"/>
    <n v="3"/>
    <n v="48096"/>
    <n v="14"/>
    <n v="37.5"/>
    <s v="No"/>
    <n v="34"/>
    <s v="Man"/>
    <s v="Divorced"/>
    <x v="0"/>
    <n v="10"/>
    <s v="Bachelor's Degree"/>
    <s v="Life Sciences"/>
    <n v="3"/>
    <n v="2"/>
    <n v="1"/>
    <n v="3"/>
    <n v="1"/>
    <n v="0"/>
    <n v="1"/>
    <n v="0"/>
    <x v="0"/>
    <d v="2024-06-28T00:00:00"/>
    <x v="1"/>
    <s v="Involuntary"/>
    <x v="1"/>
    <x v="3"/>
    <x v="2"/>
    <x v="0"/>
    <x v="6"/>
  </r>
  <r>
    <x v="768"/>
    <s v="No"/>
    <x v="1"/>
    <s v="Research Scientist"/>
    <x v="0"/>
    <x v="0"/>
    <n v="5"/>
    <n v="57588"/>
    <n v="11"/>
    <n v="37.5"/>
    <s v="Yes"/>
    <n v="33"/>
    <s v="Man"/>
    <s v="Single"/>
    <x v="0"/>
    <n v="1"/>
    <s v="Master's Degree"/>
    <s v="Other"/>
    <n v="3"/>
    <n v="0"/>
    <n v="6"/>
    <n v="1"/>
    <n v="3"/>
    <n v="2"/>
    <n v="0"/>
    <n v="2"/>
    <x v="1"/>
    <d v="2022-06-14T00:00:00"/>
    <x v="0"/>
    <s v="Voluntary"/>
    <x v="2"/>
    <x v="2"/>
    <x v="2"/>
    <x v="0"/>
    <x v="6"/>
  </r>
  <r>
    <x v="769"/>
    <s v="No"/>
    <x v="1"/>
    <s v="Sales Executive"/>
    <x v="0"/>
    <x v="1"/>
    <n v="6"/>
    <n v="68832"/>
    <n v="12"/>
    <n v="37.5"/>
    <s v="Yes"/>
    <n v="30"/>
    <s v="Woman"/>
    <s v="Married"/>
    <x v="2"/>
    <n v="25"/>
    <s v="Certificate or Diploma"/>
    <s v="Technical Degree"/>
    <n v="3"/>
    <n v="1"/>
    <n v="4"/>
    <n v="2"/>
    <n v="2"/>
    <n v="2"/>
    <n v="2"/>
    <n v="2"/>
    <x v="0"/>
    <d v="2022-11-12T00:00:00"/>
    <x v="0"/>
    <s v="Involuntary"/>
    <x v="0"/>
    <x v="0"/>
    <x v="2"/>
    <x v="2"/>
    <x v="5"/>
  </r>
  <r>
    <x v="770"/>
    <s v="No"/>
    <x v="1"/>
    <s v="Sales Representative"/>
    <x v="0"/>
    <x v="1"/>
    <n v="4"/>
    <n v="51948"/>
    <n v="15"/>
    <n v="37.5"/>
    <s v="No"/>
    <n v="31"/>
    <s v="Man"/>
    <s v="Married"/>
    <x v="0"/>
    <n v="7"/>
    <s v="Master's Degree"/>
    <s v="Life Sciences"/>
    <n v="3"/>
    <n v="0"/>
    <n v="13"/>
    <n v="2"/>
    <n v="7"/>
    <n v="7"/>
    <n v="5"/>
    <n v="2"/>
    <x v="1"/>
    <d v="2023-11-06T00:00:00"/>
    <x v="0"/>
    <s v="Involuntary"/>
    <x v="1"/>
    <x v="0"/>
    <x v="2"/>
    <x v="2"/>
    <x v="1"/>
  </r>
  <r>
    <x v="771"/>
    <s v="No"/>
    <x v="1"/>
    <s v="Research Scientist"/>
    <x v="0"/>
    <x v="0"/>
    <n v="6"/>
    <n v="68868"/>
    <n v="12"/>
    <n v="37.5"/>
    <s v="No"/>
    <n v="43"/>
    <s v="Woman"/>
    <s v="Single"/>
    <x v="1"/>
    <n v="28"/>
    <s v="Bachelor's Degree"/>
    <s v="Medical"/>
    <n v="3"/>
    <n v="0"/>
    <n v="18"/>
    <n v="2"/>
    <n v="3"/>
    <n v="2"/>
    <n v="1"/>
    <n v="2"/>
    <x v="1"/>
    <d v="2023-09-26T00:00:00"/>
    <x v="0"/>
    <s v="Involuntary"/>
    <x v="1"/>
    <x v="0"/>
    <x v="0"/>
    <x v="0"/>
    <x v="4"/>
  </r>
  <r>
    <x v="772"/>
    <s v="No"/>
    <x v="1"/>
    <s v="Research Scientist"/>
    <x v="0"/>
    <x v="0"/>
    <n v="4"/>
    <n v="51108"/>
    <n v="17"/>
    <n v="37.5"/>
    <s v="No"/>
    <n v="48"/>
    <s v="Man"/>
    <s v="Married"/>
    <x v="0"/>
    <n v="20"/>
    <s v="Master's Degree"/>
    <s v="Medical"/>
    <n v="3"/>
    <n v="2"/>
    <n v="13"/>
    <n v="2"/>
    <n v="0"/>
    <n v="0"/>
    <n v="0"/>
    <n v="0"/>
    <x v="0"/>
    <d v="2024-01-15T00:00:00"/>
    <x v="1"/>
    <s v="Involuntary"/>
    <x v="0"/>
    <x v="0"/>
    <x v="3"/>
    <x v="1"/>
    <x v="2"/>
  </r>
  <r>
    <x v="773"/>
    <s v="No"/>
    <x v="1"/>
    <s v="Research Scientist"/>
    <x v="0"/>
    <x v="0"/>
    <n v="6"/>
    <n v="68136"/>
    <n v="18"/>
    <n v="37.5"/>
    <s v="No"/>
    <n v="36"/>
    <s v="Man"/>
    <s v="Single"/>
    <x v="0"/>
    <n v="7"/>
    <s v="Master's Degree"/>
    <s v="Other"/>
    <n v="3"/>
    <n v="0"/>
    <n v="8"/>
    <n v="6"/>
    <n v="6"/>
    <n v="2"/>
    <n v="0"/>
    <n v="1"/>
    <x v="1"/>
    <d v="2022-07-31T00:00:00"/>
    <x v="0"/>
    <s v="Involuntary"/>
    <x v="1"/>
    <x v="1"/>
    <x v="1"/>
    <x v="0"/>
    <x v="4"/>
  </r>
  <r>
    <x v="774"/>
    <s v="No"/>
    <x v="1"/>
    <s v="Laboratory Technician"/>
    <x v="0"/>
    <x v="0"/>
    <n v="6"/>
    <n v="69060"/>
    <n v="11"/>
    <n v="37.5"/>
    <s v="No"/>
    <n v="39"/>
    <s v="Woman"/>
    <s v="Married"/>
    <x v="1"/>
    <n v="8"/>
    <s v="Trades Apprenticeship"/>
    <s v="Life Sciences"/>
    <n v="3"/>
    <n v="1"/>
    <n v="8"/>
    <n v="3"/>
    <n v="8"/>
    <n v="3"/>
    <n v="0"/>
    <n v="7"/>
    <x v="1"/>
    <d v="2025-05-01T00:00:00"/>
    <x v="1"/>
    <s v="Involuntary"/>
    <x v="2"/>
    <x v="0"/>
    <x v="3"/>
    <x v="0"/>
    <x v="2"/>
  </r>
  <r>
    <x v="775"/>
    <s v="No"/>
    <x v="1"/>
    <s v="Sales Executive"/>
    <x v="0"/>
    <x v="1"/>
    <n v="9"/>
    <n v="128460"/>
    <n v="12"/>
    <n v="37.5"/>
    <s v="No"/>
    <n v="40"/>
    <s v="Man"/>
    <s v="Divorced"/>
    <x v="0"/>
    <n v="10"/>
    <s v="Master's Degree"/>
    <s v="Marketing"/>
    <n v="3"/>
    <n v="1"/>
    <n v="11"/>
    <n v="2"/>
    <n v="1"/>
    <n v="0"/>
    <n v="0"/>
    <n v="0"/>
    <x v="0"/>
    <d v="2025-09-25T00:00:00"/>
    <x v="1"/>
    <s v="Involuntary"/>
    <x v="3"/>
    <x v="3"/>
    <x v="2"/>
    <x v="1"/>
    <x v="3"/>
  </r>
  <r>
    <x v="776"/>
    <s v="No"/>
    <x v="1"/>
    <s v="Research Scientist"/>
    <x v="0"/>
    <x v="0"/>
    <n v="6"/>
    <n v="69120"/>
    <n v="15"/>
    <n v="37.5"/>
    <s v="No"/>
    <n v="29"/>
    <s v="Woman"/>
    <s v="Divorced"/>
    <x v="0"/>
    <n v="1"/>
    <s v="Bachelor's Degree"/>
    <s v="Life Sciences"/>
    <n v="3"/>
    <n v="3"/>
    <n v="3"/>
    <n v="5"/>
    <n v="3"/>
    <n v="2"/>
    <n v="1"/>
    <n v="2"/>
    <x v="1"/>
    <d v="2022-02-22T00:00:00"/>
    <x v="0"/>
    <s v="Involuntary"/>
    <x v="3"/>
    <x v="1"/>
    <x v="3"/>
    <x v="0"/>
    <x v="6"/>
  </r>
  <r>
    <x v="777"/>
    <s v="No"/>
    <x v="1"/>
    <s v="Research Scientist"/>
    <x v="0"/>
    <x v="0"/>
    <n v="6"/>
    <n v="69120"/>
    <n v="13"/>
    <n v="37.5"/>
    <s v="Yes"/>
    <n v="24"/>
    <s v="Woman"/>
    <s v="Single"/>
    <x v="1"/>
    <n v="2"/>
    <s v="Trades Apprenticeship"/>
    <s v="Technical Degree"/>
    <n v="3"/>
    <n v="0"/>
    <n v="6"/>
    <n v="2"/>
    <n v="6"/>
    <n v="3"/>
    <n v="1"/>
    <n v="3"/>
    <x v="1"/>
    <d v="2023-03-21T00:00:00"/>
    <x v="0"/>
    <s v="Involuntary"/>
    <x v="3"/>
    <x v="1"/>
    <x v="1"/>
    <x v="0"/>
    <x v="1"/>
  </r>
  <r>
    <x v="778"/>
    <s v="No"/>
    <x v="1"/>
    <s v="Sales Executive"/>
    <x v="0"/>
    <x v="1"/>
    <n v="6"/>
    <n v="63528"/>
    <n v="12"/>
    <n v="37.5"/>
    <s v="No"/>
    <n v="26"/>
    <s v="Man"/>
    <s v="Single"/>
    <x v="1"/>
    <n v="1"/>
    <s v="Bachelor's Degree"/>
    <s v="Medical"/>
    <n v="3"/>
    <n v="0"/>
    <n v="7"/>
    <n v="2"/>
    <n v="7"/>
    <n v="7"/>
    <n v="0"/>
    <n v="7"/>
    <x v="1"/>
    <d v="2024-04-07T00:00:00"/>
    <x v="1"/>
    <s v="Involuntary"/>
    <x v="2"/>
    <x v="2"/>
    <x v="2"/>
    <x v="0"/>
    <x v="6"/>
  </r>
  <r>
    <x v="779"/>
    <s v="No"/>
    <x v="1"/>
    <s v="Manufacturing Director"/>
    <x v="1"/>
    <x v="0"/>
    <n v="6"/>
    <n v="69180"/>
    <n v="21"/>
    <n v="37.5"/>
    <s v="No"/>
    <n v="43"/>
    <s v="Woman"/>
    <s v="Divorced"/>
    <x v="0"/>
    <n v="8"/>
    <s v="Bachelor's Degree"/>
    <s v="Life Sciences"/>
    <n v="4"/>
    <n v="1"/>
    <n v="4"/>
    <n v="2"/>
    <n v="1"/>
    <n v="0"/>
    <n v="0"/>
    <n v="0"/>
    <x v="0"/>
    <d v="2024-05-06T00:00:00"/>
    <x v="1"/>
    <s v="Voluntary"/>
    <x v="3"/>
    <x v="3"/>
    <x v="1"/>
    <x v="2"/>
    <x v="2"/>
  </r>
  <r>
    <x v="780"/>
    <s v="No"/>
    <x v="1"/>
    <s v="Laboratory Technician"/>
    <x v="0"/>
    <x v="0"/>
    <n v="6"/>
    <n v="68652"/>
    <n v="13"/>
    <n v="37.5"/>
    <s v="Yes"/>
    <n v="41"/>
    <s v="Man"/>
    <s v="Single"/>
    <x v="0"/>
    <n v="6"/>
    <s v="Bachelor's Degree"/>
    <s v="Medical"/>
    <n v="3"/>
    <n v="0"/>
    <n v="20"/>
    <n v="3"/>
    <n v="18"/>
    <n v="13"/>
    <n v="2"/>
    <n v="17"/>
    <x v="2"/>
    <d v="2022-07-08T00:00:00"/>
    <x v="0"/>
    <s v="Involuntary"/>
    <x v="0"/>
    <x v="2"/>
    <x v="1"/>
    <x v="0"/>
    <x v="1"/>
  </r>
  <r>
    <x v="781"/>
    <s v="No"/>
    <x v="1"/>
    <s v="Sales Executive"/>
    <x v="0"/>
    <x v="1"/>
    <n v="6"/>
    <n v="69216"/>
    <n v="12"/>
    <n v="37.5"/>
    <s v="No"/>
    <n v="44"/>
    <s v="Woman"/>
    <s v="Married"/>
    <x v="1"/>
    <n v="1"/>
    <s v="Doctorate"/>
    <s v="Marketing"/>
    <n v="3"/>
    <n v="1"/>
    <n v="11"/>
    <n v="4"/>
    <n v="1"/>
    <n v="0"/>
    <n v="0"/>
    <n v="0"/>
    <x v="0"/>
    <d v="2023-03-22T00:00:00"/>
    <x v="0"/>
    <s v="Involuntary"/>
    <x v="3"/>
    <x v="0"/>
    <x v="1"/>
    <x v="1"/>
    <x v="6"/>
  </r>
  <r>
    <x v="782"/>
    <s v="No"/>
    <x v="1"/>
    <s v="Laboratory Technician"/>
    <x v="0"/>
    <x v="0"/>
    <n v="4"/>
    <n v="54228"/>
    <n v="21"/>
    <n v="37.5"/>
    <s v="No"/>
    <n v="36"/>
    <s v="Man"/>
    <s v="Single"/>
    <x v="0"/>
    <n v="2"/>
    <s v="Master's Degree"/>
    <s v="Medical"/>
    <n v="4"/>
    <n v="0"/>
    <n v="16"/>
    <n v="6"/>
    <n v="11"/>
    <n v="8"/>
    <n v="3"/>
    <n v="9"/>
    <x v="2"/>
    <d v="2023-06-25T00:00:00"/>
    <x v="0"/>
    <s v="Voluntary"/>
    <x v="2"/>
    <x v="0"/>
    <x v="1"/>
    <x v="0"/>
    <x v="4"/>
  </r>
  <r>
    <x v="783"/>
    <s v="No"/>
    <x v="1"/>
    <s v="Research Scientist"/>
    <x v="0"/>
    <x v="0"/>
    <n v="6"/>
    <n v="69288"/>
    <n v="19"/>
    <n v="37.5"/>
    <s v="No"/>
    <n v="27"/>
    <s v="Woman"/>
    <s v="Married"/>
    <x v="1"/>
    <n v="15"/>
    <s v="Bachelor's Degree"/>
    <s v="Life Sciences"/>
    <n v="3"/>
    <n v="1"/>
    <n v="8"/>
    <n v="2"/>
    <n v="7"/>
    <n v="6"/>
    <n v="7"/>
    <n v="3"/>
    <x v="1"/>
    <d v="2023-11-29T00:00:00"/>
    <x v="0"/>
    <s v="Involuntary"/>
    <x v="0"/>
    <x v="2"/>
    <x v="0"/>
    <x v="1"/>
    <x v="1"/>
  </r>
  <r>
    <x v="784"/>
    <s v="No"/>
    <x v="1"/>
    <s v="Sales Executive"/>
    <x v="0"/>
    <x v="1"/>
    <n v="6"/>
    <n v="69348"/>
    <n v="20"/>
    <n v="37.5"/>
    <s v="Yes"/>
    <n v="28"/>
    <s v="Woman"/>
    <s v="Married"/>
    <x v="0"/>
    <n v="2"/>
    <s v="Master's Degree"/>
    <s v="Marketing"/>
    <n v="4"/>
    <n v="0"/>
    <n v="8"/>
    <n v="2"/>
    <n v="8"/>
    <n v="7"/>
    <n v="7"/>
    <n v="5"/>
    <x v="1"/>
    <d v="2023-09-21T00:00:00"/>
    <x v="0"/>
    <s v="Voluntary"/>
    <x v="1"/>
    <x v="3"/>
    <x v="3"/>
    <x v="0"/>
    <x v="8"/>
  </r>
  <r>
    <x v="785"/>
    <s v="No"/>
    <x v="1"/>
    <s v="Sales Executive"/>
    <x v="0"/>
    <x v="1"/>
    <n v="6"/>
    <n v="69348"/>
    <n v="14"/>
    <n v="37.5"/>
    <s v="No"/>
    <n v="30"/>
    <s v="Woman"/>
    <s v="Divorced"/>
    <x v="0"/>
    <n v="7"/>
    <s v="Master's Degree"/>
    <s v="Marketing"/>
    <n v="3"/>
    <n v="2"/>
    <n v="8"/>
    <n v="3"/>
    <n v="3"/>
    <n v="2"/>
    <n v="0"/>
    <n v="2"/>
    <x v="1"/>
    <d v="2023-03-22T00:00:00"/>
    <x v="0"/>
    <s v="Voluntary"/>
    <x v="0"/>
    <x v="2"/>
    <x v="2"/>
    <x v="0"/>
    <x v="2"/>
  </r>
  <r>
    <x v="786"/>
    <s v="No"/>
    <x v="1"/>
    <s v="Laboratory Technician"/>
    <x v="0"/>
    <x v="0"/>
    <n v="6"/>
    <n v="69360"/>
    <n v="11"/>
    <n v="37.5"/>
    <s v="No"/>
    <n v="54"/>
    <s v="Woman"/>
    <s v="Single"/>
    <x v="0"/>
    <n v="8"/>
    <s v="Master's Degree"/>
    <s v="Life Sciences"/>
    <n v="3"/>
    <n v="0"/>
    <n v="19"/>
    <n v="3"/>
    <n v="1"/>
    <n v="0"/>
    <n v="0"/>
    <n v="0"/>
    <x v="0"/>
    <d v="2024-08-29T00:00:00"/>
    <x v="1"/>
    <s v="Voluntary"/>
    <x v="2"/>
    <x v="0"/>
    <x v="1"/>
    <x v="0"/>
    <x v="4"/>
  </r>
  <r>
    <x v="787"/>
    <s v="No"/>
    <x v="1"/>
    <s v="Research Scientist"/>
    <x v="0"/>
    <x v="0"/>
    <n v="6"/>
    <n v="69420"/>
    <n v="14"/>
    <n v="37.5"/>
    <s v="No"/>
    <n v="29"/>
    <s v="Woman"/>
    <s v="Single"/>
    <x v="0"/>
    <n v="28"/>
    <s v="Master's Degree"/>
    <s v="Medical"/>
    <n v="3"/>
    <n v="0"/>
    <n v="5"/>
    <n v="3"/>
    <n v="5"/>
    <n v="4"/>
    <n v="0"/>
    <n v="4"/>
    <x v="1"/>
    <d v="2024-05-23T00:00:00"/>
    <x v="1"/>
    <s v="Involuntary"/>
    <x v="0"/>
    <x v="2"/>
    <x v="2"/>
    <x v="3"/>
    <x v="8"/>
  </r>
  <r>
    <x v="788"/>
    <s v="No"/>
    <x v="1"/>
    <s v="Manufacturing Director"/>
    <x v="1"/>
    <x v="0"/>
    <n v="6"/>
    <n v="69456"/>
    <n v="11"/>
    <n v="37.5"/>
    <s v="Yes"/>
    <n v="35"/>
    <s v="Woman"/>
    <s v="Married"/>
    <x v="0"/>
    <n v="16"/>
    <s v="Certificate or Diploma"/>
    <s v="Other"/>
    <n v="3"/>
    <n v="0"/>
    <n v="4"/>
    <n v="2"/>
    <n v="3"/>
    <n v="2"/>
    <n v="0"/>
    <n v="2"/>
    <x v="1"/>
    <d v="2023-11-28T00:00:00"/>
    <x v="0"/>
    <s v="Voluntary"/>
    <x v="0"/>
    <x v="3"/>
    <x v="0"/>
    <x v="0"/>
    <x v="5"/>
  </r>
  <r>
    <x v="789"/>
    <s v="No"/>
    <x v="1"/>
    <s v="Laboratory Technician"/>
    <x v="0"/>
    <x v="0"/>
    <n v="6"/>
    <n v="69468"/>
    <n v="25"/>
    <n v="37.5"/>
    <s v="No"/>
    <n v="49"/>
    <s v="Woman"/>
    <s v="Married"/>
    <x v="0"/>
    <n v="3"/>
    <s v="Certificate or Diploma"/>
    <s v="Medical"/>
    <n v="4"/>
    <n v="1"/>
    <n v="10"/>
    <n v="3"/>
    <n v="3"/>
    <n v="2"/>
    <n v="1"/>
    <n v="2"/>
    <x v="1"/>
    <d v="2025-08-07T00:00:00"/>
    <x v="1"/>
    <s v="Voluntary"/>
    <x v="2"/>
    <x v="2"/>
    <x v="3"/>
    <x v="0"/>
    <x v="8"/>
  </r>
  <r>
    <x v="790"/>
    <s v="No"/>
    <x v="1"/>
    <s v="Research Scientist"/>
    <x v="0"/>
    <x v="0"/>
    <n v="6"/>
    <n v="67404"/>
    <n v="14"/>
    <n v="37.5"/>
    <s v="Yes"/>
    <n v="40"/>
    <s v="Man"/>
    <s v="Divorced"/>
    <x v="1"/>
    <n v="9"/>
    <s v="Master's Degree"/>
    <s v="Medical"/>
    <n v="3"/>
    <n v="1"/>
    <n v="3"/>
    <n v="2"/>
    <n v="1"/>
    <n v="1"/>
    <n v="0"/>
    <n v="0"/>
    <x v="0"/>
    <d v="2023-06-06T00:00:00"/>
    <x v="0"/>
    <s v="Involuntary"/>
    <x v="0"/>
    <x v="3"/>
    <x v="0"/>
    <x v="0"/>
    <x v="5"/>
  </r>
  <r>
    <x v="791"/>
    <s v="No"/>
    <x v="1"/>
    <s v="Research Scientist"/>
    <x v="0"/>
    <x v="0"/>
    <n v="6"/>
    <n v="69708"/>
    <n v="14"/>
    <n v="37.5"/>
    <s v="No"/>
    <n v="34"/>
    <s v="Woman"/>
    <s v="Single"/>
    <x v="0"/>
    <n v="6"/>
    <s v="Master's Degree"/>
    <s v="Other"/>
    <n v="3"/>
    <n v="0"/>
    <n v="16"/>
    <n v="3"/>
    <n v="16"/>
    <n v="13"/>
    <n v="2"/>
    <n v="10"/>
    <x v="2"/>
    <d v="2024-01-07T00:00:00"/>
    <x v="1"/>
    <s v="Involuntary"/>
    <x v="3"/>
    <x v="0"/>
    <x v="1"/>
    <x v="0"/>
    <x v="2"/>
  </r>
  <r>
    <x v="792"/>
    <s v="No"/>
    <x v="1"/>
    <s v="Manufacturing Director"/>
    <x v="1"/>
    <x v="0"/>
    <n v="6"/>
    <n v="69720"/>
    <n v="14"/>
    <n v="37.5"/>
    <s v="No"/>
    <n v="46"/>
    <s v="Woman"/>
    <s v="Divorced"/>
    <x v="0"/>
    <n v="18"/>
    <s v="Bachelor's Degree"/>
    <s v="Medical"/>
    <n v="3"/>
    <n v="1"/>
    <n v="19"/>
    <n v="5"/>
    <n v="10"/>
    <n v="7"/>
    <n v="0"/>
    <n v="8"/>
    <x v="2"/>
    <d v="2022-03-08T00:00:00"/>
    <x v="0"/>
    <s v="Voluntary"/>
    <x v="2"/>
    <x v="0"/>
    <x v="1"/>
    <x v="1"/>
    <x v="1"/>
  </r>
  <r>
    <x v="793"/>
    <s v="No"/>
    <x v="1"/>
    <s v="Laboratory Technician"/>
    <x v="0"/>
    <x v="0"/>
    <n v="6"/>
    <n v="65364"/>
    <n v="12"/>
    <n v="37.5"/>
    <s v="No"/>
    <n v="45"/>
    <s v="Man"/>
    <s v="Married"/>
    <x v="2"/>
    <n v="4"/>
    <s v="Certificate or Diploma"/>
    <s v="Life Sciences"/>
    <n v="3"/>
    <n v="0"/>
    <n v="9"/>
    <n v="5"/>
    <n v="9"/>
    <n v="7"/>
    <n v="0"/>
    <n v="8"/>
    <x v="1"/>
    <d v="2022-06-05T00:00:00"/>
    <x v="0"/>
    <s v="Voluntary"/>
    <x v="2"/>
    <x v="3"/>
    <x v="2"/>
    <x v="1"/>
    <x v="6"/>
  </r>
  <r>
    <x v="794"/>
    <s v="No"/>
    <x v="1"/>
    <s v="Manager, R&amp;D"/>
    <x v="1"/>
    <x v="0"/>
    <n v="4"/>
    <n v="217188"/>
    <n v="15"/>
    <n v="37.5"/>
    <s v="No"/>
    <n v="52"/>
    <s v="Man"/>
    <s v="Married"/>
    <x v="0"/>
    <n v="1"/>
    <s v="Certificate or Diploma"/>
    <s v="Life Sciences"/>
    <n v="3"/>
    <n v="1"/>
    <n v="26"/>
    <n v="2"/>
    <n v="9"/>
    <n v="8"/>
    <n v="7"/>
    <n v="8"/>
    <x v="1"/>
    <d v="2023-03-29T00:00:00"/>
    <x v="0"/>
    <s v="Voluntary"/>
    <x v="0"/>
    <x v="1"/>
    <x v="2"/>
    <x v="1"/>
    <x v="4"/>
  </r>
  <r>
    <x v="795"/>
    <s v="No"/>
    <x v="1"/>
    <s v="Manager, Sales"/>
    <x v="1"/>
    <x v="1"/>
    <n v="4"/>
    <n v="190224"/>
    <n v="13"/>
    <n v="37.5"/>
    <s v="No"/>
    <n v="53"/>
    <s v="Man"/>
    <s v="Divorced"/>
    <x v="0"/>
    <n v="2"/>
    <s v="Certificate or Diploma"/>
    <s v="Medical"/>
    <n v="3"/>
    <n v="1"/>
    <n v="22"/>
    <n v="3"/>
    <n v="17"/>
    <n v="13"/>
    <n v="15"/>
    <n v="2"/>
    <x v="2"/>
    <d v="2023-02-27T00:00:00"/>
    <x v="0"/>
    <s v="Voluntary"/>
    <x v="2"/>
    <x v="0"/>
    <x v="1"/>
    <x v="2"/>
    <x v="5"/>
  </r>
  <r>
    <x v="796"/>
    <s v="No"/>
    <x v="1"/>
    <s v="Laboratory Technician"/>
    <x v="0"/>
    <x v="0"/>
    <n v="7"/>
    <n v="70056"/>
    <n v="11"/>
    <n v="37.5"/>
    <s v="No"/>
    <n v="33"/>
    <s v="Woman"/>
    <s v="Married"/>
    <x v="0"/>
    <n v="4"/>
    <s v="Master's Degree"/>
    <s v="Medical"/>
    <n v="3"/>
    <n v="0"/>
    <n v="8"/>
    <n v="5"/>
    <n v="5"/>
    <n v="4"/>
    <n v="0"/>
    <n v="2"/>
    <x v="1"/>
    <d v="2025-10-12T00:00:00"/>
    <x v="1"/>
    <s v="Involuntary"/>
    <x v="3"/>
    <x v="3"/>
    <x v="0"/>
    <x v="0"/>
    <x v="2"/>
  </r>
  <r>
    <x v="797"/>
    <s v="No"/>
    <x v="1"/>
    <s v="Sales Executive"/>
    <x v="0"/>
    <x v="1"/>
    <n v="8"/>
    <n v="99168"/>
    <n v="11"/>
    <n v="37.5"/>
    <s v="No"/>
    <n v="30"/>
    <s v="Man"/>
    <s v="Divorced"/>
    <x v="0"/>
    <n v="8"/>
    <s v="Certificate or Diploma"/>
    <s v="Other"/>
    <n v="3"/>
    <n v="1"/>
    <n v="10"/>
    <n v="2"/>
    <n v="8"/>
    <n v="4"/>
    <n v="7"/>
    <n v="7"/>
    <x v="1"/>
    <d v="2022-10-18T00:00:00"/>
    <x v="0"/>
    <s v="Voluntary"/>
    <x v="2"/>
    <x v="0"/>
    <x v="3"/>
    <x v="2"/>
    <x v="1"/>
  </r>
  <r>
    <x v="798"/>
    <s v="No"/>
    <x v="1"/>
    <s v="Sales Executive"/>
    <x v="0"/>
    <x v="1"/>
    <n v="7"/>
    <n v="70200"/>
    <n v="15"/>
    <n v="37.5"/>
    <s v="No"/>
    <n v="45"/>
    <s v="Woman"/>
    <s v="Single"/>
    <x v="0"/>
    <n v="20"/>
    <s v="Bachelor's Degree"/>
    <s v="Life Sciences"/>
    <n v="3"/>
    <n v="0"/>
    <n v="8"/>
    <n v="3"/>
    <n v="5"/>
    <n v="3"/>
    <n v="0"/>
    <n v="1"/>
    <x v="1"/>
    <d v="2025-03-14T00:00:00"/>
    <x v="1"/>
    <s v="Involuntary"/>
    <x v="0"/>
    <x v="0"/>
    <x v="1"/>
    <x v="0"/>
    <x v="5"/>
  </r>
  <r>
    <x v="799"/>
    <s v="No"/>
    <x v="1"/>
    <s v="Sales Executive"/>
    <x v="0"/>
    <x v="1"/>
    <n v="9"/>
    <n v="105876"/>
    <n v="13"/>
    <n v="37.5"/>
    <s v="No"/>
    <n v="35"/>
    <s v="Man"/>
    <s v="Divorced"/>
    <x v="0"/>
    <n v="3"/>
    <s v="Master's Degree"/>
    <s v="Life Sciences"/>
    <n v="3"/>
    <n v="1"/>
    <n v="12"/>
    <n v="2"/>
    <n v="10"/>
    <n v="9"/>
    <n v="0"/>
    <n v="8"/>
    <x v="2"/>
    <d v="2025-03-04T00:00:00"/>
    <x v="1"/>
    <s v="Involuntary"/>
    <x v="0"/>
    <x v="1"/>
    <x v="2"/>
    <x v="0"/>
    <x v="5"/>
  </r>
  <r>
    <x v="800"/>
    <s v="No"/>
    <x v="1"/>
    <s v="Sales Executive"/>
    <x v="0"/>
    <x v="1"/>
    <n v="9"/>
    <n v="106560"/>
    <n v="18"/>
    <n v="37.5"/>
    <s v="No"/>
    <n v="39"/>
    <s v="Man"/>
    <s v="Single"/>
    <x v="0"/>
    <n v="2"/>
    <s v="Doctorate"/>
    <s v="Life Sciences"/>
    <n v="3"/>
    <n v="0"/>
    <n v="9"/>
    <n v="3"/>
    <n v="8"/>
    <n v="7"/>
    <n v="0"/>
    <n v="7"/>
    <x v="1"/>
    <d v="2024-04-06T00:00:00"/>
    <x v="1"/>
    <s v="Voluntary"/>
    <x v="3"/>
    <x v="0"/>
    <x v="0"/>
    <x v="0"/>
    <x v="1"/>
  </r>
  <r>
    <x v="801"/>
    <s v="No"/>
    <x v="1"/>
    <s v="Sales Executive"/>
    <x v="0"/>
    <x v="1"/>
    <n v="7"/>
    <n v="70308"/>
    <n v="16"/>
    <n v="37.5"/>
    <s v="No"/>
    <n v="35"/>
    <s v="Woman"/>
    <s v="Single"/>
    <x v="0"/>
    <n v="1"/>
    <s v="Bachelor's Degree"/>
    <s v="Medical"/>
    <n v="3"/>
    <n v="0"/>
    <n v="5"/>
    <n v="3"/>
    <n v="5"/>
    <n v="4"/>
    <n v="0"/>
    <n v="3"/>
    <x v="1"/>
    <d v="2025-04-12T00:00:00"/>
    <x v="1"/>
    <s v="Involuntary"/>
    <x v="3"/>
    <x v="0"/>
    <x v="0"/>
    <x v="0"/>
    <x v="1"/>
  </r>
  <r>
    <x v="802"/>
    <s v="No"/>
    <x v="1"/>
    <s v="Manufacturing Director"/>
    <x v="1"/>
    <x v="0"/>
    <n v="7"/>
    <n v="72804"/>
    <n v="19"/>
    <n v="37.5"/>
    <s v="Yes"/>
    <n v="47"/>
    <s v="Man"/>
    <s v="Divorced"/>
    <x v="1"/>
    <n v="16"/>
    <s v="Master's Degree"/>
    <s v="Medical"/>
    <n v="3"/>
    <n v="0"/>
    <n v="20"/>
    <n v="3"/>
    <n v="19"/>
    <n v="10"/>
    <n v="2"/>
    <n v="7"/>
    <x v="2"/>
    <d v="2022-02-27T00:00:00"/>
    <x v="0"/>
    <s v="Voluntary"/>
    <x v="2"/>
    <x v="0"/>
    <x v="1"/>
    <x v="2"/>
    <x v="5"/>
  </r>
  <r>
    <x v="803"/>
    <s v="No"/>
    <x v="1"/>
    <s v="Research Scientist"/>
    <x v="0"/>
    <x v="0"/>
    <n v="7"/>
    <n v="70428"/>
    <n v="12"/>
    <n v="37.5"/>
    <s v="No"/>
    <n v="54"/>
    <s v="Woman"/>
    <s v="Single"/>
    <x v="1"/>
    <n v="20"/>
    <s v="Master's Degree"/>
    <s v="Life Sciences"/>
    <n v="3"/>
    <n v="0"/>
    <n v="20"/>
    <n v="4"/>
    <n v="4"/>
    <n v="3"/>
    <n v="0"/>
    <n v="3"/>
    <x v="1"/>
    <d v="2022-04-14T00:00:00"/>
    <x v="0"/>
    <s v="Voluntary"/>
    <x v="0"/>
    <x v="0"/>
    <x v="0"/>
    <x v="1"/>
    <x v="5"/>
  </r>
  <r>
    <x v="804"/>
    <s v="No"/>
    <x v="1"/>
    <s v="Sales Executive"/>
    <x v="0"/>
    <x v="1"/>
    <n v="7"/>
    <n v="72948"/>
    <n v="13"/>
    <n v="37.5"/>
    <s v="No"/>
    <n v="36"/>
    <s v="Man"/>
    <s v="Divorced"/>
    <x v="2"/>
    <n v="8"/>
    <s v="Master's Degree"/>
    <s v="Technical Degree"/>
    <n v="3"/>
    <n v="2"/>
    <n v="12"/>
    <n v="3"/>
    <n v="7"/>
    <n v="7"/>
    <n v="0"/>
    <n v="7"/>
    <x v="1"/>
    <d v="2025-01-01T00:00:00"/>
    <x v="1"/>
    <s v="Voluntary"/>
    <x v="3"/>
    <x v="1"/>
    <x v="0"/>
    <x v="0"/>
    <x v="4"/>
  </r>
  <r>
    <x v="805"/>
    <s v="No"/>
    <x v="1"/>
    <s v="Manager, Sales"/>
    <x v="1"/>
    <x v="1"/>
    <n v="4"/>
    <n v="221328"/>
    <n v="11"/>
    <n v="37.5"/>
    <s v="No"/>
    <n v="33"/>
    <s v="Man"/>
    <s v="Single"/>
    <x v="2"/>
    <n v="17"/>
    <s v="Bachelor's Degree"/>
    <s v="Life Sciences"/>
    <n v="3"/>
    <n v="0"/>
    <n v="10"/>
    <n v="2"/>
    <n v="10"/>
    <n v="8"/>
    <n v="6"/>
    <n v="0"/>
    <x v="2"/>
    <d v="2025-12-10T00:00:00"/>
    <x v="1"/>
    <s v="Involuntary"/>
    <x v="0"/>
    <x v="0"/>
    <x v="0"/>
    <x v="0"/>
    <x v="0"/>
  </r>
  <r>
    <x v="806"/>
    <s v="No"/>
    <x v="1"/>
    <s v="Manufacturing Director"/>
    <x v="1"/>
    <x v="0"/>
    <n v="7"/>
    <n v="70524"/>
    <n v="21"/>
    <n v="37.5"/>
    <s v="No"/>
    <n v="28"/>
    <s v="Woman"/>
    <s v="Divorced"/>
    <x v="0"/>
    <n v="27"/>
    <s v="Bachelor's Degree"/>
    <s v="Medical"/>
    <n v="4"/>
    <n v="1"/>
    <n v="6"/>
    <n v="5"/>
    <n v="5"/>
    <n v="3"/>
    <n v="0"/>
    <n v="0"/>
    <x v="1"/>
    <d v="2023-07-06T00:00:00"/>
    <x v="0"/>
    <s v="Involuntary"/>
    <x v="1"/>
    <x v="2"/>
    <x v="2"/>
    <x v="1"/>
    <x v="3"/>
  </r>
  <r>
    <x v="807"/>
    <s v="No"/>
    <x v="1"/>
    <s v="Healthcare Representative"/>
    <x v="0"/>
    <x v="0"/>
    <n v="7"/>
    <n v="70536"/>
    <n v="13"/>
    <n v="37.5"/>
    <s v="Yes"/>
    <n v="33"/>
    <s v="Woman"/>
    <s v="Married"/>
    <x v="0"/>
    <n v="15"/>
    <s v="Certificate or Diploma"/>
    <s v="Medical"/>
    <n v="3"/>
    <n v="1"/>
    <n v="10"/>
    <n v="6"/>
    <n v="9"/>
    <n v="7"/>
    <n v="8"/>
    <n v="1"/>
    <x v="1"/>
    <d v="2023-10-05T00:00:00"/>
    <x v="0"/>
    <s v="Involuntary"/>
    <x v="1"/>
    <x v="1"/>
    <x v="3"/>
    <x v="0"/>
    <x v="2"/>
  </r>
  <r>
    <x v="808"/>
    <s v="No"/>
    <x v="1"/>
    <s v="Research Director"/>
    <x v="1"/>
    <x v="0"/>
    <n v="4"/>
    <n v="220788"/>
    <n v="22"/>
    <n v="37.5"/>
    <s v="No"/>
    <n v="50"/>
    <s v="Man"/>
    <s v="Divorced"/>
    <x v="0"/>
    <n v="1"/>
    <s v="Certificate or Diploma"/>
    <s v="Medical"/>
    <n v="4"/>
    <n v="1"/>
    <n v="32"/>
    <n v="1"/>
    <n v="5"/>
    <n v="4"/>
    <n v="1"/>
    <n v="3"/>
    <x v="1"/>
    <d v="2025-02-14T00:00:00"/>
    <x v="1"/>
    <s v="Involuntary"/>
    <x v="0"/>
    <x v="1"/>
    <x v="1"/>
    <x v="1"/>
    <x v="5"/>
  </r>
  <r>
    <x v="809"/>
    <s v="No"/>
    <x v="1"/>
    <s v="Research Director"/>
    <x v="1"/>
    <x v="0"/>
    <n v="5"/>
    <n v="245028"/>
    <n v="17"/>
    <n v="37.5"/>
    <s v="No"/>
    <n v="41"/>
    <s v="Man"/>
    <s v="Divorced"/>
    <x v="1"/>
    <n v="9"/>
    <s v="Bachelor's Degree"/>
    <s v="Medical"/>
    <n v="3"/>
    <n v="1"/>
    <n v="21"/>
    <n v="2"/>
    <n v="18"/>
    <n v="16"/>
    <n v="0"/>
    <n v="11"/>
    <x v="2"/>
    <d v="2023-09-28T00:00:00"/>
    <x v="0"/>
    <s v="Involuntary"/>
    <x v="3"/>
    <x v="0"/>
    <x v="2"/>
    <x v="2"/>
    <x v="2"/>
  </r>
  <r>
    <x v="810"/>
    <s v="No"/>
    <x v="1"/>
    <s v="Laboratory Technician"/>
    <x v="0"/>
    <x v="0"/>
    <n v="6"/>
    <n v="67596"/>
    <n v="15"/>
    <n v="37.5"/>
    <s v="Yes"/>
    <n v="45"/>
    <s v="Man"/>
    <s v="Married"/>
    <x v="2"/>
    <n v="23"/>
    <s v="Certificate or Diploma"/>
    <s v="Life Sciences"/>
    <n v="3"/>
    <n v="1"/>
    <n v="9"/>
    <n v="2"/>
    <n v="9"/>
    <n v="8"/>
    <n v="0"/>
    <n v="8"/>
    <x v="1"/>
    <d v="2022-01-24T00:00:00"/>
    <x v="0"/>
    <s v="Involuntary"/>
    <x v="0"/>
    <x v="2"/>
    <x v="1"/>
    <x v="0"/>
    <x v="1"/>
  </r>
  <r>
    <x v="811"/>
    <s v="No"/>
    <x v="1"/>
    <s v="Manufacturing Director"/>
    <x v="1"/>
    <x v="0"/>
    <n v="7"/>
    <n v="70776"/>
    <n v="12"/>
    <n v="37.5"/>
    <s v="No"/>
    <n v="25"/>
    <s v="Woman"/>
    <s v="Married"/>
    <x v="0"/>
    <n v="1"/>
    <s v="Bachelor's Degree"/>
    <s v="Life Sciences"/>
    <n v="3"/>
    <n v="2"/>
    <n v="5"/>
    <n v="3"/>
    <n v="4"/>
    <n v="2"/>
    <n v="1"/>
    <n v="2"/>
    <x v="1"/>
    <d v="2023-06-29T00:00:00"/>
    <x v="0"/>
    <s v="Involuntary"/>
    <x v="3"/>
    <x v="0"/>
    <x v="0"/>
    <x v="0"/>
    <x v="1"/>
  </r>
  <r>
    <x v="812"/>
    <s v="No"/>
    <x v="1"/>
    <s v="Manufacturing Director"/>
    <x v="1"/>
    <x v="0"/>
    <n v="4"/>
    <n v="179676"/>
    <n v="18"/>
    <n v="37.5"/>
    <s v="Yes"/>
    <n v="50"/>
    <s v="Man"/>
    <s v="Married"/>
    <x v="0"/>
    <n v="24"/>
    <s v="Bachelor's Degree"/>
    <s v="Life Sciences"/>
    <n v="3"/>
    <n v="1"/>
    <n v="22"/>
    <n v="2"/>
    <n v="12"/>
    <n v="11"/>
    <n v="1"/>
    <n v="5"/>
    <x v="2"/>
    <d v="2025-04-06T00:00:00"/>
    <x v="1"/>
    <s v="Voluntary"/>
    <x v="0"/>
    <x v="0"/>
    <x v="0"/>
    <x v="0"/>
    <x v="0"/>
  </r>
  <r>
    <x v="813"/>
    <s v="No"/>
    <x v="1"/>
    <s v="Research Scientist"/>
    <x v="0"/>
    <x v="0"/>
    <n v="5"/>
    <n v="56208"/>
    <n v="17"/>
    <n v="37.5"/>
    <s v="No"/>
    <n v="38"/>
    <s v="Man"/>
    <s v="Married"/>
    <x v="1"/>
    <n v="10"/>
    <s v="Trades Apprenticeship"/>
    <s v="Medical"/>
    <n v="3"/>
    <n v="1"/>
    <n v="3"/>
    <n v="0"/>
    <n v="2"/>
    <n v="1"/>
    <n v="0"/>
    <n v="2"/>
    <x v="0"/>
    <d v="2025-02-10T00:00:00"/>
    <x v="1"/>
    <s v="Voluntary"/>
    <x v="2"/>
    <x v="0"/>
    <x v="2"/>
    <x v="1"/>
    <x v="2"/>
  </r>
  <r>
    <x v="814"/>
    <s v="No"/>
    <x v="1"/>
    <s v="Manufacturing Director"/>
    <x v="1"/>
    <x v="0"/>
    <n v="10"/>
    <n v="142140"/>
    <n v="13"/>
    <n v="37.5"/>
    <s v="No"/>
    <n v="46"/>
    <s v="Man"/>
    <s v="Divorced"/>
    <x v="0"/>
    <n v="7"/>
    <s v="Certificate or Diploma"/>
    <s v="Medical"/>
    <n v="3"/>
    <n v="1"/>
    <n v="13"/>
    <n v="3"/>
    <n v="8"/>
    <n v="7"/>
    <n v="0"/>
    <n v="7"/>
    <x v="1"/>
    <d v="2024-07-04T00:00:00"/>
    <x v="1"/>
    <s v="Voluntary"/>
    <x v="0"/>
    <x v="0"/>
    <x v="2"/>
    <x v="0"/>
    <x v="4"/>
  </r>
  <r>
    <x v="815"/>
    <s v="No"/>
    <x v="1"/>
    <s v="Manufacturing Director"/>
    <x v="1"/>
    <x v="0"/>
    <n v="7"/>
    <n v="77664"/>
    <n v="12"/>
    <n v="37.5"/>
    <s v="No"/>
    <n v="26"/>
    <s v="Man"/>
    <s v="Married"/>
    <x v="0"/>
    <n v="2"/>
    <s v="Certificate or Diploma"/>
    <s v="Medical"/>
    <n v="3"/>
    <n v="0"/>
    <n v="8"/>
    <n v="2"/>
    <n v="8"/>
    <n v="7"/>
    <n v="1"/>
    <n v="3"/>
    <x v="1"/>
    <d v="2024-10-07T00:00:00"/>
    <x v="1"/>
    <s v="Involuntary"/>
    <x v="0"/>
    <x v="1"/>
    <x v="2"/>
    <x v="0"/>
    <x v="5"/>
  </r>
  <r>
    <x v="816"/>
    <s v="No"/>
    <x v="1"/>
    <s v="Laboratory Technician"/>
    <x v="0"/>
    <x v="0"/>
    <n v="4"/>
    <n v="53412"/>
    <n v="15"/>
    <n v="37.5"/>
    <s v="No"/>
    <n v="22"/>
    <s v="Man"/>
    <s v="Married"/>
    <x v="0"/>
    <n v="8"/>
    <s v="Trades Apprenticeship"/>
    <s v="Life Sciences"/>
    <n v="3"/>
    <n v="1"/>
    <n v="4"/>
    <n v="3"/>
    <n v="4"/>
    <n v="3"/>
    <n v="1"/>
    <n v="1"/>
    <x v="1"/>
    <d v="2024-11-06T00:00:00"/>
    <x v="1"/>
    <s v="Voluntary"/>
    <x v="1"/>
    <x v="2"/>
    <x v="3"/>
    <x v="1"/>
    <x v="9"/>
  </r>
  <r>
    <x v="817"/>
    <s v="No"/>
    <x v="1"/>
    <s v="Healthcare Representative"/>
    <x v="0"/>
    <x v="0"/>
    <n v="6"/>
    <n v="62880"/>
    <n v="13"/>
    <n v="37.5"/>
    <s v="No"/>
    <n v="48"/>
    <s v="Man"/>
    <s v="Single"/>
    <x v="0"/>
    <n v="6"/>
    <s v="Bachelor's Degree"/>
    <s v="Life Sciences"/>
    <n v="3"/>
    <n v="0"/>
    <n v="19"/>
    <n v="0"/>
    <n v="2"/>
    <n v="2"/>
    <n v="2"/>
    <n v="2"/>
    <x v="0"/>
    <d v="2024-10-14T00:00:00"/>
    <x v="1"/>
    <s v="Involuntary"/>
    <x v="3"/>
    <x v="0"/>
    <x v="0"/>
    <x v="0"/>
    <x v="1"/>
  </r>
  <r>
    <x v="818"/>
    <s v="No"/>
    <x v="1"/>
    <s v="Sales Executive"/>
    <x v="0"/>
    <x v="1"/>
    <n v="7"/>
    <n v="70884"/>
    <n v="22"/>
    <n v="37.5"/>
    <s v="Yes"/>
    <n v="25"/>
    <s v="Woman"/>
    <s v="Divorced"/>
    <x v="0"/>
    <n v="8"/>
    <s v="Certificate or Diploma"/>
    <s v="Other"/>
    <n v="4"/>
    <n v="1"/>
    <n v="6"/>
    <n v="3"/>
    <n v="5"/>
    <n v="3"/>
    <n v="0"/>
    <n v="4"/>
    <x v="1"/>
    <d v="2023-11-01T00:00:00"/>
    <x v="0"/>
    <s v="Voluntary"/>
    <x v="3"/>
    <x v="0"/>
    <x v="2"/>
    <x v="1"/>
    <x v="8"/>
  </r>
  <r>
    <x v="819"/>
    <s v="No"/>
    <x v="1"/>
    <s v="Healthcare Representative"/>
    <x v="0"/>
    <x v="0"/>
    <n v="10"/>
    <n v="143988"/>
    <n v="14"/>
    <n v="37.5"/>
    <s v="No"/>
    <n v="48"/>
    <s v="Man"/>
    <s v="Single"/>
    <x v="0"/>
    <n v="4"/>
    <s v="Master's Degree"/>
    <s v="Life Sciences"/>
    <n v="3"/>
    <n v="0"/>
    <n v="27"/>
    <n v="3"/>
    <n v="15"/>
    <n v="11"/>
    <n v="4"/>
    <n v="8"/>
    <x v="2"/>
    <d v="2024-05-19T00:00:00"/>
    <x v="1"/>
    <s v="Involuntary"/>
    <x v="2"/>
    <x v="0"/>
    <x v="2"/>
    <x v="0"/>
    <x v="1"/>
  </r>
  <r>
    <x v="820"/>
    <s v="No"/>
    <x v="1"/>
    <s v="Laboratory Technician"/>
    <x v="0"/>
    <x v="0"/>
    <n v="7"/>
    <n v="71004"/>
    <n v="20"/>
    <n v="37.5"/>
    <s v="No"/>
    <n v="35"/>
    <s v="Man"/>
    <s v="Divorced"/>
    <x v="0"/>
    <n v="10"/>
    <s v="Bachelor's Degree"/>
    <s v="Other"/>
    <n v="4"/>
    <n v="1"/>
    <n v="3"/>
    <n v="4"/>
    <n v="3"/>
    <n v="2"/>
    <n v="1"/>
    <n v="2"/>
    <x v="1"/>
    <d v="2022-01-19T00:00:00"/>
    <x v="0"/>
    <s v="Voluntary"/>
    <x v="1"/>
    <x v="1"/>
    <x v="3"/>
    <x v="1"/>
    <x v="6"/>
  </r>
  <r>
    <x v="821"/>
    <s v="No"/>
    <x v="1"/>
    <s v="Research Scientist"/>
    <x v="0"/>
    <x v="0"/>
    <n v="7"/>
    <n v="71040"/>
    <n v="14"/>
    <n v="37.5"/>
    <s v="No"/>
    <n v="37"/>
    <s v="Woman"/>
    <s v="Married"/>
    <x v="0"/>
    <n v="1"/>
    <s v="Certificate or Diploma"/>
    <s v="Medical"/>
    <n v="3"/>
    <n v="1"/>
    <n v="17"/>
    <n v="2"/>
    <n v="3"/>
    <n v="1"/>
    <n v="0"/>
    <n v="2"/>
    <x v="1"/>
    <d v="2024-05-28T00:00:00"/>
    <x v="1"/>
    <s v="Voluntary"/>
    <x v="2"/>
    <x v="2"/>
    <x v="3"/>
    <x v="1"/>
    <x v="3"/>
  </r>
  <r>
    <x v="822"/>
    <s v="No"/>
    <x v="1"/>
    <s v="Research Scientist"/>
    <x v="0"/>
    <x v="0"/>
    <n v="7"/>
    <n v="71148"/>
    <n v="23"/>
    <n v="37.5"/>
    <s v="Yes"/>
    <n v="31"/>
    <s v="Woman"/>
    <s v="Married"/>
    <x v="0"/>
    <n v="12"/>
    <s v="Trades Apprenticeship"/>
    <s v="Medical"/>
    <n v="4"/>
    <n v="1"/>
    <n v="7"/>
    <n v="0"/>
    <n v="4"/>
    <n v="2"/>
    <n v="0"/>
    <n v="2"/>
    <x v="1"/>
    <d v="2023-06-05T00:00:00"/>
    <x v="0"/>
    <s v="Voluntary"/>
    <x v="2"/>
    <x v="1"/>
    <x v="1"/>
    <x v="0"/>
    <x v="5"/>
  </r>
  <r>
    <x v="823"/>
    <s v="No"/>
    <x v="1"/>
    <s v="Manager, Sales"/>
    <x v="1"/>
    <x v="1"/>
    <n v="5"/>
    <n v="231636"/>
    <n v="13"/>
    <n v="37.5"/>
    <s v="No"/>
    <n v="42"/>
    <s v="Man"/>
    <s v="Married"/>
    <x v="0"/>
    <n v="5"/>
    <s v="Certificate or Diploma"/>
    <s v="Marketing"/>
    <n v="3"/>
    <n v="0"/>
    <n v="21"/>
    <n v="3"/>
    <n v="1"/>
    <n v="0"/>
    <n v="0"/>
    <n v="0"/>
    <x v="0"/>
    <d v="2023-11-16T00:00:00"/>
    <x v="0"/>
    <s v="Voluntary"/>
    <x v="0"/>
    <x v="0"/>
    <x v="2"/>
    <x v="2"/>
    <x v="5"/>
  </r>
  <r>
    <x v="824"/>
    <s v="No"/>
    <x v="1"/>
    <s v="Sales Representative"/>
    <x v="0"/>
    <x v="1"/>
    <n v="7"/>
    <n v="71172"/>
    <n v="11"/>
    <n v="37.5"/>
    <s v="No"/>
    <n v="32"/>
    <s v="Woman"/>
    <s v="Married"/>
    <x v="0"/>
    <n v="4"/>
    <s v="Certificate or Diploma"/>
    <s v="Life Sciences"/>
    <n v="3"/>
    <n v="1"/>
    <n v="6"/>
    <n v="5"/>
    <n v="4"/>
    <n v="3"/>
    <n v="1"/>
    <n v="2"/>
    <x v="1"/>
    <d v="2025-08-24T00:00:00"/>
    <x v="1"/>
    <s v="Voluntary"/>
    <x v="2"/>
    <x v="3"/>
    <x v="3"/>
    <x v="0"/>
    <x v="6"/>
  </r>
  <r>
    <x v="825"/>
    <s v="No"/>
    <x v="1"/>
    <s v="Research Scientist"/>
    <x v="0"/>
    <x v="0"/>
    <n v="7"/>
    <n v="71232"/>
    <n v="11"/>
    <n v="37.5"/>
    <s v="No"/>
    <n v="37"/>
    <s v="Woman"/>
    <s v="Married"/>
    <x v="0"/>
    <n v="10"/>
    <s v="Bachelor's Degree"/>
    <s v="Medical"/>
    <n v="3"/>
    <n v="1"/>
    <n v="8"/>
    <n v="2"/>
    <n v="8"/>
    <n v="4"/>
    <n v="7"/>
    <n v="7"/>
    <x v="1"/>
    <d v="2023-02-06T00:00:00"/>
    <x v="0"/>
    <s v="Involuntary"/>
    <x v="1"/>
    <x v="3"/>
    <x v="3"/>
    <x v="3"/>
    <x v="9"/>
  </r>
  <r>
    <x v="826"/>
    <s v="No"/>
    <x v="1"/>
    <s v="Sales Executive"/>
    <x v="0"/>
    <x v="1"/>
    <n v="7"/>
    <n v="71232"/>
    <n v="11"/>
    <n v="37.5"/>
    <s v="No"/>
    <n v="51"/>
    <s v="Woman"/>
    <s v="Married"/>
    <x v="0"/>
    <n v="14"/>
    <s v="Certificate or Diploma"/>
    <s v="Life Sciences"/>
    <n v="3"/>
    <n v="1"/>
    <n v="18"/>
    <n v="2"/>
    <n v="7"/>
    <n v="7"/>
    <n v="0"/>
    <n v="7"/>
    <x v="1"/>
    <d v="2025-05-26T00:00:00"/>
    <x v="1"/>
    <s v="Involuntary"/>
    <x v="2"/>
    <x v="1"/>
    <x v="1"/>
    <x v="1"/>
    <x v="4"/>
  </r>
  <r>
    <x v="827"/>
    <s v="No"/>
    <x v="1"/>
    <s v="Laboratory Technician"/>
    <x v="0"/>
    <x v="0"/>
    <n v="4"/>
    <n v="52560"/>
    <n v="18"/>
    <n v="37.5"/>
    <s v="No"/>
    <n v="50"/>
    <s v="Man"/>
    <s v="Married"/>
    <x v="0"/>
    <n v="9"/>
    <s v="Bachelor's Degree"/>
    <s v="Life Sciences"/>
    <n v="3"/>
    <n v="0"/>
    <n v="8"/>
    <n v="5"/>
    <n v="1"/>
    <n v="0"/>
    <n v="0"/>
    <n v="0"/>
    <x v="0"/>
    <d v="2025-06-27T00:00:00"/>
    <x v="1"/>
    <s v="Voluntary"/>
    <x v="3"/>
    <x v="1"/>
    <x v="2"/>
    <x v="0"/>
    <x v="2"/>
  </r>
  <r>
    <x v="828"/>
    <s v="No"/>
    <x v="1"/>
    <s v="Healthcare Representative"/>
    <x v="0"/>
    <x v="0"/>
    <n v="8"/>
    <n v="88620"/>
    <n v="14"/>
    <n v="37.5"/>
    <s v="Yes"/>
    <n v="55"/>
    <s v="Man"/>
    <s v="Married"/>
    <x v="1"/>
    <n v="18"/>
    <s v="Master's Degree"/>
    <s v="Medical"/>
    <n v="3"/>
    <n v="2"/>
    <n v="17"/>
    <n v="3"/>
    <n v="8"/>
    <n v="7"/>
    <n v="6"/>
    <n v="7"/>
    <x v="1"/>
    <d v="2022-07-23T00:00:00"/>
    <x v="0"/>
    <s v="Involuntary"/>
    <x v="2"/>
    <x v="3"/>
    <x v="0"/>
    <x v="0"/>
    <x v="4"/>
  </r>
  <r>
    <x v="829"/>
    <s v="No"/>
    <x v="1"/>
    <s v="Sales Executive"/>
    <x v="0"/>
    <x v="1"/>
    <n v="8"/>
    <n v="94332"/>
    <n v="12"/>
    <n v="37.5"/>
    <s v="Yes"/>
    <n v="38"/>
    <s v="Man"/>
    <s v="Single"/>
    <x v="0"/>
    <n v="3"/>
    <s v="Master's Degree"/>
    <s v="Life Sciences"/>
    <n v="3"/>
    <n v="0"/>
    <n v="19"/>
    <n v="1"/>
    <n v="1"/>
    <n v="0"/>
    <n v="0"/>
    <n v="0"/>
    <x v="0"/>
    <d v="2023-06-19T00:00:00"/>
    <x v="0"/>
    <s v="Involuntary"/>
    <x v="1"/>
    <x v="1"/>
    <x v="1"/>
    <x v="0"/>
    <x v="4"/>
  </r>
  <r>
    <x v="830"/>
    <s v="No"/>
    <x v="1"/>
    <s v="Sales Executive"/>
    <x v="0"/>
    <x v="1"/>
    <n v="9"/>
    <n v="128700"/>
    <n v="11"/>
    <n v="37.5"/>
    <s v="No"/>
    <n v="34"/>
    <s v="Man"/>
    <s v="Divorced"/>
    <x v="0"/>
    <n v="1"/>
    <s v="Master's Degree"/>
    <s v="Marketing"/>
    <n v="3"/>
    <n v="1"/>
    <n v="16"/>
    <n v="2"/>
    <n v="15"/>
    <n v="1"/>
    <n v="0"/>
    <n v="9"/>
    <x v="2"/>
    <d v="2023-04-12T00:00:00"/>
    <x v="0"/>
    <s v="Involuntary"/>
    <x v="1"/>
    <x v="1"/>
    <x v="0"/>
    <x v="1"/>
    <x v="4"/>
  </r>
  <r>
    <x v="831"/>
    <s v="No"/>
    <x v="1"/>
    <s v="Manager, Sales"/>
    <x v="1"/>
    <x v="1"/>
    <n v="10"/>
    <n v="154848"/>
    <n v="14"/>
    <n v="37.5"/>
    <s v="Yes"/>
    <n v="59"/>
    <s v="Man"/>
    <s v="Married"/>
    <x v="0"/>
    <n v="1"/>
    <s v="Certificate or Diploma"/>
    <s v="Technical Degree"/>
    <n v="3"/>
    <n v="1"/>
    <n v="14"/>
    <n v="1"/>
    <n v="6"/>
    <n v="4"/>
    <n v="0"/>
    <n v="4"/>
    <x v="1"/>
    <d v="2023-08-11T00:00:00"/>
    <x v="0"/>
    <s v="Involuntary"/>
    <x v="1"/>
    <x v="1"/>
    <x v="1"/>
    <x v="3"/>
    <x v="2"/>
  </r>
  <r>
    <x v="832"/>
    <s v="No"/>
    <x v="1"/>
    <s v="HR Business Partner"/>
    <x v="0"/>
    <x v="2"/>
    <n v="4"/>
    <n v="50124"/>
    <n v="16"/>
    <n v="37.5"/>
    <s v="No"/>
    <n v="45"/>
    <s v="Man"/>
    <s v="Single"/>
    <x v="0"/>
    <n v="24"/>
    <s v="Master's Degree"/>
    <s v="Medical"/>
    <n v="3"/>
    <n v="0"/>
    <n v="6"/>
    <n v="3"/>
    <n v="6"/>
    <n v="3"/>
    <n v="0"/>
    <n v="4"/>
    <x v="1"/>
    <d v="2025-10-06T00:00:00"/>
    <x v="1"/>
    <s v="Involuntary"/>
    <x v="1"/>
    <x v="3"/>
    <x v="3"/>
    <x v="0"/>
    <x v="8"/>
  </r>
  <r>
    <x v="833"/>
    <s v="No"/>
    <x v="1"/>
    <s v="Research Scientist"/>
    <x v="0"/>
    <x v="0"/>
    <n v="7"/>
    <n v="71616"/>
    <n v="16"/>
    <n v="37.5"/>
    <s v="No"/>
    <n v="30"/>
    <s v="Woman"/>
    <s v="Single"/>
    <x v="1"/>
    <n v="2"/>
    <s v="Master's Degree"/>
    <s v="Technical Degree"/>
    <n v="3"/>
    <n v="0"/>
    <n v="10"/>
    <n v="2"/>
    <n v="9"/>
    <n v="7"/>
    <n v="0"/>
    <n v="7"/>
    <x v="1"/>
    <d v="2025-03-24T00:00:00"/>
    <x v="1"/>
    <s v="Involuntary"/>
    <x v="0"/>
    <x v="2"/>
    <x v="0"/>
    <x v="0"/>
    <x v="4"/>
  </r>
  <r>
    <x v="834"/>
    <s v="No"/>
    <x v="1"/>
    <s v="Research Scientist"/>
    <x v="0"/>
    <x v="0"/>
    <n v="5"/>
    <n v="57852"/>
    <n v="16"/>
    <n v="37.5"/>
    <s v="No"/>
    <n v="38"/>
    <s v="Man"/>
    <s v="Married"/>
    <x v="1"/>
    <n v="3"/>
    <s v="Master's Degree"/>
    <s v="Other"/>
    <n v="3"/>
    <n v="1"/>
    <n v="8"/>
    <n v="2"/>
    <n v="2"/>
    <n v="2"/>
    <n v="2"/>
    <n v="2"/>
    <x v="0"/>
    <d v="2022-10-31T00:00:00"/>
    <x v="0"/>
    <s v="Involuntary"/>
    <x v="2"/>
    <x v="0"/>
    <x v="3"/>
    <x v="0"/>
    <x v="2"/>
  </r>
  <r>
    <x v="835"/>
    <s v="No"/>
    <x v="1"/>
    <s v="Research Director"/>
    <x v="1"/>
    <x v="0"/>
    <n v="5"/>
    <n v="242844"/>
    <n v="11"/>
    <n v="37.5"/>
    <s v="Yes"/>
    <n v="50"/>
    <s v="Man"/>
    <s v="Married"/>
    <x v="0"/>
    <n v="2"/>
    <s v="Master's Degree"/>
    <s v="Medical"/>
    <n v="3"/>
    <n v="1"/>
    <n v="29"/>
    <n v="2"/>
    <n v="8"/>
    <n v="1"/>
    <n v="7"/>
    <n v="7"/>
    <x v="1"/>
    <d v="2024-04-26T00:00:00"/>
    <x v="1"/>
    <s v="Voluntary"/>
    <x v="1"/>
    <x v="0"/>
    <x v="0"/>
    <x v="1"/>
    <x v="1"/>
  </r>
  <r>
    <x v="836"/>
    <s v="No"/>
    <x v="1"/>
    <s v="Sales Executive"/>
    <x v="0"/>
    <x v="1"/>
    <n v="9"/>
    <n v="112752"/>
    <n v="14"/>
    <n v="37.5"/>
    <s v="No"/>
    <n v="40"/>
    <s v="Man"/>
    <s v="Married"/>
    <x v="0"/>
    <n v="26"/>
    <s v="Bachelor's Degree"/>
    <s v="Marketing"/>
    <n v="3"/>
    <n v="1"/>
    <n v="8"/>
    <n v="3"/>
    <n v="7"/>
    <n v="7"/>
    <n v="7"/>
    <n v="5"/>
    <x v="1"/>
    <d v="2022-01-02T00:00:00"/>
    <x v="0"/>
    <s v="Involuntary"/>
    <x v="2"/>
    <x v="2"/>
    <x v="2"/>
    <x v="1"/>
    <x v="8"/>
  </r>
  <r>
    <x v="837"/>
    <s v="No"/>
    <x v="1"/>
    <s v="Laboratory Technician"/>
    <x v="0"/>
    <x v="0"/>
    <n v="7"/>
    <n v="71736"/>
    <n v="12"/>
    <n v="37.5"/>
    <s v="No"/>
    <n v="31"/>
    <s v="Woman"/>
    <s v="Divorced"/>
    <x v="0"/>
    <n v="4"/>
    <s v="Bachelor's Degree"/>
    <s v="Medical"/>
    <n v="3"/>
    <n v="1"/>
    <n v="4"/>
    <n v="0"/>
    <n v="2"/>
    <n v="2"/>
    <n v="2"/>
    <n v="2"/>
    <x v="0"/>
    <d v="2023-01-11T00:00:00"/>
    <x v="0"/>
    <s v="Voluntary"/>
    <x v="3"/>
    <x v="0"/>
    <x v="2"/>
    <x v="1"/>
    <x v="8"/>
  </r>
  <r>
    <x v="838"/>
    <s v="No"/>
    <x v="1"/>
    <s v="Research Director"/>
    <x v="1"/>
    <x v="0"/>
    <n v="5"/>
    <n v="247524"/>
    <n v="17"/>
    <n v="37.5"/>
    <s v="No"/>
    <n v="46"/>
    <s v="Man"/>
    <s v="Divorced"/>
    <x v="0"/>
    <n v="1"/>
    <s v="Master's Degree"/>
    <s v="Medical"/>
    <n v="3"/>
    <n v="2"/>
    <n v="23"/>
    <n v="0"/>
    <n v="2"/>
    <n v="2"/>
    <n v="2"/>
    <n v="2"/>
    <x v="0"/>
    <d v="2022-06-17T00:00:00"/>
    <x v="0"/>
    <s v="Voluntary"/>
    <x v="0"/>
    <x v="1"/>
    <x v="0"/>
    <x v="0"/>
    <x v="7"/>
  </r>
  <r>
    <x v="839"/>
    <s v="No"/>
    <x v="1"/>
    <s v="Manager, R&amp;D"/>
    <x v="1"/>
    <x v="0"/>
    <n v="4"/>
    <n v="213072"/>
    <n v="15"/>
    <n v="37.5"/>
    <s v="No"/>
    <n v="55"/>
    <s v="Man"/>
    <s v="Single"/>
    <x v="2"/>
    <n v="2"/>
    <s v="Trades Apprenticeship"/>
    <s v="Medical"/>
    <n v="3"/>
    <n v="0"/>
    <n v="31"/>
    <n v="3"/>
    <n v="9"/>
    <n v="7"/>
    <n v="6"/>
    <n v="2"/>
    <x v="1"/>
    <d v="2025-05-28T00:00:00"/>
    <x v="1"/>
    <s v="Voluntary"/>
    <x v="2"/>
    <x v="2"/>
    <x v="2"/>
    <x v="2"/>
    <x v="2"/>
  </r>
  <r>
    <x v="840"/>
    <s v="No"/>
    <x v="1"/>
    <s v="Sales Executive"/>
    <x v="0"/>
    <x v="1"/>
    <n v="10"/>
    <n v="141576"/>
    <n v="13"/>
    <n v="37.5"/>
    <s v="No"/>
    <n v="43"/>
    <s v="Man"/>
    <s v="Divorced"/>
    <x v="0"/>
    <n v="25"/>
    <s v="Bachelor's Degree"/>
    <s v="Medical"/>
    <n v="3"/>
    <n v="1"/>
    <n v="18"/>
    <n v="5"/>
    <n v="1"/>
    <n v="0"/>
    <n v="0"/>
    <n v="0"/>
    <x v="0"/>
    <d v="2025-05-17T00:00:00"/>
    <x v="1"/>
    <s v="Involuntary"/>
    <x v="2"/>
    <x v="1"/>
    <x v="1"/>
    <x v="0"/>
    <x v="5"/>
  </r>
  <r>
    <x v="841"/>
    <s v="No"/>
    <x v="1"/>
    <s v="Research Scientist"/>
    <x v="0"/>
    <x v="0"/>
    <n v="7"/>
    <n v="71976"/>
    <n v="14"/>
    <n v="37.5"/>
    <s v="Yes"/>
    <n v="32"/>
    <s v="Woman"/>
    <s v="Single"/>
    <x v="1"/>
    <n v="2"/>
    <s v="Certificate or Diploma"/>
    <s v="Life Sciences"/>
    <n v="3"/>
    <n v="0"/>
    <n v="10"/>
    <n v="2"/>
    <n v="8"/>
    <n v="7"/>
    <n v="0"/>
    <n v="7"/>
    <x v="1"/>
    <d v="2023-06-16T00:00:00"/>
    <x v="0"/>
    <s v="Voluntary"/>
    <x v="0"/>
    <x v="0"/>
    <x v="0"/>
    <x v="0"/>
    <x v="0"/>
  </r>
  <r>
    <x v="842"/>
    <s v="No"/>
    <x v="1"/>
    <s v="Sales Executive"/>
    <x v="0"/>
    <x v="1"/>
    <n v="7"/>
    <n v="71988"/>
    <n v="21"/>
    <n v="37.5"/>
    <s v="No"/>
    <n v="24"/>
    <s v="Woman"/>
    <s v="Married"/>
    <x v="0"/>
    <n v="3"/>
    <s v="Certificate or Diploma"/>
    <s v="Other"/>
    <n v="4"/>
    <n v="1"/>
    <n v="4"/>
    <n v="2"/>
    <n v="3"/>
    <n v="2"/>
    <n v="0"/>
    <n v="2"/>
    <x v="1"/>
    <d v="2024-06-01T00:00:00"/>
    <x v="1"/>
    <s v="Involuntary"/>
    <x v="3"/>
    <x v="0"/>
    <x v="3"/>
    <x v="1"/>
    <x v="3"/>
  </r>
  <r>
    <x v="843"/>
    <s v="No"/>
    <x v="1"/>
    <s v="Manufacturing Director"/>
    <x v="1"/>
    <x v="0"/>
    <n v="7"/>
    <n v="72036"/>
    <n v="14"/>
    <n v="37.5"/>
    <s v="No"/>
    <n v="41"/>
    <s v="Woman"/>
    <s v="Single"/>
    <x v="0"/>
    <n v="7"/>
    <s v="Certificate or Diploma"/>
    <s v="Medical"/>
    <n v="3"/>
    <n v="0"/>
    <n v="8"/>
    <n v="6"/>
    <n v="2"/>
    <n v="2"/>
    <n v="2"/>
    <n v="1"/>
    <x v="0"/>
    <d v="2025-10-26T00:00:00"/>
    <x v="1"/>
    <s v="Voluntary"/>
    <x v="0"/>
    <x v="0"/>
    <x v="2"/>
    <x v="0"/>
    <x v="4"/>
  </r>
  <r>
    <x v="844"/>
    <s v="No"/>
    <x v="1"/>
    <s v="Sales Executive"/>
    <x v="0"/>
    <x v="1"/>
    <n v="7"/>
    <n v="72072"/>
    <n v="11"/>
    <n v="37.5"/>
    <s v="Yes"/>
    <n v="45"/>
    <s v="Woman"/>
    <s v="Divorced"/>
    <x v="0"/>
    <n v="4"/>
    <s v="Certificate or Diploma"/>
    <s v="Life Sciences"/>
    <n v="3"/>
    <n v="1"/>
    <n v="9"/>
    <n v="3"/>
    <n v="5"/>
    <n v="4"/>
    <n v="0"/>
    <n v="3"/>
    <x v="1"/>
    <d v="2023-01-08T00:00:00"/>
    <x v="0"/>
    <s v="Involuntary"/>
    <x v="2"/>
    <x v="2"/>
    <x v="3"/>
    <x v="2"/>
    <x v="6"/>
  </r>
  <r>
    <x v="845"/>
    <s v="No"/>
    <x v="1"/>
    <s v="Laboratory Technician"/>
    <x v="0"/>
    <x v="0"/>
    <n v="7"/>
    <n v="71460"/>
    <n v="16"/>
    <n v="37.5"/>
    <s v="No"/>
    <n v="26"/>
    <s v="Man"/>
    <s v="Married"/>
    <x v="0"/>
    <n v="1"/>
    <s v="Certificate or Diploma"/>
    <s v="Medical"/>
    <n v="3"/>
    <n v="2"/>
    <n v="6"/>
    <n v="2"/>
    <n v="5"/>
    <n v="3"/>
    <n v="1"/>
    <n v="3"/>
    <x v="1"/>
    <d v="2023-02-14T00:00:00"/>
    <x v="0"/>
    <s v="Voluntary"/>
    <x v="3"/>
    <x v="2"/>
    <x v="3"/>
    <x v="0"/>
    <x v="9"/>
  </r>
  <r>
    <x v="846"/>
    <s v="No"/>
    <x v="1"/>
    <s v="Manufacturing Director"/>
    <x v="1"/>
    <x v="0"/>
    <n v="9"/>
    <n v="131484"/>
    <n v="15"/>
    <n v="37.5"/>
    <s v="No"/>
    <n v="30"/>
    <s v="Man"/>
    <s v="Married"/>
    <x v="0"/>
    <n v="20"/>
    <s v="Bachelor's Degree"/>
    <s v="Other"/>
    <n v="3"/>
    <n v="1"/>
    <n v="7"/>
    <n v="1"/>
    <n v="6"/>
    <n v="2"/>
    <n v="0"/>
    <n v="2"/>
    <x v="1"/>
    <d v="2025-04-13T00:00:00"/>
    <x v="1"/>
    <s v="Voluntary"/>
    <x v="2"/>
    <x v="2"/>
    <x v="1"/>
    <x v="1"/>
    <x v="6"/>
  </r>
  <r>
    <x v="847"/>
    <s v="No"/>
    <x v="1"/>
    <s v="Healthcare Representative"/>
    <x v="0"/>
    <x v="0"/>
    <n v="9"/>
    <n v="135864"/>
    <n v="20"/>
    <n v="37.5"/>
    <s v="No"/>
    <n v="40"/>
    <s v="Man"/>
    <s v="Married"/>
    <x v="0"/>
    <n v="20"/>
    <s v="Master's Degree"/>
    <s v="Technical Degree"/>
    <n v="4"/>
    <n v="1"/>
    <n v="14"/>
    <n v="6"/>
    <n v="11"/>
    <n v="10"/>
    <n v="11"/>
    <n v="1"/>
    <x v="2"/>
    <d v="2024-12-26T00:00:00"/>
    <x v="1"/>
    <s v="Voluntary"/>
    <x v="3"/>
    <x v="1"/>
    <x v="0"/>
    <x v="0"/>
    <x v="4"/>
  </r>
  <r>
    <x v="848"/>
    <s v="No"/>
    <x v="1"/>
    <s v="Manufacturing Director"/>
    <x v="1"/>
    <x v="0"/>
    <n v="7"/>
    <n v="72504"/>
    <n v="13"/>
    <n v="37.5"/>
    <s v="No"/>
    <n v="39"/>
    <s v="Woman"/>
    <s v="Single"/>
    <x v="1"/>
    <n v="4"/>
    <s v="Bachelor's Degree"/>
    <s v="Medical"/>
    <n v="3"/>
    <n v="0"/>
    <n v="10"/>
    <n v="2"/>
    <n v="9"/>
    <n v="2"/>
    <n v="3"/>
    <n v="8"/>
    <x v="1"/>
    <d v="2022-07-17T00:00:00"/>
    <x v="0"/>
    <s v="Voluntary"/>
    <x v="3"/>
    <x v="0"/>
    <x v="0"/>
    <x v="3"/>
    <x v="6"/>
  </r>
  <r>
    <x v="849"/>
    <s v="No"/>
    <x v="1"/>
    <s v="Research Scientist"/>
    <x v="0"/>
    <x v="0"/>
    <n v="7"/>
    <n v="72660"/>
    <n v="16"/>
    <n v="37.5"/>
    <s v="No"/>
    <n v="32"/>
    <s v="Woman"/>
    <s v="Single"/>
    <x v="0"/>
    <n v="2"/>
    <s v="Master's Degree"/>
    <s v="Medical"/>
    <n v="3"/>
    <n v="0"/>
    <n v="10"/>
    <n v="0"/>
    <n v="7"/>
    <n v="7"/>
    <n v="0"/>
    <n v="7"/>
    <x v="1"/>
    <d v="2024-11-28T00:00:00"/>
    <x v="1"/>
    <s v="Voluntary"/>
    <x v="3"/>
    <x v="1"/>
    <x v="1"/>
    <x v="1"/>
    <x v="2"/>
  </r>
  <r>
    <x v="850"/>
    <s v="No"/>
    <x v="1"/>
    <s v="Laboratory Technician"/>
    <x v="0"/>
    <x v="0"/>
    <n v="6"/>
    <n v="67452"/>
    <n v="19"/>
    <n v="37.5"/>
    <s v="No"/>
    <n v="27"/>
    <s v="Man"/>
    <s v="Married"/>
    <x v="2"/>
    <n v="8"/>
    <s v="Doctorate"/>
    <s v="Life Sciences"/>
    <n v="3"/>
    <n v="3"/>
    <n v="3"/>
    <n v="4"/>
    <n v="3"/>
    <n v="2"/>
    <n v="1"/>
    <n v="2"/>
    <x v="1"/>
    <d v="2022-09-27T00:00:00"/>
    <x v="0"/>
    <s v="Voluntary"/>
    <x v="3"/>
    <x v="0"/>
    <x v="0"/>
    <x v="0"/>
    <x v="1"/>
  </r>
  <r>
    <x v="851"/>
    <s v="No"/>
    <x v="1"/>
    <s v="Manufacturing Director"/>
    <x v="1"/>
    <x v="0"/>
    <n v="10"/>
    <n v="143712"/>
    <n v="18"/>
    <n v="37.5"/>
    <s v="No"/>
    <n v="55"/>
    <s v="Man"/>
    <s v="Married"/>
    <x v="1"/>
    <n v="2"/>
    <s v="Trades Apprenticeship"/>
    <s v="Life Sciences"/>
    <n v="3"/>
    <n v="1"/>
    <n v="23"/>
    <n v="4"/>
    <n v="3"/>
    <n v="2"/>
    <n v="1"/>
    <n v="2"/>
    <x v="1"/>
    <d v="2022-10-06T00:00:00"/>
    <x v="0"/>
    <s v="Voluntary"/>
    <x v="0"/>
    <x v="3"/>
    <x v="2"/>
    <x v="0"/>
    <x v="1"/>
  </r>
  <r>
    <x v="852"/>
    <s v="No"/>
    <x v="1"/>
    <s v="Manufacturing Director"/>
    <x v="1"/>
    <x v="0"/>
    <n v="7"/>
    <n v="72840"/>
    <n v="13"/>
    <n v="37.5"/>
    <s v="No"/>
    <n v="47"/>
    <s v="Woman"/>
    <s v="Divorced"/>
    <x v="0"/>
    <n v="2"/>
    <s v="Certificate or Diploma"/>
    <s v="Medical"/>
    <n v="3"/>
    <n v="3"/>
    <n v="20"/>
    <n v="2"/>
    <n v="5"/>
    <n v="0"/>
    <n v="0"/>
    <n v="4"/>
    <x v="1"/>
    <d v="2025-03-19T00:00:00"/>
    <x v="1"/>
    <s v="Voluntary"/>
    <x v="3"/>
    <x v="1"/>
    <x v="1"/>
    <x v="0"/>
    <x v="1"/>
  </r>
  <r>
    <x v="853"/>
    <s v="No"/>
    <x v="1"/>
    <s v="Healthcare Representative"/>
    <x v="0"/>
    <x v="0"/>
    <n v="8"/>
    <n v="97428"/>
    <n v="15"/>
    <n v="37.5"/>
    <s v="No"/>
    <n v="33"/>
    <s v="Man"/>
    <s v="Divorced"/>
    <x v="0"/>
    <n v="5"/>
    <s v="Bachelor's Degree"/>
    <s v="Life Sciences"/>
    <n v="3"/>
    <n v="1"/>
    <n v="9"/>
    <n v="2"/>
    <n v="3"/>
    <n v="2"/>
    <n v="1"/>
    <n v="2"/>
    <x v="1"/>
    <d v="2022-01-15T00:00:00"/>
    <x v="0"/>
    <s v="Voluntary"/>
    <x v="0"/>
    <x v="1"/>
    <x v="1"/>
    <x v="0"/>
    <x v="0"/>
  </r>
  <r>
    <x v="854"/>
    <s v="No"/>
    <x v="1"/>
    <s v="Laboratory Technician"/>
    <x v="0"/>
    <x v="0"/>
    <n v="4"/>
    <n v="50484"/>
    <n v="16"/>
    <n v="37.5"/>
    <s v="No"/>
    <n v="28"/>
    <s v="Man"/>
    <s v="Divorced"/>
    <x v="0"/>
    <n v="15"/>
    <s v="Certificate or Diploma"/>
    <s v="Life Sciences"/>
    <n v="3"/>
    <n v="1"/>
    <n v="4"/>
    <n v="5"/>
    <n v="4"/>
    <n v="2"/>
    <n v="2"/>
    <n v="2"/>
    <x v="1"/>
    <d v="2023-11-04T00:00:00"/>
    <x v="0"/>
    <s v="Voluntary"/>
    <x v="3"/>
    <x v="0"/>
    <x v="0"/>
    <x v="1"/>
    <x v="2"/>
  </r>
  <r>
    <x v="855"/>
    <s v="No"/>
    <x v="1"/>
    <s v="Healthcare Representative"/>
    <x v="0"/>
    <x v="0"/>
    <n v="7"/>
    <n v="73116"/>
    <n v="11"/>
    <n v="37.5"/>
    <s v="No"/>
    <n v="35"/>
    <s v="Woman"/>
    <s v="Divorced"/>
    <x v="2"/>
    <n v="2"/>
    <s v="Master's Degree"/>
    <s v="Life Sciences"/>
    <n v="3"/>
    <n v="1"/>
    <n v="16"/>
    <n v="2"/>
    <n v="1"/>
    <n v="0"/>
    <n v="0"/>
    <n v="0"/>
    <x v="0"/>
    <d v="2025-11-24T00:00:00"/>
    <x v="1"/>
    <s v="Voluntary"/>
    <x v="0"/>
    <x v="2"/>
    <x v="3"/>
    <x v="2"/>
    <x v="2"/>
  </r>
  <r>
    <x v="856"/>
    <s v="No"/>
    <x v="1"/>
    <s v="Healthcare Representative"/>
    <x v="0"/>
    <x v="0"/>
    <n v="9"/>
    <n v="105072"/>
    <n v="17"/>
    <n v="37.5"/>
    <s v="No"/>
    <n v="34"/>
    <s v="Man"/>
    <s v="Single"/>
    <x v="1"/>
    <n v="3"/>
    <s v="Trades Apprenticeship"/>
    <s v="Life Sciences"/>
    <n v="3"/>
    <n v="0"/>
    <n v="7"/>
    <n v="1"/>
    <n v="6"/>
    <n v="2"/>
    <n v="0"/>
    <n v="4"/>
    <x v="1"/>
    <d v="2025-10-15T00:00:00"/>
    <x v="1"/>
    <s v="Voluntary"/>
    <x v="3"/>
    <x v="1"/>
    <x v="1"/>
    <x v="1"/>
    <x v="2"/>
  </r>
  <r>
    <x v="857"/>
    <s v="No"/>
    <x v="1"/>
    <s v="Manufacturing Director"/>
    <x v="1"/>
    <x v="0"/>
    <n v="7"/>
    <n v="73452"/>
    <n v="14"/>
    <n v="37.5"/>
    <s v="No"/>
    <n v="34"/>
    <s v="Woman"/>
    <s v="Divorced"/>
    <x v="0"/>
    <n v="8"/>
    <s v="Doctorate"/>
    <s v="Life Sciences"/>
    <n v="3"/>
    <n v="1"/>
    <n v="7"/>
    <n v="3"/>
    <n v="0"/>
    <n v="0"/>
    <n v="0"/>
    <n v="0"/>
    <x v="0"/>
    <d v="2025-12-02T00:00:00"/>
    <x v="1"/>
    <s v="Involuntary"/>
    <x v="1"/>
    <x v="2"/>
    <x v="1"/>
    <x v="0"/>
    <x v="6"/>
  </r>
  <r>
    <x v="858"/>
    <s v="No"/>
    <x v="1"/>
    <s v="Manufacturing Director"/>
    <x v="1"/>
    <x v="0"/>
    <n v="7"/>
    <n v="73572"/>
    <n v="13"/>
    <n v="37.5"/>
    <s v="No"/>
    <n v="36"/>
    <s v="Woman"/>
    <s v="Divorced"/>
    <x v="1"/>
    <n v="4"/>
    <s v="Certificate or Diploma"/>
    <s v="Life Sciences"/>
    <n v="3"/>
    <n v="3"/>
    <n v="18"/>
    <n v="3"/>
    <n v="4"/>
    <n v="2"/>
    <n v="0"/>
    <n v="2"/>
    <x v="1"/>
    <d v="2022-12-04T00:00:00"/>
    <x v="0"/>
    <s v="Voluntary"/>
    <x v="0"/>
    <x v="3"/>
    <x v="2"/>
    <x v="0"/>
    <x v="1"/>
  </r>
  <r>
    <x v="859"/>
    <s v="No"/>
    <x v="1"/>
    <s v="Sales Executive"/>
    <x v="0"/>
    <x v="1"/>
    <n v="7"/>
    <n v="73764"/>
    <n v="15"/>
    <n v="37.5"/>
    <s v="No"/>
    <n v="33"/>
    <s v="Woman"/>
    <s v="Single"/>
    <x v="2"/>
    <n v="2"/>
    <s v="Bachelor's Degree"/>
    <s v="Marketing"/>
    <n v="3"/>
    <n v="0"/>
    <n v="13"/>
    <n v="2"/>
    <n v="11"/>
    <n v="7"/>
    <n v="1"/>
    <n v="7"/>
    <x v="2"/>
    <d v="2025-08-17T00:00:00"/>
    <x v="1"/>
    <s v="Involuntary"/>
    <x v="0"/>
    <x v="3"/>
    <x v="0"/>
    <x v="1"/>
    <x v="4"/>
  </r>
  <r>
    <x v="860"/>
    <s v="No"/>
    <x v="1"/>
    <s v="Manager, R&amp;D"/>
    <x v="1"/>
    <x v="0"/>
    <n v="4"/>
    <n v="223980"/>
    <n v="17"/>
    <n v="37.5"/>
    <s v="No"/>
    <n v="42"/>
    <s v="Man"/>
    <s v="Married"/>
    <x v="0"/>
    <n v="2"/>
    <s v="Certificate or Diploma"/>
    <s v="Medical"/>
    <n v="3"/>
    <n v="1"/>
    <n v="23"/>
    <n v="3"/>
    <n v="22"/>
    <n v="6"/>
    <n v="13"/>
    <n v="7"/>
    <x v="2"/>
    <d v="2022-07-22T00:00:00"/>
    <x v="0"/>
    <s v="Involuntary"/>
    <x v="0"/>
    <x v="2"/>
    <x v="0"/>
    <x v="0"/>
    <x v="4"/>
  </r>
  <r>
    <x v="861"/>
    <s v="No"/>
    <x v="1"/>
    <s v="Sales Executive"/>
    <x v="0"/>
    <x v="1"/>
    <n v="7"/>
    <n v="73848"/>
    <n v="22"/>
    <n v="37.5"/>
    <s v="No"/>
    <n v="45"/>
    <s v="Woman"/>
    <s v="Married"/>
    <x v="2"/>
    <n v="2"/>
    <s v="Master's Degree"/>
    <s v="Life Sciences"/>
    <n v="4"/>
    <n v="2"/>
    <n v="10"/>
    <n v="3"/>
    <n v="8"/>
    <n v="7"/>
    <n v="5"/>
    <n v="7"/>
    <x v="1"/>
    <d v="2024-05-06T00:00:00"/>
    <x v="1"/>
    <s v="Involuntary"/>
    <x v="2"/>
    <x v="0"/>
    <x v="2"/>
    <x v="2"/>
    <x v="4"/>
  </r>
  <r>
    <x v="862"/>
    <s v="No"/>
    <x v="1"/>
    <s v="Research Scientist"/>
    <x v="0"/>
    <x v="0"/>
    <n v="5"/>
    <n v="59748"/>
    <n v="17"/>
    <n v="37.5"/>
    <s v="No"/>
    <n v="34"/>
    <s v="Man"/>
    <s v="Married"/>
    <x v="2"/>
    <n v="3"/>
    <s v="Master's Degree"/>
    <s v="Life Sciences"/>
    <n v="3"/>
    <n v="3"/>
    <n v="6"/>
    <n v="2"/>
    <n v="0"/>
    <n v="0"/>
    <n v="0"/>
    <n v="0"/>
    <x v="0"/>
    <d v="2022-09-17T00:00:00"/>
    <x v="0"/>
    <s v="Voluntary"/>
    <x v="2"/>
    <x v="1"/>
    <x v="0"/>
    <x v="0"/>
    <x v="0"/>
  </r>
  <r>
    <x v="863"/>
    <s v="No"/>
    <x v="1"/>
    <s v="Sales Executive"/>
    <x v="0"/>
    <x v="1"/>
    <n v="7"/>
    <n v="74052"/>
    <n v="17"/>
    <n v="37.5"/>
    <s v="No"/>
    <n v="59"/>
    <s v="Woman"/>
    <s v="Single"/>
    <x v="0"/>
    <n v="3"/>
    <s v="Bachelor's Degree"/>
    <s v="Life Sciences"/>
    <n v="3"/>
    <n v="0"/>
    <n v="13"/>
    <n v="2"/>
    <n v="6"/>
    <n v="1"/>
    <n v="0"/>
    <n v="5"/>
    <x v="1"/>
    <d v="2022-05-25T00:00:00"/>
    <x v="0"/>
    <s v="Voluntary"/>
    <x v="2"/>
    <x v="1"/>
    <x v="0"/>
    <x v="0"/>
    <x v="0"/>
  </r>
  <r>
    <x v="864"/>
    <s v="No"/>
    <x v="1"/>
    <s v="Research Scientist"/>
    <x v="0"/>
    <x v="0"/>
    <n v="7"/>
    <n v="74100"/>
    <n v="12"/>
    <n v="37.5"/>
    <s v="No"/>
    <n v="32"/>
    <s v="Woman"/>
    <s v="Married"/>
    <x v="0"/>
    <n v="8"/>
    <s v="Certificate or Diploma"/>
    <s v="Medical"/>
    <n v="3"/>
    <n v="1"/>
    <n v="9"/>
    <n v="3"/>
    <n v="5"/>
    <n v="3"/>
    <n v="1"/>
    <n v="3"/>
    <x v="1"/>
    <d v="2022-05-02T00:00:00"/>
    <x v="0"/>
    <s v="Involuntary"/>
    <x v="2"/>
    <x v="0"/>
    <x v="1"/>
    <x v="1"/>
    <x v="1"/>
  </r>
  <r>
    <x v="865"/>
    <s v="No"/>
    <x v="1"/>
    <s v="HR Operations Specialist"/>
    <x v="0"/>
    <x v="2"/>
    <n v="7"/>
    <n v="74448"/>
    <n v="11"/>
    <n v="37.5"/>
    <s v="No"/>
    <n v="39"/>
    <s v="Woman"/>
    <s v="Married"/>
    <x v="0"/>
    <n v="2"/>
    <s v="Bachelor's Degree"/>
    <s v="Life Sciences"/>
    <n v="3"/>
    <n v="2"/>
    <n v="13"/>
    <n v="2"/>
    <n v="5"/>
    <n v="4"/>
    <n v="0"/>
    <n v="4"/>
    <x v="1"/>
    <d v="2023-09-22T00:00:00"/>
    <x v="0"/>
    <s v="Voluntary"/>
    <x v="0"/>
    <x v="1"/>
    <x v="1"/>
    <x v="0"/>
    <x v="0"/>
  </r>
  <r>
    <x v="866"/>
    <s v="No"/>
    <x v="1"/>
    <s v="Sales Executive"/>
    <x v="0"/>
    <x v="1"/>
    <n v="7"/>
    <n v="74448"/>
    <n v="11"/>
    <n v="37.5"/>
    <s v="Yes"/>
    <n v="35"/>
    <s v="Woman"/>
    <s v="Married"/>
    <x v="0"/>
    <n v="7"/>
    <s v="Master's Degree"/>
    <s v="Life Sciences"/>
    <n v="3"/>
    <n v="0"/>
    <n v="10"/>
    <n v="2"/>
    <n v="10"/>
    <n v="8"/>
    <n v="0"/>
    <n v="9"/>
    <x v="2"/>
    <d v="2022-04-18T00:00:00"/>
    <x v="0"/>
    <s v="Involuntary"/>
    <x v="2"/>
    <x v="1"/>
    <x v="0"/>
    <x v="0"/>
    <x v="0"/>
  </r>
  <r>
    <x v="867"/>
    <s v="No"/>
    <x v="1"/>
    <s v="Manager, R&amp;D"/>
    <x v="1"/>
    <x v="0"/>
    <n v="4"/>
    <n v="214620"/>
    <n v="22"/>
    <n v="37.5"/>
    <s v="No"/>
    <n v="48"/>
    <s v="Man"/>
    <s v="Single"/>
    <x v="2"/>
    <n v="1"/>
    <s v="Master's Degree"/>
    <s v="Medical"/>
    <n v="4"/>
    <n v="0"/>
    <n v="27"/>
    <n v="3"/>
    <n v="5"/>
    <n v="4"/>
    <n v="2"/>
    <n v="1"/>
    <x v="1"/>
    <d v="2023-10-31T00:00:00"/>
    <x v="0"/>
    <s v="Involuntary"/>
    <x v="3"/>
    <x v="1"/>
    <x v="1"/>
    <x v="1"/>
    <x v="2"/>
  </r>
  <r>
    <x v="868"/>
    <s v="No"/>
    <x v="1"/>
    <s v="Healthcare Representative"/>
    <x v="0"/>
    <x v="0"/>
    <n v="9"/>
    <n v="137340"/>
    <n v="19"/>
    <n v="37.5"/>
    <s v="No"/>
    <n v="52"/>
    <s v="Man"/>
    <s v="Single"/>
    <x v="0"/>
    <n v="7"/>
    <s v="Master's Degree"/>
    <s v="Life Sciences"/>
    <n v="3"/>
    <n v="0"/>
    <n v="18"/>
    <n v="4"/>
    <n v="8"/>
    <n v="6"/>
    <n v="4"/>
    <n v="0"/>
    <x v="1"/>
    <d v="2023-05-07T00:00:00"/>
    <x v="0"/>
    <s v="Involuntary"/>
    <x v="1"/>
    <x v="3"/>
    <x v="0"/>
    <x v="0"/>
    <x v="1"/>
  </r>
  <r>
    <x v="869"/>
    <s v="No"/>
    <x v="1"/>
    <s v="Sales Executive"/>
    <x v="0"/>
    <x v="1"/>
    <n v="9"/>
    <n v="116880"/>
    <n v="14"/>
    <n v="37.5"/>
    <s v="Yes"/>
    <n v="38"/>
    <s v="Man"/>
    <s v="Divorced"/>
    <x v="0"/>
    <n v="10"/>
    <s v="Master's Degree"/>
    <s v="Marketing"/>
    <n v="3"/>
    <n v="2"/>
    <n v="9"/>
    <n v="2"/>
    <n v="8"/>
    <n v="7"/>
    <n v="2"/>
    <n v="7"/>
    <x v="1"/>
    <d v="2022-11-17T00:00:00"/>
    <x v="0"/>
    <s v="Voluntary"/>
    <x v="2"/>
    <x v="0"/>
    <x v="2"/>
    <x v="0"/>
    <x v="1"/>
  </r>
  <r>
    <x v="870"/>
    <s v="No"/>
    <x v="1"/>
    <s v="Sales Executive"/>
    <x v="0"/>
    <x v="1"/>
    <n v="7"/>
    <n v="74508"/>
    <n v="12"/>
    <n v="37.5"/>
    <s v="Yes"/>
    <n v="30"/>
    <s v="Woman"/>
    <s v="Divorced"/>
    <x v="0"/>
    <n v="4"/>
    <s v="Certificate or Diploma"/>
    <s v="Medical"/>
    <n v="3"/>
    <n v="3"/>
    <n v="11"/>
    <n v="4"/>
    <n v="11"/>
    <n v="8"/>
    <n v="2"/>
    <n v="7"/>
    <x v="2"/>
    <d v="2025-11-01T00:00:00"/>
    <x v="1"/>
    <s v="Involuntary"/>
    <x v="2"/>
    <x v="3"/>
    <x v="2"/>
    <x v="1"/>
    <x v="6"/>
  </r>
  <r>
    <x v="871"/>
    <s v="No"/>
    <x v="1"/>
    <s v="Manager, Sales"/>
    <x v="1"/>
    <x v="1"/>
    <n v="4"/>
    <n v="221580"/>
    <n v="12"/>
    <n v="37.5"/>
    <s v="No"/>
    <n v="46"/>
    <s v="Man"/>
    <s v="Married"/>
    <x v="0"/>
    <n v="3"/>
    <s v="Trades Apprenticeship"/>
    <s v="Marketing"/>
    <n v="3"/>
    <n v="1"/>
    <n v="23"/>
    <n v="3"/>
    <n v="12"/>
    <n v="9"/>
    <n v="4"/>
    <n v="9"/>
    <x v="2"/>
    <d v="2025-02-12T00:00:00"/>
    <x v="1"/>
    <s v="Voluntary"/>
    <x v="3"/>
    <x v="0"/>
    <x v="0"/>
    <x v="0"/>
    <x v="1"/>
  </r>
  <r>
    <x v="872"/>
    <s v="No"/>
    <x v="1"/>
    <s v="Sales Executive"/>
    <x v="0"/>
    <x v="1"/>
    <n v="9"/>
    <n v="100212"/>
    <n v="16"/>
    <n v="37.5"/>
    <s v="No"/>
    <n v="38"/>
    <s v="Man"/>
    <s v="Single"/>
    <x v="0"/>
    <n v="2"/>
    <s v="Certificate or Diploma"/>
    <s v="Marketing"/>
    <n v="3"/>
    <n v="0"/>
    <n v="10"/>
    <n v="2"/>
    <n v="1"/>
    <n v="0"/>
    <n v="0"/>
    <n v="0"/>
    <x v="0"/>
    <d v="2024-05-10T00:00:00"/>
    <x v="1"/>
    <s v="Involuntary"/>
    <x v="0"/>
    <x v="3"/>
    <x v="1"/>
    <x v="0"/>
    <x v="4"/>
  </r>
  <r>
    <x v="873"/>
    <s v="No"/>
    <x v="1"/>
    <s v="Sales Executive"/>
    <x v="0"/>
    <x v="1"/>
    <n v="7"/>
    <n v="74736"/>
    <n v="11"/>
    <n v="37.5"/>
    <s v="Yes"/>
    <n v="32"/>
    <s v="Woman"/>
    <s v="Married"/>
    <x v="0"/>
    <n v="8"/>
    <s v="Certificate or Diploma"/>
    <s v="Technical Degree"/>
    <n v="3"/>
    <n v="0"/>
    <n v="13"/>
    <n v="2"/>
    <n v="13"/>
    <n v="12"/>
    <n v="11"/>
    <n v="9"/>
    <x v="2"/>
    <d v="2023-02-07T00:00:00"/>
    <x v="0"/>
    <s v="Involuntary"/>
    <x v="2"/>
    <x v="3"/>
    <x v="0"/>
    <x v="0"/>
    <x v="4"/>
  </r>
  <r>
    <x v="874"/>
    <s v="No"/>
    <x v="1"/>
    <s v="Manufacturing Director"/>
    <x v="1"/>
    <x v="0"/>
    <n v="7"/>
    <n v="74736"/>
    <n v="15"/>
    <n v="37.5"/>
    <s v="No"/>
    <n v="36"/>
    <s v="Woman"/>
    <s v="Married"/>
    <x v="0"/>
    <n v="1"/>
    <s v="Bachelor's Degree"/>
    <s v="Other"/>
    <n v="3"/>
    <n v="1"/>
    <n v="10"/>
    <n v="2"/>
    <n v="9"/>
    <n v="7"/>
    <n v="0"/>
    <n v="5"/>
    <x v="1"/>
    <d v="2024-10-11T00:00:00"/>
    <x v="1"/>
    <s v="Voluntary"/>
    <x v="2"/>
    <x v="3"/>
    <x v="3"/>
    <x v="0"/>
    <x v="6"/>
  </r>
  <r>
    <x v="875"/>
    <s v="No"/>
    <x v="1"/>
    <s v="Laboratory Technician"/>
    <x v="0"/>
    <x v="0"/>
    <n v="7"/>
    <n v="74772"/>
    <n v="13"/>
    <n v="37.5"/>
    <s v="Yes"/>
    <n v="42"/>
    <s v="Woman"/>
    <s v="Married"/>
    <x v="0"/>
    <n v="3"/>
    <s v="Bachelor's Degree"/>
    <s v="Life Sciences"/>
    <n v="3"/>
    <n v="1"/>
    <n v="17"/>
    <n v="1"/>
    <n v="5"/>
    <n v="3"/>
    <n v="1"/>
    <n v="3"/>
    <x v="1"/>
    <d v="2024-07-17T00:00:00"/>
    <x v="1"/>
    <s v="Involuntary"/>
    <x v="2"/>
    <x v="1"/>
    <x v="2"/>
    <x v="1"/>
    <x v="1"/>
  </r>
  <r>
    <x v="876"/>
    <s v="No"/>
    <x v="1"/>
    <s v="Manufacturing Director"/>
    <x v="1"/>
    <x v="0"/>
    <n v="7"/>
    <n v="74856"/>
    <n v="20"/>
    <n v="37.5"/>
    <s v="No"/>
    <n v="31"/>
    <s v="Woman"/>
    <s v="Single"/>
    <x v="1"/>
    <n v="24"/>
    <s v="Trades Apprenticeship"/>
    <s v="Technical Degree"/>
    <n v="4"/>
    <n v="0"/>
    <n v="9"/>
    <n v="3"/>
    <n v="5"/>
    <n v="4"/>
    <n v="1"/>
    <n v="4"/>
    <x v="1"/>
    <d v="2022-07-13T00:00:00"/>
    <x v="0"/>
    <s v="Involuntary"/>
    <x v="0"/>
    <x v="1"/>
    <x v="0"/>
    <x v="1"/>
    <x v="0"/>
  </r>
  <r>
    <x v="877"/>
    <s v="No"/>
    <x v="1"/>
    <s v="Research Director"/>
    <x v="1"/>
    <x v="0"/>
    <n v="5"/>
    <n v="247512"/>
    <n v="14"/>
    <n v="37.5"/>
    <s v="No"/>
    <n v="40"/>
    <s v="Man"/>
    <s v="Single"/>
    <x v="0"/>
    <n v="14"/>
    <s v="Bachelor's Degree"/>
    <s v="Medical"/>
    <n v="3"/>
    <n v="0"/>
    <n v="21"/>
    <n v="2"/>
    <n v="20"/>
    <n v="7"/>
    <n v="4"/>
    <n v="9"/>
    <x v="2"/>
    <d v="2024-05-20T00:00:00"/>
    <x v="1"/>
    <s v="Involuntary"/>
    <x v="2"/>
    <x v="0"/>
    <x v="3"/>
    <x v="2"/>
    <x v="1"/>
  </r>
  <r>
    <x v="878"/>
    <s v="No"/>
    <x v="1"/>
    <s v="Laboratory Technician"/>
    <x v="0"/>
    <x v="0"/>
    <n v="8"/>
    <n v="93384"/>
    <n v="15"/>
    <n v="37.5"/>
    <s v="No"/>
    <n v="39"/>
    <s v="Man"/>
    <s v="Single"/>
    <x v="2"/>
    <n v="9"/>
    <s v="Bachelor's Degree"/>
    <s v="Life Sciences"/>
    <n v="3"/>
    <n v="0"/>
    <n v="9"/>
    <n v="2"/>
    <n v="5"/>
    <n v="4"/>
    <n v="0"/>
    <n v="3"/>
    <x v="1"/>
    <d v="2022-10-08T00:00:00"/>
    <x v="0"/>
    <s v="Voluntary"/>
    <x v="2"/>
    <x v="3"/>
    <x v="1"/>
    <x v="1"/>
    <x v="2"/>
  </r>
  <r>
    <x v="879"/>
    <s v="No"/>
    <x v="1"/>
    <s v="Laboratory Technician"/>
    <x v="0"/>
    <x v="0"/>
    <n v="7"/>
    <n v="75084"/>
    <n v="11"/>
    <n v="37.5"/>
    <s v="No"/>
    <n v="43"/>
    <s v="Woman"/>
    <s v="Divorced"/>
    <x v="1"/>
    <n v="10"/>
    <s v="Master's Degree"/>
    <s v="Life Sciences"/>
    <n v="3"/>
    <n v="1"/>
    <n v="9"/>
    <n v="3"/>
    <n v="9"/>
    <n v="7"/>
    <n v="0"/>
    <n v="0"/>
    <x v="1"/>
    <d v="2025-10-18T00:00:00"/>
    <x v="1"/>
    <s v="Voluntary"/>
    <x v="2"/>
    <x v="0"/>
    <x v="2"/>
    <x v="2"/>
    <x v="4"/>
  </r>
  <r>
    <x v="880"/>
    <s v="No"/>
    <x v="1"/>
    <s v="Manufacturing Director"/>
    <x v="1"/>
    <x v="0"/>
    <n v="7"/>
    <n v="75096"/>
    <n v="14"/>
    <n v="37.5"/>
    <s v="No"/>
    <n v="46"/>
    <s v="Woman"/>
    <s v="Married"/>
    <x v="2"/>
    <n v="7"/>
    <s v="Master's Degree"/>
    <s v="Medical"/>
    <n v="3"/>
    <n v="0"/>
    <n v="7"/>
    <n v="2"/>
    <n v="1"/>
    <n v="0"/>
    <n v="0"/>
    <n v="0"/>
    <x v="0"/>
    <d v="2022-08-12T00:00:00"/>
    <x v="0"/>
    <s v="Involuntary"/>
    <x v="2"/>
    <x v="0"/>
    <x v="1"/>
    <x v="2"/>
    <x v="5"/>
  </r>
  <r>
    <x v="881"/>
    <s v="No"/>
    <x v="1"/>
    <s v="Manufacturing Director"/>
    <x v="1"/>
    <x v="0"/>
    <n v="7"/>
    <n v="75180"/>
    <n v="16"/>
    <n v="37.5"/>
    <s v="No"/>
    <n v="42"/>
    <s v="Woman"/>
    <s v="Divorced"/>
    <x v="2"/>
    <n v="21"/>
    <s v="Certificate or Diploma"/>
    <s v="Medical"/>
    <n v="3"/>
    <n v="1"/>
    <n v="11"/>
    <n v="5"/>
    <n v="5"/>
    <n v="3"/>
    <n v="0"/>
    <n v="2"/>
    <x v="1"/>
    <d v="2025-09-12T00:00:00"/>
    <x v="1"/>
    <s v="Involuntary"/>
    <x v="2"/>
    <x v="0"/>
    <x v="2"/>
    <x v="0"/>
    <x v="1"/>
  </r>
  <r>
    <x v="882"/>
    <s v="No"/>
    <x v="1"/>
    <s v="Manufacturing Director"/>
    <x v="1"/>
    <x v="0"/>
    <n v="9"/>
    <n v="105348"/>
    <n v="20"/>
    <n v="37.5"/>
    <s v="No"/>
    <n v="36"/>
    <s v="Man"/>
    <s v="Single"/>
    <x v="2"/>
    <n v="18"/>
    <s v="Master's Degree"/>
    <s v="Life Sciences"/>
    <n v="4"/>
    <n v="0"/>
    <n v="18"/>
    <n v="0"/>
    <n v="11"/>
    <n v="9"/>
    <n v="0"/>
    <n v="9"/>
    <x v="2"/>
    <d v="2024-07-11T00:00:00"/>
    <x v="1"/>
    <s v="Involuntary"/>
    <x v="3"/>
    <x v="1"/>
    <x v="3"/>
    <x v="0"/>
    <x v="6"/>
  </r>
  <r>
    <x v="883"/>
    <s v="No"/>
    <x v="1"/>
    <s v="Sales Representative"/>
    <x v="0"/>
    <x v="1"/>
    <n v="5"/>
    <n v="57492"/>
    <n v="12"/>
    <n v="37.5"/>
    <s v="No"/>
    <n v="31"/>
    <s v="Man"/>
    <s v="Married"/>
    <x v="1"/>
    <n v="20"/>
    <s v="Bachelor's Degree"/>
    <s v="Life Sciences"/>
    <n v="3"/>
    <n v="1"/>
    <n v="3"/>
    <n v="4"/>
    <n v="2"/>
    <n v="2"/>
    <n v="2"/>
    <n v="2"/>
    <x v="0"/>
    <d v="2022-10-16T00:00:00"/>
    <x v="0"/>
    <s v="Involuntary"/>
    <x v="2"/>
    <x v="1"/>
    <x v="3"/>
    <x v="0"/>
    <x v="1"/>
  </r>
  <r>
    <x v="884"/>
    <s v="No"/>
    <x v="1"/>
    <s v="Research Scientist"/>
    <x v="0"/>
    <x v="0"/>
    <n v="6"/>
    <n v="62412"/>
    <n v="17"/>
    <n v="37.5"/>
    <s v="No"/>
    <n v="28"/>
    <s v="Man"/>
    <s v="Married"/>
    <x v="0"/>
    <n v="2"/>
    <s v="Trades Apprenticeship"/>
    <s v="Life Sciences"/>
    <n v="3"/>
    <n v="0"/>
    <n v="6"/>
    <n v="2"/>
    <n v="5"/>
    <n v="3"/>
    <n v="0"/>
    <n v="4"/>
    <x v="1"/>
    <d v="2024-04-27T00:00:00"/>
    <x v="1"/>
    <s v="Voluntary"/>
    <x v="3"/>
    <x v="3"/>
    <x v="3"/>
    <x v="3"/>
    <x v="10"/>
  </r>
  <r>
    <x v="885"/>
    <s v="No"/>
    <x v="1"/>
    <s v="Sales Executive"/>
    <x v="0"/>
    <x v="1"/>
    <n v="7"/>
    <n v="71616"/>
    <n v="11"/>
    <n v="37.5"/>
    <s v="No"/>
    <n v="35"/>
    <s v="Man"/>
    <s v="Divorced"/>
    <x v="1"/>
    <n v="11"/>
    <s v="Certificate or Diploma"/>
    <s v="Marketing"/>
    <n v="3"/>
    <n v="1"/>
    <n v="5"/>
    <n v="3"/>
    <n v="5"/>
    <n v="2"/>
    <n v="0"/>
    <n v="2"/>
    <x v="1"/>
    <d v="2023-08-14T00:00:00"/>
    <x v="0"/>
    <s v="Voluntary"/>
    <x v="0"/>
    <x v="1"/>
    <x v="0"/>
    <x v="0"/>
    <x v="7"/>
  </r>
  <r>
    <x v="886"/>
    <s v="No"/>
    <x v="1"/>
    <s v="Sales Executive"/>
    <x v="0"/>
    <x v="1"/>
    <n v="10"/>
    <n v="169440"/>
    <n v="17"/>
    <n v="37.5"/>
    <s v="No"/>
    <n v="49"/>
    <s v="Man"/>
    <s v="Married"/>
    <x v="0"/>
    <n v="8"/>
    <s v="Master's Degree"/>
    <s v="Technical Degree"/>
    <n v="3"/>
    <n v="1"/>
    <n v="22"/>
    <n v="3"/>
    <n v="9"/>
    <n v="8"/>
    <n v="2"/>
    <n v="3"/>
    <x v="1"/>
    <d v="2022-08-25T00:00:00"/>
    <x v="0"/>
    <s v="Involuntary"/>
    <x v="0"/>
    <x v="3"/>
    <x v="2"/>
    <x v="0"/>
    <x v="1"/>
  </r>
  <r>
    <x v="887"/>
    <s v="No"/>
    <x v="1"/>
    <s v="Manufacturing Director"/>
    <x v="1"/>
    <x v="0"/>
    <n v="6"/>
    <n v="60396"/>
    <n v="11"/>
    <n v="37.5"/>
    <s v="No"/>
    <n v="34"/>
    <s v="Man"/>
    <s v="Single"/>
    <x v="1"/>
    <n v="2"/>
    <s v="Certificate or Diploma"/>
    <s v="Life Sciences"/>
    <n v="3"/>
    <n v="0"/>
    <n v="5"/>
    <n v="3"/>
    <n v="3"/>
    <n v="2"/>
    <n v="0"/>
    <n v="2"/>
    <x v="1"/>
    <d v="2025-09-14T00:00:00"/>
    <x v="1"/>
    <s v="Involuntary"/>
    <x v="0"/>
    <x v="0"/>
    <x v="0"/>
    <x v="1"/>
    <x v="5"/>
  </r>
  <r>
    <x v="888"/>
    <s v="No"/>
    <x v="1"/>
    <s v="Laboratory Technician"/>
    <x v="0"/>
    <x v="0"/>
    <n v="6"/>
    <n v="63264"/>
    <n v="19"/>
    <n v="37.5"/>
    <s v="No"/>
    <n v="42"/>
    <s v="Man"/>
    <s v="Single"/>
    <x v="0"/>
    <n v="29"/>
    <s v="Bachelor's Degree"/>
    <s v="Medical"/>
    <n v="3"/>
    <n v="0"/>
    <n v="16"/>
    <n v="3"/>
    <n v="1"/>
    <n v="0"/>
    <n v="0"/>
    <n v="0"/>
    <x v="0"/>
    <d v="2025-09-19T00:00:00"/>
    <x v="1"/>
    <s v="Involuntary"/>
    <x v="1"/>
    <x v="1"/>
    <x v="3"/>
    <x v="0"/>
    <x v="2"/>
  </r>
  <r>
    <x v="889"/>
    <s v="No"/>
    <x v="1"/>
    <s v="Manufacturing Director"/>
    <x v="1"/>
    <x v="0"/>
    <n v="7"/>
    <n v="72672"/>
    <n v="15"/>
    <n v="37.5"/>
    <s v="Yes"/>
    <n v="29"/>
    <s v="Man"/>
    <s v="Married"/>
    <x v="0"/>
    <n v="8"/>
    <s v="Trades Apprenticeship"/>
    <s v="Medical"/>
    <n v="3"/>
    <n v="1"/>
    <n v="10"/>
    <n v="2"/>
    <n v="10"/>
    <n v="7"/>
    <n v="1"/>
    <n v="2"/>
    <x v="2"/>
    <d v="2024-08-09T00:00:00"/>
    <x v="1"/>
    <s v="Voluntary"/>
    <x v="1"/>
    <x v="1"/>
    <x v="1"/>
    <x v="1"/>
    <x v="1"/>
  </r>
  <r>
    <x v="890"/>
    <s v="No"/>
    <x v="1"/>
    <s v="HR Operations Specialist"/>
    <x v="0"/>
    <x v="2"/>
    <n v="5"/>
    <n v="58128"/>
    <n v="13"/>
    <n v="37.5"/>
    <s v="No"/>
    <n v="38"/>
    <s v="Man"/>
    <s v="Married"/>
    <x v="0"/>
    <n v="1"/>
    <s v="Bachelor's Degree"/>
    <s v="Human Resources"/>
    <n v="3"/>
    <n v="1"/>
    <n v="7"/>
    <n v="2"/>
    <n v="7"/>
    <n v="6"/>
    <n v="5"/>
    <n v="0"/>
    <x v="1"/>
    <d v="2023-09-19T00:00:00"/>
    <x v="0"/>
    <s v="Involuntary"/>
    <x v="2"/>
    <x v="0"/>
    <x v="0"/>
    <x v="2"/>
    <x v="0"/>
  </r>
  <r>
    <x v="891"/>
    <s v="No"/>
    <x v="1"/>
    <s v="Research Scientist"/>
    <x v="0"/>
    <x v="0"/>
    <n v="7"/>
    <n v="75948"/>
    <n v="12"/>
    <n v="37.5"/>
    <s v="Yes"/>
    <n v="38"/>
    <s v="Woman"/>
    <s v="Divorced"/>
    <x v="2"/>
    <n v="6"/>
    <s v="Bachelor's Degree"/>
    <s v="Medical"/>
    <n v="3"/>
    <n v="3"/>
    <n v="17"/>
    <n v="3"/>
    <n v="13"/>
    <n v="11"/>
    <n v="1"/>
    <n v="9"/>
    <x v="2"/>
    <d v="2022-01-30T00:00:00"/>
    <x v="0"/>
    <s v="Voluntary"/>
    <x v="1"/>
    <x v="1"/>
    <x v="0"/>
    <x v="0"/>
    <x v="5"/>
  </r>
  <r>
    <x v="892"/>
    <s v="No"/>
    <x v="1"/>
    <s v="Research Scientist"/>
    <x v="0"/>
    <x v="0"/>
    <n v="5"/>
    <n v="56436"/>
    <n v="14"/>
    <n v="37.5"/>
    <s v="Yes"/>
    <n v="28"/>
    <s v="Man"/>
    <s v="Divorced"/>
    <x v="1"/>
    <n v="6"/>
    <s v="Bachelor's Degree"/>
    <s v="Life Sciences"/>
    <n v="3"/>
    <n v="1"/>
    <n v="3"/>
    <n v="2"/>
    <n v="3"/>
    <n v="1"/>
    <n v="0"/>
    <n v="2"/>
    <x v="1"/>
    <d v="2024-03-08T00:00:00"/>
    <x v="1"/>
    <s v="Involuntary"/>
    <x v="2"/>
    <x v="0"/>
    <x v="0"/>
    <x v="0"/>
    <x v="5"/>
  </r>
  <r>
    <x v="893"/>
    <s v="No"/>
    <x v="1"/>
    <s v="Laboratory Technician"/>
    <x v="0"/>
    <x v="0"/>
    <n v="6"/>
    <n v="69192"/>
    <n v="11"/>
    <n v="37.5"/>
    <s v="Yes"/>
    <n v="41"/>
    <s v="Man"/>
    <s v="Married"/>
    <x v="0"/>
    <n v="12"/>
    <s v="Master's Degree"/>
    <s v="Life Sciences"/>
    <n v="3"/>
    <n v="1"/>
    <n v="6"/>
    <n v="4"/>
    <n v="1"/>
    <n v="0"/>
    <n v="0"/>
    <n v="0"/>
    <x v="0"/>
    <d v="2025-03-14T00:00:00"/>
    <x v="1"/>
    <s v="Voluntary"/>
    <x v="1"/>
    <x v="1"/>
    <x v="3"/>
    <x v="0"/>
    <x v="2"/>
  </r>
  <r>
    <x v="894"/>
    <s v="No"/>
    <x v="1"/>
    <s v="Sales Executive"/>
    <x v="0"/>
    <x v="1"/>
    <n v="7"/>
    <n v="76116"/>
    <n v="11"/>
    <n v="37.5"/>
    <s v="No"/>
    <n v="38"/>
    <s v="Woman"/>
    <s v="Married"/>
    <x v="0"/>
    <n v="10"/>
    <s v="Certificate or Diploma"/>
    <s v="Life Sciences"/>
    <n v="3"/>
    <n v="1"/>
    <n v="10"/>
    <n v="1"/>
    <n v="10"/>
    <n v="7"/>
    <n v="1"/>
    <n v="9"/>
    <x v="2"/>
    <d v="2024-07-25T00:00:00"/>
    <x v="1"/>
    <s v="Involuntary"/>
    <x v="3"/>
    <x v="1"/>
    <x v="1"/>
    <x v="0"/>
    <x v="1"/>
  </r>
  <r>
    <x v="895"/>
    <s v="No"/>
    <x v="1"/>
    <s v="Research Scientist"/>
    <x v="0"/>
    <x v="0"/>
    <n v="4"/>
    <n v="54468"/>
    <n v="13"/>
    <n v="37.5"/>
    <s v="No"/>
    <n v="27"/>
    <s v="Man"/>
    <s v="Married"/>
    <x v="0"/>
    <n v="6"/>
    <s v="Bachelor's Degree"/>
    <s v="Life Sciences"/>
    <n v="3"/>
    <n v="1"/>
    <n v="4"/>
    <n v="0"/>
    <n v="4"/>
    <n v="2"/>
    <n v="2"/>
    <n v="2"/>
    <x v="1"/>
    <d v="2022-10-15T00:00:00"/>
    <x v="0"/>
    <s v="Involuntary"/>
    <x v="0"/>
    <x v="0"/>
    <x v="1"/>
    <x v="0"/>
    <x v="5"/>
  </r>
  <r>
    <x v="896"/>
    <s v="No"/>
    <x v="1"/>
    <s v="Laboratory Technician"/>
    <x v="0"/>
    <x v="0"/>
    <n v="7"/>
    <n v="76356"/>
    <n v="12"/>
    <n v="37.5"/>
    <s v="No"/>
    <n v="35"/>
    <s v="Woman"/>
    <s v="Married"/>
    <x v="0"/>
    <n v="1"/>
    <s v="Bachelor's Degree"/>
    <s v="Medical"/>
    <n v="3"/>
    <n v="1"/>
    <n v="10"/>
    <n v="0"/>
    <n v="9"/>
    <n v="7"/>
    <n v="0"/>
    <n v="0"/>
    <x v="1"/>
    <d v="2023-06-26T00:00:00"/>
    <x v="0"/>
    <s v="Involuntary"/>
    <x v="0"/>
    <x v="1"/>
    <x v="2"/>
    <x v="0"/>
    <x v="5"/>
  </r>
  <r>
    <x v="897"/>
    <s v="No"/>
    <x v="1"/>
    <s v="Sales Executive"/>
    <x v="0"/>
    <x v="1"/>
    <n v="7"/>
    <n v="76416"/>
    <n v="25"/>
    <n v="37.5"/>
    <s v="Yes"/>
    <n v="33"/>
    <s v="Woman"/>
    <s v="Divorced"/>
    <x v="2"/>
    <n v="16"/>
    <s v="Bachelor's Degree"/>
    <s v="Life Sciences"/>
    <n v="4"/>
    <n v="1"/>
    <n v="7"/>
    <n v="2"/>
    <n v="6"/>
    <n v="5"/>
    <n v="1"/>
    <n v="2"/>
    <x v="1"/>
    <d v="2025-03-20T00:00:00"/>
    <x v="1"/>
    <s v="Involuntary"/>
    <x v="2"/>
    <x v="1"/>
    <x v="1"/>
    <x v="0"/>
    <x v="5"/>
  </r>
  <r>
    <x v="898"/>
    <s v="No"/>
    <x v="1"/>
    <s v="HR Operations Specialist"/>
    <x v="0"/>
    <x v="2"/>
    <n v="6"/>
    <n v="63876"/>
    <n v="17"/>
    <n v="37.5"/>
    <s v="No"/>
    <n v="35"/>
    <s v="Man"/>
    <s v="Single"/>
    <x v="0"/>
    <n v="8"/>
    <s v="Master's Degree"/>
    <s v="Technical Degree"/>
    <n v="3"/>
    <n v="0"/>
    <n v="6"/>
    <n v="2"/>
    <n v="5"/>
    <n v="4"/>
    <n v="1"/>
    <n v="4"/>
    <x v="1"/>
    <d v="2022-03-03T00:00:00"/>
    <x v="0"/>
    <s v="Voluntary"/>
    <x v="2"/>
    <x v="0"/>
    <x v="2"/>
    <x v="3"/>
    <x v="6"/>
  </r>
  <r>
    <x v="899"/>
    <s v="No"/>
    <x v="1"/>
    <s v="Sales Executive"/>
    <x v="0"/>
    <x v="1"/>
    <n v="7"/>
    <n v="76512"/>
    <n v="19"/>
    <n v="37.5"/>
    <s v="No"/>
    <n v="33"/>
    <s v="Woman"/>
    <s v="Married"/>
    <x v="1"/>
    <n v="1"/>
    <s v="Bachelor's Degree"/>
    <s v="Life Sciences"/>
    <n v="3"/>
    <n v="2"/>
    <n v="10"/>
    <n v="3"/>
    <n v="5"/>
    <n v="3"/>
    <n v="1"/>
    <n v="3"/>
    <x v="1"/>
    <d v="2024-05-11T00:00:00"/>
    <x v="1"/>
    <s v="Voluntary"/>
    <x v="2"/>
    <x v="2"/>
    <x v="3"/>
    <x v="0"/>
    <x v="8"/>
  </r>
  <r>
    <x v="900"/>
    <s v="No"/>
    <x v="1"/>
    <s v="Sales Executive"/>
    <x v="0"/>
    <x v="1"/>
    <n v="7"/>
    <n v="76560"/>
    <n v="16"/>
    <n v="37.5"/>
    <s v="No"/>
    <n v="56"/>
    <s v="Woman"/>
    <s v="Married"/>
    <x v="0"/>
    <n v="11"/>
    <s v="Doctorate"/>
    <s v="Marketing"/>
    <n v="3"/>
    <n v="1"/>
    <n v="6"/>
    <n v="3"/>
    <n v="0"/>
    <n v="0"/>
    <n v="0"/>
    <n v="0"/>
    <x v="0"/>
    <d v="2025-02-07T00:00:00"/>
    <x v="1"/>
    <s v="Involuntary"/>
    <x v="0"/>
    <x v="2"/>
    <x v="1"/>
    <x v="0"/>
    <x v="1"/>
  </r>
  <r>
    <x v="901"/>
    <s v="No"/>
    <x v="1"/>
    <s v="Sales Executive"/>
    <x v="0"/>
    <x v="1"/>
    <n v="7"/>
    <n v="73860"/>
    <n v="13"/>
    <n v="37.5"/>
    <s v="No"/>
    <n v="42"/>
    <s v="Man"/>
    <s v="Single"/>
    <x v="0"/>
    <n v="4"/>
    <s v="Master's Degree"/>
    <s v="Marketing"/>
    <n v="3"/>
    <n v="0"/>
    <n v="9"/>
    <n v="3"/>
    <n v="6"/>
    <n v="4"/>
    <n v="1"/>
    <n v="5"/>
    <x v="1"/>
    <d v="2024-03-06T00:00:00"/>
    <x v="1"/>
    <s v="Involuntary"/>
    <x v="1"/>
    <x v="2"/>
    <x v="0"/>
    <x v="2"/>
    <x v="1"/>
  </r>
  <r>
    <x v="902"/>
    <s v="No"/>
    <x v="1"/>
    <s v="Laboratory Technician"/>
    <x v="0"/>
    <x v="0"/>
    <n v="4"/>
    <n v="51096"/>
    <n v="12"/>
    <n v="37.5"/>
    <s v="No"/>
    <n v="35"/>
    <s v="Man"/>
    <s v="Married"/>
    <x v="0"/>
    <n v="1"/>
    <s v="Master's Degree"/>
    <s v="Medical"/>
    <n v="3"/>
    <n v="1"/>
    <n v="10"/>
    <n v="2"/>
    <n v="8"/>
    <n v="0"/>
    <n v="1"/>
    <n v="7"/>
    <x v="1"/>
    <d v="2025-01-12T00:00:00"/>
    <x v="1"/>
    <s v="Voluntary"/>
    <x v="0"/>
    <x v="0"/>
    <x v="2"/>
    <x v="0"/>
    <x v="4"/>
  </r>
  <r>
    <x v="903"/>
    <s v="No"/>
    <x v="1"/>
    <s v="Laboratory Technician"/>
    <x v="0"/>
    <x v="0"/>
    <n v="6"/>
    <n v="67164"/>
    <n v="22"/>
    <n v="37.5"/>
    <s v="No"/>
    <n v="24"/>
    <s v="Man"/>
    <s v="Single"/>
    <x v="0"/>
    <n v="24"/>
    <s v="Bachelor's Degree"/>
    <s v="Medical"/>
    <n v="4"/>
    <n v="0"/>
    <n v="6"/>
    <n v="2"/>
    <n v="4"/>
    <n v="3"/>
    <n v="1"/>
    <n v="2"/>
    <x v="1"/>
    <d v="2024-01-11T00:00:00"/>
    <x v="1"/>
    <s v="Voluntary"/>
    <x v="0"/>
    <x v="3"/>
    <x v="0"/>
    <x v="0"/>
    <x v="5"/>
  </r>
  <r>
    <x v="904"/>
    <s v="No"/>
    <x v="1"/>
    <s v="Laboratory Technician"/>
    <x v="0"/>
    <x v="0"/>
    <n v="6"/>
    <n v="65040"/>
    <n v="22"/>
    <n v="37.5"/>
    <s v="No"/>
    <n v="26"/>
    <s v="Man"/>
    <s v="Married"/>
    <x v="0"/>
    <n v="3"/>
    <s v="Master's Degree"/>
    <s v="Medical"/>
    <n v="4"/>
    <n v="1"/>
    <n v="8"/>
    <n v="2"/>
    <n v="8"/>
    <n v="7"/>
    <n v="0"/>
    <n v="7"/>
    <x v="1"/>
    <d v="2025-12-13T00:00:00"/>
    <x v="1"/>
    <s v="Involuntary"/>
    <x v="3"/>
    <x v="1"/>
    <x v="2"/>
    <x v="0"/>
    <x v="2"/>
  </r>
  <r>
    <x v="905"/>
    <s v="No"/>
    <x v="1"/>
    <s v="Sales Executive"/>
    <x v="0"/>
    <x v="1"/>
    <n v="8"/>
    <n v="90936"/>
    <n v="18"/>
    <n v="37.5"/>
    <s v="No"/>
    <n v="30"/>
    <s v="Man"/>
    <s v="Married"/>
    <x v="0"/>
    <n v="10"/>
    <s v="Bachelor's Degree"/>
    <s v="Marketing"/>
    <n v="3"/>
    <n v="1"/>
    <n v="10"/>
    <n v="3"/>
    <n v="10"/>
    <n v="3"/>
    <n v="1"/>
    <n v="4"/>
    <x v="2"/>
    <d v="2024-12-03T00:00:00"/>
    <x v="1"/>
    <s v="Involuntary"/>
    <x v="2"/>
    <x v="0"/>
    <x v="3"/>
    <x v="0"/>
    <x v="2"/>
  </r>
  <r>
    <x v="906"/>
    <s v="No"/>
    <x v="1"/>
    <s v="Sales Representative"/>
    <x v="0"/>
    <x v="1"/>
    <n v="7"/>
    <n v="76860"/>
    <n v="20"/>
    <n v="37.5"/>
    <s v="Yes"/>
    <n v="38"/>
    <s v="Woman"/>
    <s v="Married"/>
    <x v="0"/>
    <n v="2"/>
    <s v="Master's Degree"/>
    <s v="Marketing"/>
    <n v="4"/>
    <n v="2"/>
    <n v="20"/>
    <n v="4"/>
    <n v="4"/>
    <n v="2"/>
    <n v="0"/>
    <n v="3"/>
    <x v="1"/>
    <d v="2025-02-15T00:00:00"/>
    <x v="1"/>
    <s v="Involuntary"/>
    <x v="1"/>
    <x v="1"/>
    <x v="3"/>
    <x v="1"/>
    <x v="6"/>
  </r>
  <r>
    <x v="907"/>
    <s v="No"/>
    <x v="1"/>
    <s v="Manufacturing Director"/>
    <x v="1"/>
    <x v="0"/>
    <n v="9"/>
    <n v="135288"/>
    <n v="18"/>
    <n v="37.5"/>
    <s v="No"/>
    <n v="35"/>
    <s v="Man"/>
    <s v="Divorced"/>
    <x v="0"/>
    <n v="2"/>
    <s v="Bachelor's Degree"/>
    <s v="Life Sciences"/>
    <n v="3"/>
    <n v="1"/>
    <n v="15"/>
    <n v="2"/>
    <n v="7"/>
    <n v="7"/>
    <n v="6"/>
    <n v="4"/>
    <x v="1"/>
    <d v="2022-11-01T00:00:00"/>
    <x v="0"/>
    <s v="Voluntary"/>
    <x v="2"/>
    <x v="3"/>
    <x v="2"/>
    <x v="2"/>
    <x v="1"/>
  </r>
  <r>
    <x v="908"/>
    <s v="No"/>
    <x v="1"/>
    <s v="Manufacturing Director"/>
    <x v="1"/>
    <x v="0"/>
    <n v="7"/>
    <n v="76920"/>
    <n v="11"/>
    <n v="37.5"/>
    <s v="Yes"/>
    <n v="36"/>
    <s v="Woman"/>
    <s v="Single"/>
    <x v="0"/>
    <n v="2"/>
    <s v="Master's Degree"/>
    <s v="Life Sciences"/>
    <n v="3"/>
    <n v="0"/>
    <n v="18"/>
    <n v="2"/>
    <n v="16"/>
    <n v="14"/>
    <n v="5"/>
    <n v="12"/>
    <x v="2"/>
    <d v="2024-07-15T00:00:00"/>
    <x v="1"/>
    <s v="Involuntary"/>
    <x v="2"/>
    <x v="3"/>
    <x v="0"/>
    <x v="0"/>
    <x v="4"/>
  </r>
  <r>
    <x v="909"/>
    <s v="No"/>
    <x v="1"/>
    <s v="Healthcare Representative"/>
    <x v="0"/>
    <x v="0"/>
    <n v="7"/>
    <n v="76116"/>
    <n v="20"/>
    <n v="37.5"/>
    <s v="No"/>
    <n v="34"/>
    <s v="Man"/>
    <s v="Single"/>
    <x v="1"/>
    <n v="1"/>
    <s v="Bachelor's Degree"/>
    <s v="Medical"/>
    <n v="4"/>
    <n v="0"/>
    <n v="14"/>
    <n v="3"/>
    <n v="13"/>
    <n v="9"/>
    <n v="4"/>
    <n v="9"/>
    <x v="2"/>
    <d v="2022-05-28T00:00:00"/>
    <x v="0"/>
    <s v="Voluntary"/>
    <x v="0"/>
    <x v="2"/>
    <x v="1"/>
    <x v="0"/>
    <x v="1"/>
  </r>
  <r>
    <x v="910"/>
    <s v="No"/>
    <x v="1"/>
    <s v="Laboratory Technician"/>
    <x v="0"/>
    <x v="0"/>
    <n v="4"/>
    <n v="52512"/>
    <n v="13"/>
    <n v="37.5"/>
    <s v="No"/>
    <n v="35"/>
    <s v="Man"/>
    <s v="Married"/>
    <x v="1"/>
    <n v="4"/>
    <s v="Master's Degree"/>
    <s v="Other"/>
    <n v="3"/>
    <n v="1"/>
    <n v="2"/>
    <n v="2"/>
    <n v="2"/>
    <n v="2"/>
    <n v="2"/>
    <n v="2"/>
    <x v="0"/>
    <d v="2025-11-07T00:00:00"/>
    <x v="1"/>
    <s v="Involuntary"/>
    <x v="0"/>
    <x v="1"/>
    <x v="2"/>
    <x v="2"/>
    <x v="0"/>
  </r>
  <r>
    <x v="911"/>
    <s v="No"/>
    <x v="1"/>
    <s v="Research Scientist"/>
    <x v="0"/>
    <x v="0"/>
    <n v="4"/>
    <n v="54624"/>
    <n v="25"/>
    <n v="37.5"/>
    <s v="No"/>
    <n v="19"/>
    <s v="Man"/>
    <s v="Single"/>
    <x v="0"/>
    <n v="9"/>
    <s v="Certificate or Diploma"/>
    <s v="Life Sciences"/>
    <n v="4"/>
    <n v="0"/>
    <n v="1"/>
    <n v="4"/>
    <n v="1"/>
    <n v="1"/>
    <n v="0"/>
    <n v="0"/>
    <x v="0"/>
    <d v="2022-10-25T00:00:00"/>
    <x v="0"/>
    <s v="Involuntary"/>
    <x v="2"/>
    <x v="2"/>
    <x v="1"/>
    <x v="0"/>
    <x v="2"/>
  </r>
  <r>
    <x v="912"/>
    <s v="No"/>
    <x v="1"/>
    <s v="Research Scientist"/>
    <x v="0"/>
    <x v="0"/>
    <n v="7"/>
    <n v="77196"/>
    <n v="12"/>
    <n v="37.5"/>
    <s v="No"/>
    <n v="34"/>
    <s v="Woman"/>
    <s v="Divorced"/>
    <x v="0"/>
    <n v="3"/>
    <s v="Bachelor's Degree"/>
    <s v="Life Sciences"/>
    <n v="3"/>
    <n v="1"/>
    <n v="11"/>
    <n v="2"/>
    <n v="11"/>
    <n v="8"/>
    <n v="7"/>
    <n v="9"/>
    <x v="2"/>
    <d v="2022-03-21T00:00:00"/>
    <x v="0"/>
    <s v="Voluntary"/>
    <x v="0"/>
    <x v="3"/>
    <x v="1"/>
    <x v="0"/>
    <x v="4"/>
  </r>
  <r>
    <x v="913"/>
    <s v="No"/>
    <x v="1"/>
    <s v="Laboratory Technician"/>
    <x v="0"/>
    <x v="0"/>
    <n v="6"/>
    <n v="60396"/>
    <n v="12"/>
    <n v="37.5"/>
    <s v="No"/>
    <n v="20"/>
    <s v="Man"/>
    <s v="Single"/>
    <x v="0"/>
    <n v="3"/>
    <s v="Bachelor's Degree"/>
    <s v="Life Sciences"/>
    <n v="3"/>
    <n v="0"/>
    <n v="2"/>
    <n v="2"/>
    <n v="2"/>
    <n v="2"/>
    <n v="1"/>
    <n v="2"/>
    <x v="0"/>
    <d v="2023-11-08T00:00:00"/>
    <x v="0"/>
    <s v="Voluntary"/>
    <x v="3"/>
    <x v="0"/>
    <x v="3"/>
    <x v="1"/>
    <x v="3"/>
  </r>
  <r>
    <x v="914"/>
    <s v="No"/>
    <x v="1"/>
    <s v="Sales Executive"/>
    <x v="0"/>
    <x v="1"/>
    <n v="7"/>
    <n v="77448"/>
    <n v="21"/>
    <n v="37.5"/>
    <s v="Yes"/>
    <n v="44"/>
    <s v="Woman"/>
    <s v="Divorced"/>
    <x v="0"/>
    <n v="1"/>
    <s v="Doctorate"/>
    <s v="Marketing"/>
    <n v="4"/>
    <n v="1"/>
    <n v="9"/>
    <n v="2"/>
    <n v="4"/>
    <n v="3"/>
    <n v="1"/>
    <n v="3"/>
    <x v="1"/>
    <d v="2023-12-30T00:00:00"/>
    <x v="0"/>
    <s v="Voluntary"/>
    <x v="1"/>
    <x v="2"/>
    <x v="1"/>
    <x v="1"/>
    <x v="8"/>
  </r>
  <r>
    <x v="915"/>
    <s v="No"/>
    <x v="1"/>
    <s v="Research Scientist"/>
    <x v="0"/>
    <x v="0"/>
    <n v="7"/>
    <n v="77604"/>
    <n v="14"/>
    <n v="37.5"/>
    <s v="Yes"/>
    <n v="41"/>
    <s v="Woman"/>
    <s v="Divorced"/>
    <x v="1"/>
    <n v="22"/>
    <s v="Bachelor's Degree"/>
    <s v="Life Sciences"/>
    <n v="3"/>
    <n v="2"/>
    <n v="12"/>
    <n v="4"/>
    <n v="6"/>
    <n v="2"/>
    <n v="3"/>
    <n v="3"/>
    <x v="1"/>
    <d v="2025-12-24T00:00:00"/>
    <x v="1"/>
    <s v="Voluntary"/>
    <x v="0"/>
    <x v="1"/>
    <x v="3"/>
    <x v="1"/>
    <x v="1"/>
  </r>
  <r>
    <x v="916"/>
    <s v="No"/>
    <x v="1"/>
    <s v="Research Scientist"/>
    <x v="0"/>
    <x v="0"/>
    <n v="4"/>
    <n v="51480"/>
    <n v="13"/>
    <n v="37.5"/>
    <s v="No"/>
    <n v="44"/>
    <s v="Man"/>
    <s v="Single"/>
    <x v="2"/>
    <n v="17"/>
    <s v="Bachelor's Degree"/>
    <s v="Life Sciences"/>
    <n v="3"/>
    <n v="0"/>
    <n v="6"/>
    <n v="3"/>
    <n v="0"/>
    <n v="0"/>
    <n v="0"/>
    <n v="0"/>
    <x v="0"/>
    <d v="2023-04-19T00:00:00"/>
    <x v="0"/>
    <s v="Involuntary"/>
    <x v="0"/>
    <x v="0"/>
    <x v="0"/>
    <x v="0"/>
    <x v="0"/>
  </r>
  <r>
    <x v="917"/>
    <s v="No"/>
    <x v="1"/>
    <s v="Sales Executive"/>
    <x v="0"/>
    <x v="1"/>
    <n v="7"/>
    <n v="77616"/>
    <n v="14"/>
    <n v="37.5"/>
    <s v="No"/>
    <n v="31"/>
    <s v="Woman"/>
    <s v="Married"/>
    <x v="0"/>
    <n v="29"/>
    <s v="Master's Degree"/>
    <s v="Marketing"/>
    <n v="3"/>
    <n v="2"/>
    <n v="13"/>
    <n v="3"/>
    <n v="12"/>
    <n v="7"/>
    <n v="5"/>
    <n v="7"/>
    <x v="2"/>
    <d v="2024-12-19T00:00:00"/>
    <x v="1"/>
    <s v="Voluntary"/>
    <x v="3"/>
    <x v="1"/>
    <x v="3"/>
    <x v="0"/>
    <x v="6"/>
  </r>
  <r>
    <x v="918"/>
    <s v="No"/>
    <x v="1"/>
    <s v="HR Operations Specialist"/>
    <x v="0"/>
    <x v="2"/>
    <n v="6"/>
    <n v="67200"/>
    <n v="13"/>
    <n v="37.5"/>
    <s v="No"/>
    <n v="33"/>
    <s v="Man"/>
    <s v="Married"/>
    <x v="0"/>
    <n v="2"/>
    <s v="Bachelor's Degree"/>
    <s v="Human Resources"/>
    <n v="3"/>
    <n v="1"/>
    <n v="5"/>
    <n v="2"/>
    <n v="5"/>
    <n v="4"/>
    <n v="1"/>
    <n v="4"/>
    <x v="1"/>
    <d v="2023-05-15T00:00:00"/>
    <x v="0"/>
    <s v="Voluntary"/>
    <x v="1"/>
    <x v="0"/>
    <x v="0"/>
    <x v="0"/>
    <x v="4"/>
  </r>
  <r>
    <x v="919"/>
    <s v="No"/>
    <x v="1"/>
    <s v="Sales Executive"/>
    <x v="0"/>
    <x v="1"/>
    <n v="7"/>
    <n v="77676"/>
    <n v="11"/>
    <n v="37.5"/>
    <s v="No"/>
    <n v="59"/>
    <s v="Woman"/>
    <s v="Single"/>
    <x v="1"/>
    <n v="1"/>
    <s v="Trades Apprenticeship"/>
    <s v="Life Sciences"/>
    <n v="3"/>
    <n v="0"/>
    <n v="20"/>
    <n v="2"/>
    <n v="4"/>
    <n v="3"/>
    <n v="1"/>
    <n v="3"/>
    <x v="1"/>
    <d v="2023-06-29T00:00:00"/>
    <x v="0"/>
    <s v="Voluntary"/>
    <x v="3"/>
    <x v="0"/>
    <x v="0"/>
    <x v="1"/>
    <x v="2"/>
  </r>
  <r>
    <x v="920"/>
    <s v="No"/>
    <x v="1"/>
    <s v="Sales Executive"/>
    <x v="0"/>
    <x v="1"/>
    <n v="6"/>
    <n v="61380"/>
    <n v="19"/>
    <n v="37.5"/>
    <s v="No"/>
    <n v="30"/>
    <s v="Man"/>
    <s v="Divorced"/>
    <x v="0"/>
    <n v="29"/>
    <s v="Master's Degree"/>
    <s v="Life Sciences"/>
    <n v="3"/>
    <n v="3"/>
    <n v="8"/>
    <n v="3"/>
    <n v="4"/>
    <n v="3"/>
    <n v="0"/>
    <n v="3"/>
    <x v="1"/>
    <d v="2024-11-22T00:00:00"/>
    <x v="1"/>
    <s v="Voluntary"/>
    <x v="2"/>
    <x v="2"/>
    <x v="1"/>
    <x v="0"/>
    <x v="2"/>
  </r>
  <r>
    <x v="921"/>
    <s v="No"/>
    <x v="1"/>
    <s v="Sales Executive"/>
    <x v="0"/>
    <x v="1"/>
    <n v="7"/>
    <n v="77712"/>
    <n v="11"/>
    <n v="37.5"/>
    <s v="No"/>
    <n v="31"/>
    <s v="Woman"/>
    <s v="Married"/>
    <x v="0"/>
    <n v="5"/>
    <s v="Master's Degree"/>
    <s v="Life Sciences"/>
    <n v="3"/>
    <n v="2"/>
    <n v="10"/>
    <n v="2"/>
    <n v="10"/>
    <n v="0"/>
    <n v="0"/>
    <n v="2"/>
    <x v="2"/>
    <d v="2025-06-12T00:00:00"/>
    <x v="1"/>
    <s v="Involuntary"/>
    <x v="3"/>
    <x v="1"/>
    <x v="3"/>
    <x v="0"/>
    <x v="6"/>
  </r>
  <r>
    <x v="922"/>
    <s v="No"/>
    <x v="1"/>
    <s v="Sales Executive"/>
    <x v="0"/>
    <x v="1"/>
    <n v="6"/>
    <n v="63924"/>
    <n v="12"/>
    <n v="37.5"/>
    <s v="No"/>
    <n v="40"/>
    <s v="Man"/>
    <s v="Married"/>
    <x v="1"/>
    <n v="2"/>
    <s v="Master's Degree"/>
    <s v="Medical"/>
    <n v="3"/>
    <n v="3"/>
    <n v="5"/>
    <n v="2"/>
    <n v="0"/>
    <n v="0"/>
    <n v="0"/>
    <n v="0"/>
    <x v="0"/>
    <d v="2022-02-04T00:00:00"/>
    <x v="0"/>
    <s v="Voluntary"/>
    <x v="1"/>
    <x v="3"/>
    <x v="0"/>
    <x v="0"/>
    <x v="1"/>
  </r>
  <r>
    <x v="923"/>
    <s v="No"/>
    <x v="1"/>
    <s v="Laboratory Technician"/>
    <x v="0"/>
    <x v="0"/>
    <n v="6"/>
    <n v="62352"/>
    <n v="12"/>
    <n v="37.5"/>
    <s v="No"/>
    <n v="28"/>
    <s v="Man"/>
    <s v="Married"/>
    <x v="0"/>
    <n v="19"/>
    <s v="Master's Degree"/>
    <s v="Medical"/>
    <n v="3"/>
    <n v="3"/>
    <n v="6"/>
    <n v="2"/>
    <n v="6"/>
    <n v="5"/>
    <n v="3"/>
    <n v="3"/>
    <x v="1"/>
    <d v="2023-09-17T00:00:00"/>
    <x v="0"/>
    <s v="Involuntary"/>
    <x v="0"/>
    <x v="2"/>
    <x v="1"/>
    <x v="0"/>
    <x v="1"/>
  </r>
  <r>
    <x v="924"/>
    <s v="No"/>
    <x v="1"/>
    <s v="Research Director"/>
    <x v="1"/>
    <x v="0"/>
    <n v="5"/>
    <n v="240972"/>
    <n v="11"/>
    <n v="37.5"/>
    <s v="No"/>
    <n v="46"/>
    <s v="Man"/>
    <s v="Married"/>
    <x v="0"/>
    <n v="15"/>
    <s v="Certificate or Diploma"/>
    <s v="Life Sciences"/>
    <n v="3"/>
    <n v="1"/>
    <n v="25"/>
    <n v="2"/>
    <n v="4"/>
    <n v="2"/>
    <n v="0"/>
    <n v="3"/>
    <x v="1"/>
    <d v="2024-10-03T00:00:00"/>
    <x v="1"/>
    <s v="Voluntary"/>
    <x v="0"/>
    <x v="3"/>
    <x v="3"/>
    <x v="0"/>
    <x v="2"/>
  </r>
  <r>
    <x v="925"/>
    <s v="No"/>
    <x v="1"/>
    <s v="Manufacturing Director"/>
    <x v="1"/>
    <x v="0"/>
    <n v="7"/>
    <n v="77820"/>
    <n v="11"/>
    <n v="37.5"/>
    <s v="Yes"/>
    <n v="54"/>
    <s v="Woman"/>
    <s v="Divorced"/>
    <x v="0"/>
    <n v="19"/>
    <s v="Master's Degree"/>
    <s v="Medical"/>
    <n v="3"/>
    <n v="2"/>
    <n v="9"/>
    <n v="4"/>
    <n v="5"/>
    <n v="3"/>
    <n v="1"/>
    <n v="4"/>
    <x v="1"/>
    <d v="2024-05-11T00:00:00"/>
    <x v="1"/>
    <s v="Voluntary"/>
    <x v="0"/>
    <x v="2"/>
    <x v="2"/>
    <x v="0"/>
    <x v="2"/>
  </r>
  <r>
    <x v="926"/>
    <s v="No"/>
    <x v="1"/>
    <s v="Sales Executive"/>
    <x v="0"/>
    <x v="1"/>
    <n v="9"/>
    <n v="119592"/>
    <n v="15"/>
    <n v="37.5"/>
    <s v="Yes"/>
    <n v="35"/>
    <s v="Man"/>
    <s v="Married"/>
    <x v="0"/>
    <n v="17"/>
    <s v="Master's Degree"/>
    <s v="Life Sciences"/>
    <n v="3"/>
    <n v="3"/>
    <n v="15"/>
    <n v="2"/>
    <n v="7"/>
    <n v="7"/>
    <n v="1"/>
    <n v="7"/>
    <x v="1"/>
    <d v="2025-01-15T00:00:00"/>
    <x v="1"/>
    <s v="Voluntary"/>
    <x v="2"/>
    <x v="2"/>
    <x v="0"/>
    <x v="0"/>
    <x v="1"/>
  </r>
  <r>
    <x v="927"/>
    <s v="No"/>
    <x v="1"/>
    <s v="Laboratory Technician"/>
    <x v="0"/>
    <x v="0"/>
    <n v="5"/>
    <n v="56892"/>
    <n v="14"/>
    <n v="37.5"/>
    <s v="No"/>
    <n v="36"/>
    <s v="Man"/>
    <s v="Divorced"/>
    <x v="0"/>
    <n v="6"/>
    <s v="Master's Degree"/>
    <s v="Life Sciences"/>
    <n v="3"/>
    <n v="1"/>
    <n v="7"/>
    <n v="4"/>
    <n v="7"/>
    <n v="7"/>
    <n v="1"/>
    <n v="7"/>
    <x v="1"/>
    <d v="2025-06-17T00:00:00"/>
    <x v="1"/>
    <s v="Involuntary"/>
    <x v="2"/>
    <x v="0"/>
    <x v="1"/>
    <x v="0"/>
    <x v="4"/>
  </r>
  <r>
    <x v="928"/>
    <s v="No"/>
    <x v="1"/>
    <s v="Healthcare Representative"/>
    <x v="0"/>
    <x v="0"/>
    <n v="7"/>
    <n v="77856"/>
    <n v="13"/>
    <n v="37.5"/>
    <s v="Yes"/>
    <n v="33"/>
    <s v="Woman"/>
    <s v="Married"/>
    <x v="1"/>
    <n v="1"/>
    <s v="Master's Degree"/>
    <s v="Other"/>
    <n v="3"/>
    <n v="1"/>
    <n v="6"/>
    <n v="2"/>
    <n v="6"/>
    <n v="5"/>
    <n v="1"/>
    <n v="2"/>
    <x v="1"/>
    <d v="2025-10-01T00:00:00"/>
    <x v="1"/>
    <s v="Voluntary"/>
    <x v="2"/>
    <x v="3"/>
    <x v="3"/>
    <x v="0"/>
    <x v="6"/>
  </r>
  <r>
    <x v="929"/>
    <s v="No"/>
    <x v="1"/>
    <s v="Laboratory Technician"/>
    <x v="0"/>
    <x v="0"/>
    <n v="6"/>
    <n v="65892"/>
    <n v="13"/>
    <n v="37.5"/>
    <s v="No"/>
    <n v="30"/>
    <s v="Man"/>
    <s v="Divorced"/>
    <x v="0"/>
    <n v="7"/>
    <s v="Master's Degree"/>
    <s v="Life Sciences"/>
    <n v="3"/>
    <n v="3"/>
    <n v="10"/>
    <n v="4"/>
    <n v="10"/>
    <n v="7"/>
    <n v="8"/>
    <n v="9"/>
    <x v="2"/>
    <d v="2022-05-27T00:00:00"/>
    <x v="0"/>
    <s v="Voluntary"/>
    <x v="2"/>
    <x v="0"/>
    <x v="3"/>
    <x v="1"/>
    <x v="6"/>
  </r>
  <r>
    <x v="930"/>
    <s v="No"/>
    <x v="1"/>
    <s v="Research Scientist"/>
    <x v="0"/>
    <x v="0"/>
    <n v="6"/>
    <n v="66492"/>
    <n v="25"/>
    <n v="37.5"/>
    <s v="No"/>
    <n v="44"/>
    <s v="Man"/>
    <s v="Single"/>
    <x v="0"/>
    <n v="29"/>
    <s v="Master's Degree"/>
    <s v="Other"/>
    <n v="4"/>
    <n v="0"/>
    <n v="20"/>
    <n v="3"/>
    <n v="20"/>
    <n v="11"/>
    <n v="13"/>
    <n v="17"/>
    <x v="2"/>
    <d v="2025-08-05T00:00:00"/>
    <x v="1"/>
    <s v="Voluntary"/>
    <x v="0"/>
    <x v="1"/>
    <x v="2"/>
    <x v="0"/>
    <x v="5"/>
  </r>
  <r>
    <x v="931"/>
    <s v="No"/>
    <x v="1"/>
    <s v="Sales Representative"/>
    <x v="0"/>
    <x v="1"/>
    <n v="5"/>
    <n v="56136"/>
    <n v="17"/>
    <n v="37.5"/>
    <s v="No"/>
    <n v="20"/>
    <s v="Man"/>
    <s v="Single"/>
    <x v="0"/>
    <n v="21"/>
    <s v="Bachelor's Degree"/>
    <s v="Marketing"/>
    <n v="3"/>
    <n v="0"/>
    <n v="2"/>
    <n v="2"/>
    <n v="2"/>
    <n v="1"/>
    <n v="2"/>
    <n v="2"/>
    <x v="0"/>
    <d v="2025-01-10T00:00:00"/>
    <x v="1"/>
    <s v="Voluntary"/>
    <x v="2"/>
    <x v="1"/>
    <x v="0"/>
    <x v="0"/>
    <x v="0"/>
  </r>
  <r>
    <x v="932"/>
    <s v="No"/>
    <x v="1"/>
    <s v="Sales Executive"/>
    <x v="0"/>
    <x v="1"/>
    <n v="7"/>
    <n v="78732"/>
    <n v="14"/>
    <n v="37.5"/>
    <s v="No"/>
    <n v="29"/>
    <s v="Woman"/>
    <s v="Married"/>
    <x v="0"/>
    <n v="3"/>
    <s v="Certificate or Diploma"/>
    <s v="Medical"/>
    <n v="3"/>
    <n v="1"/>
    <n v="6"/>
    <n v="5"/>
    <n v="6"/>
    <n v="0"/>
    <n v="1"/>
    <n v="2"/>
    <x v="1"/>
    <d v="2024-09-27T00:00:00"/>
    <x v="1"/>
    <s v="Voluntary"/>
    <x v="1"/>
    <x v="0"/>
    <x v="3"/>
    <x v="1"/>
    <x v="8"/>
  </r>
  <r>
    <x v="933"/>
    <s v="No"/>
    <x v="1"/>
    <s v="Manufacturing Director"/>
    <x v="1"/>
    <x v="0"/>
    <n v="9"/>
    <n v="100548"/>
    <n v="11"/>
    <n v="37.5"/>
    <s v="No"/>
    <n v="46"/>
    <s v="Man"/>
    <s v="Divorced"/>
    <x v="0"/>
    <n v="2"/>
    <s v="Master's Degree"/>
    <s v="Technical Degree"/>
    <n v="3"/>
    <n v="1"/>
    <n v="12"/>
    <n v="3"/>
    <n v="6"/>
    <n v="3"/>
    <n v="1"/>
    <n v="4"/>
    <x v="1"/>
    <d v="2025-06-05T00:00:00"/>
    <x v="1"/>
    <s v="Involuntary"/>
    <x v="0"/>
    <x v="1"/>
    <x v="1"/>
    <x v="1"/>
    <x v="5"/>
  </r>
  <r>
    <x v="934"/>
    <s v="No"/>
    <x v="1"/>
    <s v="Healthcare Representative"/>
    <x v="0"/>
    <x v="0"/>
    <n v="7"/>
    <n v="78744"/>
    <n v="13"/>
    <n v="37.5"/>
    <s v="No"/>
    <n v="43"/>
    <s v="Woman"/>
    <s v="Married"/>
    <x v="1"/>
    <n v="1"/>
    <s v="Bachelor's Degree"/>
    <s v="Life Sciences"/>
    <n v="3"/>
    <n v="1"/>
    <n v="12"/>
    <n v="2"/>
    <n v="5"/>
    <n v="2"/>
    <n v="2"/>
    <n v="2"/>
    <x v="1"/>
    <d v="2024-02-22T00:00:00"/>
    <x v="1"/>
    <s v="Voluntary"/>
    <x v="0"/>
    <x v="1"/>
    <x v="2"/>
    <x v="1"/>
    <x v="4"/>
  </r>
  <r>
    <x v="935"/>
    <s v="No"/>
    <x v="1"/>
    <s v="HR Business Partner"/>
    <x v="0"/>
    <x v="2"/>
    <n v="8"/>
    <n v="87264"/>
    <n v="16"/>
    <n v="37.5"/>
    <s v="No"/>
    <n v="42"/>
    <s v="Man"/>
    <s v="Married"/>
    <x v="2"/>
    <n v="2"/>
    <s v="Doctorate"/>
    <s v="Medical"/>
    <n v="3"/>
    <n v="1"/>
    <n v="10"/>
    <n v="3"/>
    <n v="4"/>
    <n v="3"/>
    <n v="0"/>
    <n v="3"/>
    <x v="1"/>
    <d v="2022-07-31T00:00:00"/>
    <x v="0"/>
    <s v="Involuntary"/>
    <x v="0"/>
    <x v="2"/>
    <x v="3"/>
    <x v="2"/>
    <x v="2"/>
  </r>
  <r>
    <x v="936"/>
    <s v="No"/>
    <x v="1"/>
    <s v="Sales Executive"/>
    <x v="0"/>
    <x v="1"/>
    <n v="7"/>
    <n v="74640"/>
    <n v="18"/>
    <n v="37.5"/>
    <s v="Yes"/>
    <n v="60"/>
    <s v="Man"/>
    <s v="Divorced"/>
    <x v="0"/>
    <n v="7"/>
    <s v="Master's Degree"/>
    <s v="Marketing"/>
    <n v="3"/>
    <n v="1"/>
    <n v="12"/>
    <n v="3"/>
    <n v="11"/>
    <n v="7"/>
    <n v="1"/>
    <n v="9"/>
    <x v="2"/>
    <d v="2025-03-30T00:00:00"/>
    <x v="1"/>
    <s v="Involuntary"/>
    <x v="1"/>
    <x v="1"/>
    <x v="2"/>
    <x v="0"/>
    <x v="1"/>
  </r>
  <r>
    <x v="937"/>
    <s v="No"/>
    <x v="1"/>
    <s v="Research Scientist"/>
    <x v="0"/>
    <x v="0"/>
    <n v="5"/>
    <n v="57372"/>
    <n v="13"/>
    <n v="37.5"/>
    <s v="No"/>
    <n v="33"/>
    <s v="Man"/>
    <s v="Married"/>
    <x v="0"/>
    <n v="9"/>
    <s v="Bachelor's Degree"/>
    <s v="Medical"/>
    <n v="3"/>
    <n v="1"/>
    <n v="15"/>
    <n v="5"/>
    <n v="14"/>
    <n v="10"/>
    <n v="4"/>
    <n v="10"/>
    <x v="2"/>
    <d v="2022-10-05T00:00:00"/>
    <x v="0"/>
    <s v="Involuntary"/>
    <x v="3"/>
    <x v="1"/>
    <x v="2"/>
    <x v="0"/>
    <x v="2"/>
  </r>
  <r>
    <x v="938"/>
    <s v="No"/>
    <x v="1"/>
    <s v="Sales Executive"/>
    <x v="0"/>
    <x v="1"/>
    <n v="7"/>
    <n v="71400"/>
    <n v="14"/>
    <n v="37.5"/>
    <s v="No"/>
    <n v="25"/>
    <s v="Man"/>
    <s v="Single"/>
    <x v="0"/>
    <n v="10"/>
    <s v="Master's Degree"/>
    <s v="Life Sciences"/>
    <n v="3"/>
    <n v="0"/>
    <n v="5"/>
    <n v="4"/>
    <n v="4"/>
    <n v="3"/>
    <n v="1"/>
    <n v="1"/>
    <x v="1"/>
    <d v="2024-09-05T00:00:00"/>
    <x v="1"/>
    <s v="Involuntary"/>
    <x v="2"/>
    <x v="1"/>
    <x v="2"/>
    <x v="0"/>
    <x v="4"/>
  </r>
  <r>
    <x v="939"/>
    <s v="No"/>
    <x v="1"/>
    <s v="Sales Executive"/>
    <x v="0"/>
    <x v="1"/>
    <n v="7"/>
    <n v="79116"/>
    <n v="13"/>
    <n v="37.5"/>
    <s v="No"/>
    <n v="45"/>
    <s v="Woman"/>
    <s v="Married"/>
    <x v="2"/>
    <n v="9"/>
    <s v="Master's Degree"/>
    <s v="Life Sciences"/>
    <n v="3"/>
    <n v="1"/>
    <n v="15"/>
    <n v="2"/>
    <n v="15"/>
    <n v="10"/>
    <n v="4"/>
    <n v="12"/>
    <x v="2"/>
    <d v="2025-04-29T00:00:00"/>
    <x v="1"/>
    <s v="Voluntary"/>
    <x v="1"/>
    <x v="0"/>
    <x v="0"/>
    <x v="0"/>
    <x v="4"/>
  </r>
  <r>
    <x v="940"/>
    <s v="No"/>
    <x v="1"/>
    <s v="Research Scientist"/>
    <x v="0"/>
    <x v="0"/>
    <n v="7"/>
    <n v="79260"/>
    <n v="11"/>
    <n v="37.5"/>
    <s v="No"/>
    <n v="40"/>
    <s v="Woman"/>
    <s v="Divorced"/>
    <x v="1"/>
    <n v="26"/>
    <s v="Bachelor's Degree"/>
    <s v="Medical"/>
    <n v="3"/>
    <n v="1"/>
    <n v="20"/>
    <n v="2"/>
    <n v="20"/>
    <n v="7"/>
    <n v="2"/>
    <n v="13"/>
    <x v="2"/>
    <d v="2025-01-27T00:00:00"/>
    <x v="1"/>
    <s v="Involuntary"/>
    <x v="1"/>
    <x v="3"/>
    <x v="3"/>
    <x v="0"/>
    <x v="8"/>
  </r>
  <r>
    <x v="941"/>
    <s v="No"/>
    <x v="1"/>
    <s v="Sales Executive"/>
    <x v="0"/>
    <x v="1"/>
    <n v="7"/>
    <n v="79260"/>
    <n v="24"/>
    <n v="37.5"/>
    <s v="Yes"/>
    <n v="38"/>
    <s v="Woman"/>
    <s v="Divorced"/>
    <x v="0"/>
    <n v="7"/>
    <s v="Certificate or Diploma"/>
    <s v="Medical"/>
    <n v="4"/>
    <n v="1"/>
    <n v="8"/>
    <n v="3"/>
    <n v="8"/>
    <n v="0"/>
    <n v="7"/>
    <n v="7"/>
    <x v="1"/>
    <d v="2022-10-19T00:00:00"/>
    <x v="0"/>
    <s v="Voluntary"/>
    <x v="3"/>
    <x v="2"/>
    <x v="1"/>
    <x v="0"/>
    <x v="8"/>
  </r>
  <r>
    <x v="942"/>
    <s v="No"/>
    <x v="1"/>
    <s v="Research Scientist"/>
    <x v="0"/>
    <x v="0"/>
    <n v="6"/>
    <n v="66948"/>
    <n v="21"/>
    <n v="37.5"/>
    <s v="Yes"/>
    <n v="30"/>
    <s v="Man"/>
    <s v="Married"/>
    <x v="0"/>
    <n v="1"/>
    <s v="Bachelor's Degree"/>
    <s v="Medical"/>
    <n v="4"/>
    <n v="1"/>
    <n v="12"/>
    <n v="2"/>
    <n v="11"/>
    <n v="9"/>
    <n v="5"/>
    <n v="7"/>
    <x v="2"/>
    <d v="2024-10-02T00:00:00"/>
    <x v="1"/>
    <s v="Voluntary"/>
    <x v="0"/>
    <x v="3"/>
    <x v="3"/>
    <x v="0"/>
    <x v="2"/>
  </r>
  <r>
    <x v="943"/>
    <s v="No"/>
    <x v="1"/>
    <s v="Sales Executive"/>
    <x v="0"/>
    <x v="1"/>
    <n v="7"/>
    <n v="79764"/>
    <n v="13"/>
    <n v="37.5"/>
    <s v="No"/>
    <n v="36"/>
    <s v="Woman"/>
    <s v="Married"/>
    <x v="0"/>
    <n v="16"/>
    <s v="Master's Degree"/>
    <s v="Marketing"/>
    <n v="3"/>
    <n v="2"/>
    <n v="11"/>
    <n v="3"/>
    <n v="3"/>
    <n v="2"/>
    <n v="0"/>
    <n v="2"/>
    <x v="1"/>
    <d v="2022-01-28T00:00:00"/>
    <x v="0"/>
    <s v="Voluntary"/>
    <x v="2"/>
    <x v="2"/>
    <x v="3"/>
    <x v="1"/>
    <x v="3"/>
  </r>
  <r>
    <x v="944"/>
    <s v="No"/>
    <x v="1"/>
    <s v="Research Scientist"/>
    <x v="0"/>
    <x v="0"/>
    <n v="4"/>
    <n v="50820"/>
    <n v="14"/>
    <n v="37.5"/>
    <s v="Yes"/>
    <n v="27"/>
    <s v="Man"/>
    <s v="Married"/>
    <x v="0"/>
    <n v="14"/>
    <s v="Bachelor's Degree"/>
    <s v="Life Sciences"/>
    <n v="3"/>
    <n v="2"/>
    <n v="9"/>
    <n v="3"/>
    <n v="9"/>
    <n v="7"/>
    <n v="6"/>
    <n v="8"/>
    <x v="1"/>
    <d v="2023-08-12T00:00:00"/>
    <x v="0"/>
    <s v="Involuntary"/>
    <x v="3"/>
    <x v="2"/>
    <x v="0"/>
    <x v="1"/>
    <x v="8"/>
  </r>
  <r>
    <x v="945"/>
    <s v="No"/>
    <x v="1"/>
    <s v="Research Director"/>
    <x v="1"/>
    <x v="0"/>
    <n v="4"/>
    <n v="225348"/>
    <n v="14"/>
    <n v="37.5"/>
    <s v="No"/>
    <n v="54"/>
    <s v="Man"/>
    <s v="Married"/>
    <x v="0"/>
    <n v="3"/>
    <s v="Bachelor's Degree"/>
    <s v="Life Sciences"/>
    <n v="3"/>
    <n v="0"/>
    <n v="36"/>
    <n v="2"/>
    <n v="10"/>
    <n v="9"/>
    <n v="0"/>
    <n v="9"/>
    <x v="2"/>
    <d v="2024-04-20T00:00:00"/>
    <x v="1"/>
    <s v="Voluntary"/>
    <x v="0"/>
    <x v="1"/>
    <x v="3"/>
    <x v="0"/>
    <x v="4"/>
  </r>
  <r>
    <x v="946"/>
    <s v="No"/>
    <x v="1"/>
    <s v="Sales Executive"/>
    <x v="0"/>
    <x v="1"/>
    <n v="7"/>
    <n v="79992"/>
    <n v="13"/>
    <n v="37.5"/>
    <s v="Yes"/>
    <n v="38"/>
    <s v="Woman"/>
    <s v="Single"/>
    <x v="2"/>
    <n v="10"/>
    <s v="Bachelor's Degree"/>
    <s v="Technical Degree"/>
    <n v="3"/>
    <n v="0"/>
    <n v="6"/>
    <n v="1"/>
    <n v="5"/>
    <n v="3"/>
    <n v="1"/>
    <n v="3"/>
    <x v="1"/>
    <d v="2025-06-20T00:00:00"/>
    <x v="1"/>
    <s v="Voluntary"/>
    <x v="2"/>
    <x v="1"/>
    <x v="2"/>
    <x v="0"/>
    <x v="4"/>
  </r>
  <r>
    <x v="947"/>
    <s v="No"/>
    <x v="1"/>
    <s v="Sales Executive"/>
    <x v="0"/>
    <x v="1"/>
    <n v="7"/>
    <n v="80076"/>
    <n v="13"/>
    <n v="37.5"/>
    <s v="Yes"/>
    <n v="36"/>
    <s v="Woman"/>
    <s v="Married"/>
    <x v="0"/>
    <n v="10"/>
    <s v="Master's Degree"/>
    <s v="Technical Degree"/>
    <n v="3"/>
    <n v="1"/>
    <n v="10"/>
    <n v="4"/>
    <n v="10"/>
    <n v="9"/>
    <n v="1"/>
    <n v="7"/>
    <x v="2"/>
    <d v="2024-10-30T00:00:00"/>
    <x v="1"/>
    <s v="Involuntary"/>
    <x v="1"/>
    <x v="0"/>
    <x v="3"/>
    <x v="0"/>
    <x v="6"/>
  </r>
  <r>
    <x v="948"/>
    <s v="No"/>
    <x v="1"/>
    <s v="Laboratory Technician"/>
    <x v="0"/>
    <x v="0"/>
    <n v="7"/>
    <n v="80088"/>
    <n v="15"/>
    <n v="37.5"/>
    <s v="No"/>
    <n v="36"/>
    <s v="Woman"/>
    <s v="Married"/>
    <x v="2"/>
    <n v="24"/>
    <s v="Master's Degree"/>
    <s v="Life Sciences"/>
    <n v="3"/>
    <n v="1"/>
    <n v="11"/>
    <n v="3"/>
    <n v="9"/>
    <n v="8"/>
    <n v="0"/>
    <n v="8"/>
    <x v="1"/>
    <d v="2023-05-28T00:00:00"/>
    <x v="0"/>
    <s v="Involuntary"/>
    <x v="1"/>
    <x v="3"/>
    <x v="1"/>
    <x v="0"/>
    <x v="2"/>
  </r>
  <r>
    <x v="949"/>
    <s v="No"/>
    <x v="1"/>
    <s v="Healthcare Representative"/>
    <x v="0"/>
    <x v="0"/>
    <n v="8"/>
    <n v="93996"/>
    <n v="12"/>
    <n v="37.5"/>
    <s v="Yes"/>
    <n v="31"/>
    <s v="Man"/>
    <s v="Married"/>
    <x v="0"/>
    <n v="11"/>
    <s v="Certificate or Diploma"/>
    <s v="Medical"/>
    <n v="3"/>
    <n v="0"/>
    <n v="6"/>
    <n v="2"/>
    <n v="6"/>
    <n v="5"/>
    <n v="0"/>
    <n v="1"/>
    <x v="1"/>
    <d v="2025-05-29T00:00:00"/>
    <x v="1"/>
    <s v="Involuntary"/>
    <x v="2"/>
    <x v="2"/>
    <x v="0"/>
    <x v="1"/>
    <x v="2"/>
  </r>
  <r>
    <x v="950"/>
    <s v="No"/>
    <x v="1"/>
    <s v="Sales Executive"/>
    <x v="0"/>
    <x v="1"/>
    <n v="7"/>
    <n v="80124"/>
    <n v="14"/>
    <n v="37.5"/>
    <s v="No"/>
    <n v="40"/>
    <s v="Woman"/>
    <s v="Married"/>
    <x v="0"/>
    <n v="2"/>
    <s v="Certificate or Diploma"/>
    <s v="Marketing"/>
    <n v="3"/>
    <n v="1"/>
    <n v="15"/>
    <n v="4"/>
    <n v="11"/>
    <n v="8"/>
    <n v="5"/>
    <n v="10"/>
    <x v="2"/>
    <d v="2022-07-20T00:00:00"/>
    <x v="0"/>
    <s v="Voluntary"/>
    <x v="1"/>
    <x v="3"/>
    <x v="1"/>
    <x v="0"/>
    <x v="2"/>
  </r>
  <r>
    <x v="951"/>
    <s v="No"/>
    <x v="1"/>
    <s v="Research Director"/>
    <x v="1"/>
    <x v="0"/>
    <n v="5"/>
    <n v="248880"/>
    <n v="14"/>
    <n v="37.5"/>
    <s v="No"/>
    <n v="43"/>
    <s v="Man"/>
    <s v="Married"/>
    <x v="0"/>
    <n v="3"/>
    <s v="Bachelor's Degree"/>
    <s v="Life Sciences"/>
    <n v="3"/>
    <n v="1"/>
    <n v="25"/>
    <n v="2"/>
    <n v="8"/>
    <n v="7"/>
    <n v="0"/>
    <n v="7"/>
    <x v="1"/>
    <d v="2025-10-15T00:00:00"/>
    <x v="1"/>
    <s v="Involuntary"/>
    <x v="2"/>
    <x v="1"/>
    <x v="2"/>
    <x v="0"/>
    <x v="4"/>
  </r>
  <r>
    <x v="952"/>
    <s v="No"/>
    <x v="1"/>
    <s v="Manager, R&amp;D"/>
    <x v="1"/>
    <x v="0"/>
    <n v="5"/>
    <n v="236532"/>
    <n v="13"/>
    <n v="37.5"/>
    <s v="No"/>
    <n v="49"/>
    <s v="Man"/>
    <s v="Married"/>
    <x v="0"/>
    <n v="4"/>
    <s v="Certificate or Diploma"/>
    <s v="Medical"/>
    <n v="3"/>
    <n v="1"/>
    <n v="23"/>
    <n v="2"/>
    <n v="1"/>
    <n v="0"/>
    <n v="0"/>
    <n v="0"/>
    <x v="0"/>
    <d v="2024-02-10T00:00:00"/>
    <x v="1"/>
    <s v="Involuntary"/>
    <x v="3"/>
    <x v="0"/>
    <x v="1"/>
    <x v="2"/>
    <x v="1"/>
  </r>
  <r>
    <x v="953"/>
    <s v="No"/>
    <x v="1"/>
    <s v="Sales Executive"/>
    <x v="0"/>
    <x v="1"/>
    <n v="7"/>
    <n v="80568"/>
    <n v="20"/>
    <n v="37.5"/>
    <s v="No"/>
    <n v="34"/>
    <s v="Woman"/>
    <s v="Married"/>
    <x v="0"/>
    <n v="9"/>
    <s v="Trades Apprenticeship"/>
    <s v="Life Sciences"/>
    <n v="4"/>
    <n v="0"/>
    <n v="6"/>
    <n v="3"/>
    <n v="6"/>
    <n v="5"/>
    <n v="1"/>
    <n v="3"/>
    <x v="1"/>
    <d v="2023-10-16T00:00:00"/>
    <x v="0"/>
    <s v="Involuntary"/>
    <x v="1"/>
    <x v="0"/>
    <x v="3"/>
    <x v="1"/>
    <x v="8"/>
  </r>
  <r>
    <x v="954"/>
    <s v="No"/>
    <x v="1"/>
    <s v="Sales Executive"/>
    <x v="0"/>
    <x v="1"/>
    <n v="7"/>
    <n v="80580"/>
    <n v="12"/>
    <n v="37.5"/>
    <s v="No"/>
    <n v="40"/>
    <s v="Woman"/>
    <s v="Divorced"/>
    <x v="0"/>
    <n v="2"/>
    <s v="Certificate or Diploma"/>
    <s v="Marketing"/>
    <n v="3"/>
    <n v="2"/>
    <n v="8"/>
    <n v="5"/>
    <n v="5"/>
    <n v="4"/>
    <n v="1"/>
    <n v="3"/>
    <x v="1"/>
    <d v="2023-11-03T00:00:00"/>
    <x v="0"/>
    <s v="Involuntary"/>
    <x v="0"/>
    <x v="3"/>
    <x v="1"/>
    <x v="0"/>
    <x v="4"/>
  </r>
  <r>
    <x v="955"/>
    <s v="No"/>
    <x v="1"/>
    <s v="Healthcare Representative"/>
    <x v="0"/>
    <x v="0"/>
    <n v="7"/>
    <n v="80772"/>
    <n v="13"/>
    <n v="37.5"/>
    <s v="No"/>
    <n v="37"/>
    <s v="Woman"/>
    <s v="Divorced"/>
    <x v="0"/>
    <n v="25"/>
    <s v="Certificate or Diploma"/>
    <s v="Medical"/>
    <n v="3"/>
    <n v="2"/>
    <n v="9"/>
    <n v="2"/>
    <n v="6"/>
    <n v="2"/>
    <n v="1"/>
    <n v="3"/>
    <x v="1"/>
    <d v="2023-10-15T00:00:00"/>
    <x v="0"/>
    <s v="Involuntary"/>
    <x v="2"/>
    <x v="1"/>
    <x v="1"/>
    <x v="0"/>
    <x v="5"/>
  </r>
  <r>
    <x v="956"/>
    <s v="No"/>
    <x v="1"/>
    <s v="Sales Executive"/>
    <x v="0"/>
    <x v="1"/>
    <n v="7"/>
    <n v="80832"/>
    <n v="19"/>
    <n v="37.5"/>
    <s v="No"/>
    <n v="39"/>
    <s v="Woman"/>
    <s v="Married"/>
    <x v="2"/>
    <n v="21"/>
    <s v="Master's Degree"/>
    <s v="Life Sciences"/>
    <n v="3"/>
    <n v="1"/>
    <n v="10"/>
    <n v="1"/>
    <n v="3"/>
    <n v="2"/>
    <n v="1"/>
    <n v="2"/>
    <x v="1"/>
    <d v="2024-01-01T00:00:00"/>
    <x v="0"/>
    <s v="Involuntary"/>
    <x v="3"/>
    <x v="0"/>
    <x v="1"/>
    <x v="0"/>
    <x v="2"/>
  </r>
  <r>
    <x v="957"/>
    <s v="No"/>
    <x v="1"/>
    <s v="Research Scientist"/>
    <x v="0"/>
    <x v="0"/>
    <n v="6"/>
    <n v="68304"/>
    <n v="12"/>
    <n v="37.5"/>
    <s v="No"/>
    <n v="36"/>
    <s v="Man"/>
    <s v="Married"/>
    <x v="1"/>
    <n v="3"/>
    <s v="Bachelor's Degree"/>
    <s v="Technical Degree"/>
    <n v="3"/>
    <n v="0"/>
    <n v="12"/>
    <n v="2"/>
    <n v="11"/>
    <n v="10"/>
    <n v="0"/>
    <n v="7"/>
    <x v="2"/>
    <d v="2025-07-21T00:00:00"/>
    <x v="1"/>
    <s v="Voluntary"/>
    <x v="2"/>
    <x v="3"/>
    <x v="1"/>
    <x v="1"/>
    <x v="2"/>
  </r>
  <r>
    <x v="958"/>
    <s v="No"/>
    <x v="1"/>
    <s v="Laboratory Technician"/>
    <x v="0"/>
    <x v="0"/>
    <n v="4"/>
    <n v="54708"/>
    <n v="11"/>
    <n v="37.5"/>
    <s v="No"/>
    <n v="48"/>
    <s v="Man"/>
    <s v="Single"/>
    <x v="0"/>
    <n v="2"/>
    <s v="Certificate or Diploma"/>
    <s v="Technical Degree"/>
    <n v="3"/>
    <n v="0"/>
    <n v="7"/>
    <n v="4"/>
    <n v="1"/>
    <n v="0"/>
    <n v="0"/>
    <n v="0"/>
    <x v="0"/>
    <d v="2024-11-27T00:00:00"/>
    <x v="1"/>
    <s v="Involuntary"/>
    <x v="0"/>
    <x v="3"/>
    <x v="1"/>
    <x v="1"/>
    <x v="1"/>
  </r>
  <r>
    <x v="959"/>
    <s v="No"/>
    <x v="1"/>
    <s v="Research Scientist"/>
    <x v="0"/>
    <x v="0"/>
    <n v="4"/>
    <n v="54204"/>
    <n v="11"/>
    <n v="37.5"/>
    <s v="No"/>
    <n v="27"/>
    <s v="Man"/>
    <s v="Divorced"/>
    <x v="0"/>
    <n v="4"/>
    <s v="Certificate or Diploma"/>
    <s v="Life Sciences"/>
    <n v="3"/>
    <n v="3"/>
    <n v="5"/>
    <n v="2"/>
    <n v="5"/>
    <n v="3"/>
    <n v="0"/>
    <n v="3"/>
    <x v="1"/>
    <d v="2024-12-08T00:00:00"/>
    <x v="1"/>
    <s v="Involuntary"/>
    <x v="3"/>
    <x v="0"/>
    <x v="2"/>
    <x v="0"/>
    <x v="6"/>
  </r>
  <r>
    <x v="960"/>
    <s v="No"/>
    <x v="1"/>
    <s v="Healthcare Representative"/>
    <x v="0"/>
    <x v="0"/>
    <n v="8"/>
    <n v="91476"/>
    <n v="11"/>
    <n v="37.5"/>
    <s v="Yes"/>
    <n v="29"/>
    <s v="Man"/>
    <s v="Divorced"/>
    <x v="0"/>
    <n v="7"/>
    <s v="Bachelor's Degree"/>
    <s v="Life Sciences"/>
    <n v="3"/>
    <n v="2"/>
    <n v="6"/>
    <n v="2"/>
    <n v="6"/>
    <n v="0"/>
    <n v="1"/>
    <n v="0"/>
    <x v="1"/>
    <d v="2022-09-12T00:00:00"/>
    <x v="0"/>
    <s v="Involuntary"/>
    <x v="2"/>
    <x v="1"/>
    <x v="2"/>
    <x v="0"/>
    <x v="4"/>
  </r>
  <r>
    <x v="961"/>
    <s v="No"/>
    <x v="1"/>
    <s v="Research Director"/>
    <x v="1"/>
    <x v="0"/>
    <n v="5"/>
    <n v="231180"/>
    <n v="12"/>
    <n v="37.5"/>
    <s v="No"/>
    <n v="48"/>
    <s v="Man"/>
    <s v="Single"/>
    <x v="0"/>
    <n v="1"/>
    <s v="Bachelor's Degree"/>
    <s v="Life Sciences"/>
    <n v="3"/>
    <n v="0"/>
    <n v="25"/>
    <n v="3"/>
    <n v="1"/>
    <n v="0"/>
    <n v="0"/>
    <n v="0"/>
    <x v="0"/>
    <d v="2023-02-17T00:00:00"/>
    <x v="0"/>
    <s v="Voluntary"/>
    <x v="0"/>
    <x v="1"/>
    <x v="1"/>
    <x v="2"/>
    <x v="7"/>
  </r>
  <r>
    <x v="962"/>
    <s v="No"/>
    <x v="1"/>
    <s v="Manager, Sales"/>
    <x v="1"/>
    <x v="1"/>
    <n v="5"/>
    <n v="230556"/>
    <n v="11"/>
    <n v="37.5"/>
    <s v="No"/>
    <n v="44"/>
    <s v="Man"/>
    <s v="Married"/>
    <x v="0"/>
    <n v="5"/>
    <s v="Bachelor's Degree"/>
    <s v="Marketing"/>
    <n v="3"/>
    <n v="1"/>
    <n v="26"/>
    <n v="5"/>
    <n v="22"/>
    <n v="9"/>
    <n v="3"/>
    <n v="10"/>
    <x v="2"/>
    <d v="2022-11-18T00:00:00"/>
    <x v="0"/>
    <s v="Involuntary"/>
    <x v="1"/>
    <x v="3"/>
    <x v="1"/>
    <x v="0"/>
    <x v="2"/>
  </r>
  <r>
    <x v="963"/>
    <s v="No"/>
    <x v="1"/>
    <s v="Sales Executive"/>
    <x v="0"/>
    <x v="1"/>
    <n v="7"/>
    <n v="81228"/>
    <n v="11"/>
    <n v="37.5"/>
    <s v="Yes"/>
    <n v="27"/>
    <s v="Woman"/>
    <s v="Married"/>
    <x v="0"/>
    <n v="10"/>
    <s v="Bachelor's Degree"/>
    <s v="Marketing"/>
    <n v="3"/>
    <n v="0"/>
    <n v="6"/>
    <n v="3"/>
    <n v="6"/>
    <n v="2"/>
    <n v="4"/>
    <n v="4"/>
    <x v="1"/>
    <d v="2024-07-24T00:00:00"/>
    <x v="1"/>
    <s v="Voluntary"/>
    <x v="0"/>
    <x v="1"/>
    <x v="0"/>
    <x v="0"/>
    <x v="7"/>
  </r>
  <r>
    <x v="964"/>
    <s v="No"/>
    <x v="1"/>
    <s v="Laboratory Technician"/>
    <x v="0"/>
    <x v="0"/>
    <n v="7"/>
    <n v="81228"/>
    <n v="14"/>
    <n v="37.5"/>
    <s v="Yes"/>
    <n v="45"/>
    <s v="Woman"/>
    <s v="Single"/>
    <x v="0"/>
    <n v="5"/>
    <s v="Doctorate"/>
    <s v="Medical"/>
    <n v="3"/>
    <n v="0"/>
    <n v="10"/>
    <n v="3"/>
    <n v="10"/>
    <n v="7"/>
    <n v="1"/>
    <n v="4"/>
    <x v="2"/>
    <d v="2023-10-28T00:00:00"/>
    <x v="0"/>
    <s v="Involuntary"/>
    <x v="2"/>
    <x v="2"/>
    <x v="3"/>
    <x v="0"/>
    <x v="8"/>
  </r>
  <r>
    <x v="965"/>
    <s v="No"/>
    <x v="1"/>
    <s v="Manufacturing Director"/>
    <x v="1"/>
    <x v="0"/>
    <n v="7"/>
    <n v="81240"/>
    <n v="19"/>
    <n v="37.5"/>
    <s v="No"/>
    <n v="45"/>
    <s v="Woman"/>
    <s v="Divorced"/>
    <x v="0"/>
    <n v="2"/>
    <s v="Certificate or Diploma"/>
    <s v="Other"/>
    <n v="3"/>
    <n v="2"/>
    <n v="10"/>
    <n v="3"/>
    <n v="10"/>
    <n v="7"/>
    <n v="3"/>
    <n v="9"/>
    <x v="2"/>
    <d v="2024-02-10T00:00:00"/>
    <x v="1"/>
    <s v="Involuntary"/>
    <x v="0"/>
    <x v="1"/>
    <x v="3"/>
    <x v="0"/>
    <x v="4"/>
  </r>
  <r>
    <x v="966"/>
    <s v="No"/>
    <x v="1"/>
    <s v="Sales Executive"/>
    <x v="0"/>
    <x v="1"/>
    <n v="9"/>
    <n v="112560"/>
    <n v="14"/>
    <n v="37.5"/>
    <s v="Yes"/>
    <n v="33"/>
    <s v="Man"/>
    <s v="Divorced"/>
    <x v="0"/>
    <n v="10"/>
    <s v="Doctorate"/>
    <s v="Marketing"/>
    <n v="3"/>
    <n v="2"/>
    <n v="10"/>
    <n v="3"/>
    <n v="9"/>
    <n v="8"/>
    <n v="0"/>
    <n v="8"/>
    <x v="1"/>
    <d v="2022-11-18T00:00:00"/>
    <x v="0"/>
    <s v="Involuntary"/>
    <x v="0"/>
    <x v="0"/>
    <x v="0"/>
    <x v="0"/>
    <x v="0"/>
  </r>
  <r>
    <x v="967"/>
    <s v="No"/>
    <x v="1"/>
    <s v="Research Scientist"/>
    <x v="0"/>
    <x v="0"/>
    <n v="7"/>
    <n v="81300"/>
    <n v="13"/>
    <n v="37.5"/>
    <s v="No"/>
    <n v="30"/>
    <s v="Woman"/>
    <s v="Married"/>
    <x v="0"/>
    <n v="28"/>
    <s v="Certificate or Diploma"/>
    <s v="Medical"/>
    <n v="3"/>
    <n v="2"/>
    <n v="11"/>
    <n v="2"/>
    <n v="10"/>
    <n v="8"/>
    <n v="1"/>
    <n v="9"/>
    <x v="2"/>
    <d v="2025-11-11T00:00:00"/>
    <x v="1"/>
    <s v="Involuntary"/>
    <x v="0"/>
    <x v="1"/>
    <x v="0"/>
    <x v="0"/>
    <x v="7"/>
  </r>
  <r>
    <x v="968"/>
    <s v="No"/>
    <x v="1"/>
    <s v="Research Scientist"/>
    <x v="0"/>
    <x v="0"/>
    <n v="5"/>
    <n v="58500"/>
    <n v="20"/>
    <n v="37.5"/>
    <s v="Yes"/>
    <n v="26"/>
    <s v="Man"/>
    <s v="Single"/>
    <x v="0"/>
    <n v="4"/>
    <s v="Certificate or Diploma"/>
    <s v="Life Sciences"/>
    <n v="4"/>
    <n v="0"/>
    <n v="8"/>
    <n v="2"/>
    <n v="8"/>
    <n v="5"/>
    <n v="2"/>
    <n v="2"/>
    <x v="1"/>
    <d v="2023-07-19T00:00:00"/>
    <x v="0"/>
    <s v="Involuntary"/>
    <x v="2"/>
    <x v="1"/>
    <x v="2"/>
    <x v="1"/>
    <x v="1"/>
  </r>
  <r>
    <x v="969"/>
    <s v="No"/>
    <x v="1"/>
    <s v="Healthcare Representative"/>
    <x v="0"/>
    <x v="0"/>
    <n v="10"/>
    <n v="174924"/>
    <n v="15"/>
    <n v="37.5"/>
    <s v="Yes"/>
    <n v="55"/>
    <s v="Man"/>
    <s v="Divorced"/>
    <x v="2"/>
    <n v="8"/>
    <s v="Trades Apprenticeship"/>
    <s v="Medical"/>
    <n v="3"/>
    <n v="1"/>
    <n v="34"/>
    <n v="3"/>
    <n v="33"/>
    <n v="9"/>
    <n v="15"/>
    <n v="0"/>
    <x v="2"/>
    <d v="2024-07-19T00:00:00"/>
    <x v="1"/>
    <s v="Involuntary"/>
    <x v="0"/>
    <x v="3"/>
    <x v="0"/>
    <x v="0"/>
    <x v="5"/>
  </r>
  <r>
    <x v="970"/>
    <s v="No"/>
    <x v="1"/>
    <s v="Manager, Sales"/>
    <x v="1"/>
    <x v="1"/>
    <n v="5"/>
    <n v="250164"/>
    <n v="24"/>
    <n v="37.5"/>
    <s v="Yes"/>
    <n v="51"/>
    <s v="Man"/>
    <s v="Divorced"/>
    <x v="1"/>
    <n v="9"/>
    <s v="Bachelor's Degree"/>
    <s v="Life Sciences"/>
    <n v="4"/>
    <n v="1"/>
    <n v="31"/>
    <n v="5"/>
    <n v="29"/>
    <n v="10"/>
    <n v="11"/>
    <n v="10"/>
    <x v="2"/>
    <d v="2024-02-02T00:00:00"/>
    <x v="1"/>
    <s v="Voluntary"/>
    <x v="0"/>
    <x v="3"/>
    <x v="3"/>
    <x v="1"/>
    <x v="6"/>
  </r>
  <r>
    <x v="971"/>
    <s v="No"/>
    <x v="1"/>
    <s v="Manufacturing Director"/>
    <x v="1"/>
    <x v="0"/>
    <n v="9"/>
    <n v="138144"/>
    <n v="12"/>
    <n v="37.5"/>
    <s v="No"/>
    <n v="59"/>
    <s v="Man"/>
    <s v="Single"/>
    <x v="0"/>
    <n v="18"/>
    <s v="Master's Degree"/>
    <s v="Medical"/>
    <n v="3"/>
    <n v="0"/>
    <n v="25"/>
    <n v="6"/>
    <n v="9"/>
    <n v="7"/>
    <n v="5"/>
    <n v="4"/>
    <x v="1"/>
    <d v="2022-01-31T00:00:00"/>
    <x v="0"/>
    <s v="Involuntary"/>
    <x v="0"/>
    <x v="1"/>
    <x v="0"/>
    <x v="1"/>
    <x v="0"/>
  </r>
  <r>
    <x v="972"/>
    <s v="No"/>
    <x v="1"/>
    <s v="Healthcare Representative"/>
    <x v="0"/>
    <x v="0"/>
    <n v="7"/>
    <n v="82260"/>
    <n v="11"/>
    <n v="37.5"/>
    <s v="Yes"/>
    <n v="31"/>
    <s v="Woman"/>
    <s v="Married"/>
    <x v="0"/>
    <n v="12"/>
    <s v="Bachelor's Degree"/>
    <s v="Medical"/>
    <n v="3"/>
    <n v="2"/>
    <n v="10"/>
    <n v="2"/>
    <n v="9"/>
    <n v="7"/>
    <n v="8"/>
    <n v="5"/>
    <x v="1"/>
    <d v="2022-06-27T00:00:00"/>
    <x v="0"/>
    <s v="Voluntary"/>
    <x v="0"/>
    <x v="1"/>
    <x v="1"/>
    <x v="3"/>
    <x v="4"/>
  </r>
  <r>
    <x v="973"/>
    <s v="No"/>
    <x v="1"/>
    <s v="Laboratory Technician"/>
    <x v="0"/>
    <x v="0"/>
    <n v="3"/>
    <n v="49848"/>
    <n v="11"/>
    <n v="37.5"/>
    <s v="Yes"/>
    <n v="28"/>
    <s v="Man"/>
    <s v="Single"/>
    <x v="1"/>
    <n v="1"/>
    <s v="Master's Degree"/>
    <s v="Medical"/>
    <n v="3"/>
    <n v="0"/>
    <n v="5"/>
    <n v="2"/>
    <n v="4"/>
    <n v="2"/>
    <n v="0"/>
    <n v="2"/>
    <x v="1"/>
    <d v="2022-07-18T00:00:00"/>
    <x v="0"/>
    <s v="Voluntary"/>
    <x v="0"/>
    <x v="0"/>
    <x v="1"/>
    <x v="1"/>
    <x v="4"/>
  </r>
  <r>
    <x v="974"/>
    <s v="No"/>
    <x v="1"/>
    <s v="Research Scientist"/>
    <x v="0"/>
    <x v="0"/>
    <n v="7"/>
    <n v="82536"/>
    <n v="12"/>
    <n v="37.5"/>
    <s v="No"/>
    <n v="32"/>
    <s v="Woman"/>
    <s v="Married"/>
    <x v="0"/>
    <n v="5"/>
    <s v="Certificate or Diploma"/>
    <s v="Life Sciences"/>
    <n v="3"/>
    <n v="1"/>
    <n v="12"/>
    <n v="2"/>
    <n v="7"/>
    <n v="1"/>
    <n v="2"/>
    <n v="5"/>
    <x v="1"/>
    <d v="2022-09-30T00:00:00"/>
    <x v="0"/>
    <s v="Involuntary"/>
    <x v="0"/>
    <x v="3"/>
    <x v="3"/>
    <x v="0"/>
    <x v="2"/>
  </r>
  <r>
    <x v="975"/>
    <s v="No"/>
    <x v="1"/>
    <s v="Sales Executive"/>
    <x v="0"/>
    <x v="1"/>
    <n v="7"/>
    <n v="82824"/>
    <n v="14"/>
    <n v="37.5"/>
    <s v="No"/>
    <n v="39"/>
    <s v="Woman"/>
    <s v="Married"/>
    <x v="0"/>
    <n v="4"/>
    <s v="Master's Degree"/>
    <s v="Life Sciences"/>
    <n v="3"/>
    <n v="1"/>
    <n v="17"/>
    <n v="1"/>
    <n v="15"/>
    <n v="11"/>
    <n v="5"/>
    <n v="9"/>
    <x v="2"/>
    <d v="2022-01-20T00:00:00"/>
    <x v="0"/>
    <s v="Voluntary"/>
    <x v="0"/>
    <x v="0"/>
    <x v="1"/>
    <x v="2"/>
    <x v="0"/>
  </r>
  <r>
    <x v="976"/>
    <s v="No"/>
    <x v="1"/>
    <s v="Manufacturing Director"/>
    <x v="1"/>
    <x v="0"/>
    <n v="7"/>
    <n v="82872"/>
    <n v="13"/>
    <n v="37.5"/>
    <s v="No"/>
    <n v="45"/>
    <s v="Woman"/>
    <s v="Married"/>
    <x v="0"/>
    <n v="25"/>
    <s v="Certificate or Diploma"/>
    <s v="Life Sciences"/>
    <n v="3"/>
    <n v="2"/>
    <n v="10"/>
    <n v="2"/>
    <n v="9"/>
    <n v="8"/>
    <n v="3"/>
    <n v="8"/>
    <x v="1"/>
    <d v="2023-10-27T00:00:00"/>
    <x v="0"/>
    <s v="Involuntary"/>
    <x v="1"/>
    <x v="1"/>
    <x v="0"/>
    <x v="1"/>
    <x v="4"/>
  </r>
  <r>
    <x v="977"/>
    <s v="No"/>
    <x v="1"/>
    <s v="Manager, R&amp;D"/>
    <x v="1"/>
    <x v="0"/>
    <n v="5"/>
    <n v="242280"/>
    <n v="14"/>
    <n v="37.5"/>
    <s v="No"/>
    <n v="44"/>
    <s v="Man"/>
    <s v="Divorced"/>
    <x v="0"/>
    <n v="4"/>
    <s v="Certificate or Diploma"/>
    <s v="Life Sciences"/>
    <n v="3"/>
    <n v="2"/>
    <n v="26"/>
    <n v="4"/>
    <n v="25"/>
    <n v="9"/>
    <n v="14"/>
    <n v="13"/>
    <x v="2"/>
    <d v="2025-11-15T00:00:00"/>
    <x v="1"/>
    <s v="Involuntary"/>
    <x v="2"/>
    <x v="2"/>
    <x v="0"/>
    <x v="1"/>
    <x v="2"/>
  </r>
  <r>
    <x v="978"/>
    <s v="No"/>
    <x v="1"/>
    <s v="HR Business Partner"/>
    <x v="0"/>
    <x v="2"/>
    <n v="6"/>
    <n v="65880"/>
    <n v="11"/>
    <n v="37.5"/>
    <s v="No"/>
    <n v="34"/>
    <s v="Man"/>
    <s v="Married"/>
    <x v="1"/>
    <n v="11"/>
    <s v="Bachelor's Degree"/>
    <s v="Life Sciences"/>
    <n v="3"/>
    <n v="2"/>
    <n v="14"/>
    <n v="5"/>
    <n v="10"/>
    <n v="9"/>
    <n v="1"/>
    <n v="8"/>
    <x v="2"/>
    <d v="2024-09-03T00:00:00"/>
    <x v="1"/>
    <s v="Voluntary"/>
    <x v="2"/>
    <x v="3"/>
    <x v="0"/>
    <x v="2"/>
    <x v="5"/>
  </r>
  <r>
    <x v="979"/>
    <s v="No"/>
    <x v="1"/>
    <s v="Research Scientist"/>
    <x v="0"/>
    <x v="0"/>
    <n v="6"/>
    <n v="66072"/>
    <n v="14"/>
    <n v="37.5"/>
    <s v="Yes"/>
    <n v="35"/>
    <s v="Man"/>
    <s v="Married"/>
    <x v="0"/>
    <n v="6"/>
    <s v="Trades Apprenticeship"/>
    <s v="Life Sciences"/>
    <n v="3"/>
    <n v="0"/>
    <n v="4"/>
    <n v="3"/>
    <n v="3"/>
    <n v="2"/>
    <n v="2"/>
    <n v="2"/>
    <x v="1"/>
    <d v="2023-08-22T00:00:00"/>
    <x v="0"/>
    <s v="Voluntary"/>
    <x v="2"/>
    <x v="0"/>
    <x v="0"/>
    <x v="0"/>
    <x v="5"/>
  </r>
  <r>
    <x v="980"/>
    <s v="No"/>
    <x v="1"/>
    <s v="Laboratory Technician"/>
    <x v="0"/>
    <x v="0"/>
    <n v="7"/>
    <n v="70404"/>
    <n v="12"/>
    <n v="37.5"/>
    <s v="Yes"/>
    <n v="28"/>
    <s v="Man"/>
    <s v="Married"/>
    <x v="1"/>
    <n v="2"/>
    <s v="Bachelor's Degree"/>
    <s v="Life Sciences"/>
    <n v="3"/>
    <n v="1"/>
    <n v="2"/>
    <n v="2"/>
    <n v="2"/>
    <n v="2"/>
    <n v="2"/>
    <n v="2"/>
    <x v="0"/>
    <d v="2022-07-31T00:00:00"/>
    <x v="0"/>
    <s v="Involuntary"/>
    <x v="0"/>
    <x v="1"/>
    <x v="2"/>
    <x v="0"/>
    <x v="5"/>
  </r>
  <r>
    <x v="981"/>
    <s v="No"/>
    <x v="1"/>
    <s v="Sales Executive"/>
    <x v="0"/>
    <x v="1"/>
    <n v="7"/>
    <n v="83280"/>
    <n v="14"/>
    <n v="37.5"/>
    <s v="No"/>
    <n v="54"/>
    <s v="Woman"/>
    <s v="Married"/>
    <x v="0"/>
    <n v="3"/>
    <s v="Bachelor's Degree"/>
    <s v="Marketing"/>
    <n v="3"/>
    <n v="1"/>
    <n v="16"/>
    <n v="4"/>
    <n v="6"/>
    <n v="2"/>
    <n v="0"/>
    <n v="5"/>
    <x v="1"/>
    <d v="2025-03-09T00:00:00"/>
    <x v="1"/>
    <s v="Voluntary"/>
    <x v="0"/>
    <x v="2"/>
    <x v="0"/>
    <x v="0"/>
    <x v="4"/>
  </r>
  <r>
    <x v="982"/>
    <s v="No"/>
    <x v="1"/>
    <s v="Research Scientist"/>
    <x v="0"/>
    <x v="0"/>
    <n v="3"/>
    <n v="48960"/>
    <n v="11"/>
    <n v="37.5"/>
    <s v="No"/>
    <n v="28"/>
    <s v="Man"/>
    <s v="Single"/>
    <x v="0"/>
    <n v="1"/>
    <s v="Bachelor's Degree"/>
    <s v="Technical Degree"/>
    <n v="3"/>
    <n v="0"/>
    <n v="5"/>
    <n v="2"/>
    <n v="3"/>
    <n v="2"/>
    <n v="1"/>
    <n v="2"/>
    <x v="1"/>
    <d v="2023-11-12T00:00:00"/>
    <x v="0"/>
    <s v="Involuntary"/>
    <x v="0"/>
    <x v="2"/>
    <x v="2"/>
    <x v="1"/>
    <x v="6"/>
  </r>
  <r>
    <x v="983"/>
    <s v="No"/>
    <x v="1"/>
    <s v="Sales Executive"/>
    <x v="0"/>
    <x v="1"/>
    <n v="8"/>
    <n v="86508"/>
    <n v="15"/>
    <n v="37.5"/>
    <s v="No"/>
    <n v="32"/>
    <s v="Man"/>
    <s v="Married"/>
    <x v="0"/>
    <n v="8"/>
    <s v="Bachelor's Degree"/>
    <s v="Medical"/>
    <n v="3"/>
    <n v="2"/>
    <n v="10"/>
    <n v="4"/>
    <n v="10"/>
    <n v="7"/>
    <n v="0"/>
    <n v="8"/>
    <x v="2"/>
    <d v="2023-03-15T00:00:00"/>
    <x v="0"/>
    <s v="Involuntary"/>
    <x v="2"/>
    <x v="1"/>
    <x v="1"/>
    <x v="2"/>
    <x v="0"/>
  </r>
  <r>
    <x v="984"/>
    <s v="No"/>
    <x v="1"/>
    <s v="Research Scientist"/>
    <x v="0"/>
    <x v="0"/>
    <n v="4"/>
    <n v="52464"/>
    <n v="12"/>
    <n v="37.5"/>
    <s v="No"/>
    <n v="58"/>
    <s v="Man"/>
    <s v="Divorced"/>
    <x v="0"/>
    <n v="23"/>
    <s v="Master's Degree"/>
    <s v="Life Sciences"/>
    <n v="3"/>
    <n v="2"/>
    <n v="2"/>
    <n v="3"/>
    <n v="2"/>
    <n v="2"/>
    <n v="2"/>
    <n v="2"/>
    <x v="0"/>
    <d v="2022-06-07T00:00:00"/>
    <x v="0"/>
    <s v="Involuntary"/>
    <x v="3"/>
    <x v="0"/>
    <x v="0"/>
    <x v="0"/>
    <x v="1"/>
  </r>
  <r>
    <x v="985"/>
    <s v="No"/>
    <x v="1"/>
    <s v="Manufacturing Director"/>
    <x v="1"/>
    <x v="0"/>
    <n v="7"/>
    <n v="83760"/>
    <n v="12"/>
    <n v="37.5"/>
    <s v="Yes"/>
    <n v="38"/>
    <s v="Woman"/>
    <s v="Single"/>
    <x v="1"/>
    <n v="2"/>
    <s v="Master's Degree"/>
    <s v="Life Sciences"/>
    <n v="3"/>
    <n v="0"/>
    <n v="17"/>
    <n v="2"/>
    <n v="15"/>
    <n v="7"/>
    <n v="4"/>
    <n v="12"/>
    <x v="2"/>
    <d v="2024-02-11T00:00:00"/>
    <x v="1"/>
    <s v="Involuntary"/>
    <x v="3"/>
    <x v="2"/>
    <x v="0"/>
    <x v="0"/>
    <x v="6"/>
  </r>
  <r>
    <x v="986"/>
    <s v="No"/>
    <x v="1"/>
    <s v="HR Operations Specialist"/>
    <x v="0"/>
    <x v="2"/>
    <n v="7"/>
    <n v="83820"/>
    <n v="11"/>
    <n v="37.5"/>
    <s v="No"/>
    <n v="44"/>
    <s v="Woman"/>
    <s v="Single"/>
    <x v="0"/>
    <n v="1"/>
    <s v="Master's Degree"/>
    <s v="Life Sciences"/>
    <n v="3"/>
    <n v="0"/>
    <n v="10"/>
    <n v="1"/>
    <n v="2"/>
    <n v="2"/>
    <n v="0"/>
    <n v="2"/>
    <x v="0"/>
    <d v="2023-11-12T00:00:00"/>
    <x v="0"/>
    <s v="Voluntary"/>
    <x v="3"/>
    <x v="0"/>
    <x v="2"/>
    <x v="2"/>
    <x v="2"/>
  </r>
  <r>
    <x v="987"/>
    <s v="No"/>
    <x v="1"/>
    <s v="Sales Executive"/>
    <x v="0"/>
    <x v="1"/>
    <n v="7"/>
    <n v="84348"/>
    <n v="12"/>
    <n v="37.5"/>
    <s v="No"/>
    <n v="34"/>
    <s v="Woman"/>
    <s v="Single"/>
    <x v="0"/>
    <n v="3"/>
    <s v="Certificate or Diploma"/>
    <s v="Life Sciences"/>
    <n v="3"/>
    <n v="0"/>
    <n v="6"/>
    <n v="3"/>
    <n v="2"/>
    <n v="2"/>
    <n v="2"/>
    <n v="2"/>
    <x v="0"/>
    <d v="2023-08-25T00:00:00"/>
    <x v="0"/>
    <s v="Involuntary"/>
    <x v="0"/>
    <x v="1"/>
    <x v="3"/>
    <x v="0"/>
    <x v="4"/>
  </r>
  <r>
    <x v="988"/>
    <s v="No"/>
    <x v="1"/>
    <s v="Manufacturing Director"/>
    <x v="1"/>
    <x v="0"/>
    <n v="7"/>
    <n v="84744"/>
    <n v="13"/>
    <n v="37.5"/>
    <s v="Yes"/>
    <n v="42"/>
    <s v="Woman"/>
    <s v="Married"/>
    <x v="0"/>
    <n v="1"/>
    <s v="Certificate or Diploma"/>
    <s v="Life Sciences"/>
    <n v="3"/>
    <n v="1"/>
    <n v="8"/>
    <n v="4"/>
    <n v="4"/>
    <n v="3"/>
    <n v="0"/>
    <n v="2"/>
    <x v="1"/>
    <d v="2023-04-30T00:00:00"/>
    <x v="0"/>
    <s v="Voluntary"/>
    <x v="0"/>
    <x v="1"/>
    <x v="0"/>
    <x v="0"/>
    <x v="7"/>
  </r>
  <r>
    <x v="989"/>
    <s v="No"/>
    <x v="1"/>
    <s v="Manufacturing Director"/>
    <x v="1"/>
    <x v="0"/>
    <n v="8"/>
    <n v="85092"/>
    <n v="20"/>
    <n v="37.5"/>
    <s v="No"/>
    <n v="30"/>
    <s v="Woman"/>
    <s v="Single"/>
    <x v="0"/>
    <n v="2"/>
    <s v="Bachelor's Degree"/>
    <s v="Life Sciences"/>
    <n v="4"/>
    <n v="0"/>
    <n v="11"/>
    <n v="2"/>
    <n v="5"/>
    <n v="4"/>
    <n v="0"/>
    <n v="2"/>
    <x v="1"/>
    <d v="2025-02-28T00:00:00"/>
    <x v="1"/>
    <s v="Voluntary"/>
    <x v="2"/>
    <x v="1"/>
    <x v="1"/>
    <x v="0"/>
    <x v="5"/>
  </r>
  <r>
    <x v="990"/>
    <s v="No"/>
    <x v="1"/>
    <s v="Sales Executive"/>
    <x v="0"/>
    <x v="1"/>
    <n v="8"/>
    <n v="85416"/>
    <n v="13"/>
    <n v="37.5"/>
    <s v="No"/>
    <n v="30"/>
    <s v="Woman"/>
    <s v="Divorced"/>
    <x v="0"/>
    <n v="5"/>
    <s v="Bachelor's Degree"/>
    <s v="Marketing"/>
    <n v="3"/>
    <n v="3"/>
    <n v="10"/>
    <n v="2"/>
    <n v="10"/>
    <n v="9"/>
    <n v="1"/>
    <n v="2"/>
    <x v="2"/>
    <d v="2023-09-10T00:00:00"/>
    <x v="0"/>
    <s v="Voluntary"/>
    <x v="0"/>
    <x v="0"/>
    <x v="1"/>
    <x v="0"/>
    <x v="5"/>
  </r>
  <r>
    <x v="991"/>
    <s v="No"/>
    <x v="1"/>
    <s v="Manufacturing Director"/>
    <x v="1"/>
    <x v="0"/>
    <n v="6"/>
    <n v="66408"/>
    <n v="11"/>
    <n v="37.5"/>
    <s v="No"/>
    <n v="39"/>
    <s v="Man"/>
    <s v="Single"/>
    <x v="0"/>
    <n v="18"/>
    <s v="Certificate or Diploma"/>
    <s v="Life Sciences"/>
    <n v="3"/>
    <n v="0"/>
    <n v="9"/>
    <n v="6"/>
    <n v="8"/>
    <n v="7"/>
    <n v="1"/>
    <n v="7"/>
    <x v="1"/>
    <d v="2023-10-11T00:00:00"/>
    <x v="0"/>
    <s v="Involuntary"/>
    <x v="3"/>
    <x v="0"/>
    <x v="3"/>
    <x v="0"/>
    <x v="8"/>
  </r>
  <r>
    <x v="992"/>
    <s v="No"/>
    <x v="1"/>
    <s v="Sales Executive"/>
    <x v="0"/>
    <x v="1"/>
    <n v="8"/>
    <n v="85500"/>
    <n v="12"/>
    <n v="37.5"/>
    <s v="No"/>
    <n v="34"/>
    <s v="Woman"/>
    <s v="Single"/>
    <x v="0"/>
    <n v="15"/>
    <s v="Certificate or Diploma"/>
    <s v="Medical"/>
    <n v="3"/>
    <n v="0"/>
    <n v="10"/>
    <n v="6"/>
    <n v="10"/>
    <n v="8"/>
    <n v="9"/>
    <n v="6"/>
    <x v="2"/>
    <d v="2025-10-22T00:00:00"/>
    <x v="1"/>
    <s v="Voluntary"/>
    <x v="2"/>
    <x v="2"/>
    <x v="0"/>
    <x v="2"/>
    <x v="4"/>
  </r>
  <r>
    <x v="993"/>
    <s v="No"/>
    <x v="1"/>
    <s v="Sales Executive"/>
    <x v="0"/>
    <x v="1"/>
    <n v="8"/>
    <n v="85812"/>
    <n v="13"/>
    <n v="37.5"/>
    <s v="No"/>
    <n v="41"/>
    <s v="Man"/>
    <s v="Single"/>
    <x v="2"/>
    <n v="10"/>
    <s v="Certificate or Diploma"/>
    <s v="Medical"/>
    <n v="3"/>
    <n v="0"/>
    <n v="19"/>
    <n v="4"/>
    <n v="19"/>
    <n v="2"/>
    <n v="11"/>
    <n v="9"/>
    <x v="2"/>
    <d v="2023-06-02T00:00:00"/>
    <x v="0"/>
    <s v="Voluntary"/>
    <x v="2"/>
    <x v="3"/>
    <x v="3"/>
    <x v="0"/>
    <x v="6"/>
  </r>
  <r>
    <x v="994"/>
    <s v="No"/>
    <x v="1"/>
    <s v="Healthcare Representative"/>
    <x v="0"/>
    <x v="0"/>
    <n v="8"/>
    <n v="85704"/>
    <n v="11"/>
    <n v="37.5"/>
    <s v="No"/>
    <n v="34"/>
    <s v="Woman"/>
    <s v="Single"/>
    <x v="0"/>
    <n v="8"/>
    <s v="Certificate or Diploma"/>
    <s v="Medical"/>
    <n v="3"/>
    <n v="0"/>
    <n v="10"/>
    <n v="2"/>
    <n v="5"/>
    <n v="1"/>
    <n v="4"/>
    <n v="3"/>
    <x v="1"/>
    <d v="2025-02-18T00:00:00"/>
    <x v="1"/>
    <s v="Involuntary"/>
    <x v="1"/>
    <x v="0"/>
    <x v="0"/>
    <x v="0"/>
    <x v="4"/>
  </r>
  <r>
    <x v="995"/>
    <s v="No"/>
    <x v="1"/>
    <s v="Healthcare Representative"/>
    <x v="0"/>
    <x v="0"/>
    <n v="8"/>
    <n v="85704"/>
    <n v="16"/>
    <n v="37.5"/>
    <s v="Yes"/>
    <n v="35"/>
    <s v="Woman"/>
    <s v="Single"/>
    <x v="0"/>
    <n v="10"/>
    <s v="Master's Degree"/>
    <s v="Medical"/>
    <n v="3"/>
    <n v="0"/>
    <n v="10"/>
    <n v="4"/>
    <n v="5"/>
    <n v="2"/>
    <n v="0"/>
    <n v="4"/>
    <x v="1"/>
    <d v="2024-01-05T00:00:00"/>
    <x v="1"/>
    <s v="Voluntary"/>
    <x v="3"/>
    <x v="0"/>
    <x v="1"/>
    <x v="0"/>
    <x v="2"/>
  </r>
  <r>
    <x v="996"/>
    <s v="No"/>
    <x v="1"/>
    <s v="Manager, R&amp;D"/>
    <x v="1"/>
    <x v="0"/>
    <n v="4"/>
    <n v="226332"/>
    <n v="13"/>
    <n v="37.5"/>
    <s v="Yes"/>
    <n v="42"/>
    <s v="Man"/>
    <s v="Married"/>
    <x v="2"/>
    <n v="2"/>
    <s v="Trades Apprenticeship"/>
    <s v="Life Sciences"/>
    <n v="3"/>
    <n v="0"/>
    <n v="21"/>
    <n v="3"/>
    <n v="20"/>
    <n v="8"/>
    <n v="2"/>
    <n v="10"/>
    <x v="2"/>
    <d v="2022-07-21T00:00:00"/>
    <x v="0"/>
    <s v="Voluntary"/>
    <x v="2"/>
    <x v="0"/>
    <x v="0"/>
    <x v="1"/>
    <x v="4"/>
  </r>
  <r>
    <x v="997"/>
    <s v="No"/>
    <x v="1"/>
    <s v="Research Scientist"/>
    <x v="0"/>
    <x v="0"/>
    <n v="6"/>
    <n v="66528"/>
    <n v="16"/>
    <n v="37.5"/>
    <s v="No"/>
    <n v="40"/>
    <s v="Man"/>
    <s v="Divorced"/>
    <x v="2"/>
    <n v="16"/>
    <s v="Certificate or Diploma"/>
    <s v="Life Sciences"/>
    <n v="3"/>
    <n v="1"/>
    <n v="6"/>
    <n v="0"/>
    <n v="4"/>
    <n v="2"/>
    <n v="0"/>
    <n v="0"/>
    <x v="1"/>
    <d v="2023-06-11T00:00:00"/>
    <x v="0"/>
    <s v="Involuntary"/>
    <x v="2"/>
    <x v="0"/>
    <x v="2"/>
    <x v="0"/>
    <x v="1"/>
  </r>
  <r>
    <x v="998"/>
    <s v="No"/>
    <x v="1"/>
    <s v="Healthcare Representative"/>
    <x v="0"/>
    <x v="0"/>
    <n v="9"/>
    <n v="114000"/>
    <n v="11"/>
    <n v="37.5"/>
    <s v="No"/>
    <n v="34"/>
    <s v="Man"/>
    <s v="Divorced"/>
    <x v="0"/>
    <n v="9"/>
    <s v="Bachelor's Degree"/>
    <s v="Life Sciences"/>
    <n v="3"/>
    <n v="1"/>
    <n v="10"/>
    <n v="0"/>
    <n v="9"/>
    <n v="7"/>
    <n v="1"/>
    <n v="6"/>
    <x v="1"/>
    <d v="2025-06-25T00:00:00"/>
    <x v="1"/>
    <s v="Voluntary"/>
    <x v="0"/>
    <x v="1"/>
    <x v="0"/>
    <x v="1"/>
    <x v="0"/>
  </r>
  <r>
    <x v="999"/>
    <s v="No"/>
    <x v="1"/>
    <s v="Manufacturing Director"/>
    <x v="1"/>
    <x v="0"/>
    <n v="8"/>
    <n v="85944"/>
    <n v="12"/>
    <n v="37.5"/>
    <s v="No"/>
    <n v="32"/>
    <s v="Woman"/>
    <s v="Married"/>
    <x v="0"/>
    <n v="4"/>
    <s v="Bachelor's Degree"/>
    <s v="Life Sciences"/>
    <n v="3"/>
    <n v="1"/>
    <n v="14"/>
    <n v="3"/>
    <n v="14"/>
    <n v="13"/>
    <n v="6"/>
    <n v="8"/>
    <x v="2"/>
    <d v="2025-10-10T00:00:00"/>
    <x v="1"/>
    <s v="Involuntary"/>
    <x v="2"/>
    <x v="0"/>
    <x v="1"/>
    <x v="0"/>
    <x v="4"/>
  </r>
  <r>
    <x v="1000"/>
    <s v="No"/>
    <x v="1"/>
    <s v="Research Scientist"/>
    <x v="0"/>
    <x v="0"/>
    <n v="6"/>
    <n v="67932"/>
    <n v="13"/>
    <n v="37.5"/>
    <s v="No"/>
    <n v="40"/>
    <s v="Man"/>
    <s v="Single"/>
    <x v="0"/>
    <n v="2"/>
    <s v="Bachelor's Degree"/>
    <s v="Life Sciences"/>
    <n v="3"/>
    <n v="0"/>
    <n v="9"/>
    <n v="4"/>
    <n v="9"/>
    <n v="8"/>
    <n v="8"/>
    <n v="8"/>
    <x v="1"/>
    <d v="2024-08-08T00:00:00"/>
    <x v="1"/>
    <s v="Voluntary"/>
    <x v="2"/>
    <x v="1"/>
    <x v="1"/>
    <x v="0"/>
    <x v="5"/>
  </r>
  <r>
    <x v="1001"/>
    <s v="No"/>
    <x v="1"/>
    <s v="Research Scientist"/>
    <x v="0"/>
    <x v="0"/>
    <n v="6"/>
    <n v="62988"/>
    <n v="11"/>
    <n v="37.5"/>
    <s v="Yes"/>
    <n v="35"/>
    <s v="Man"/>
    <s v="Single"/>
    <x v="1"/>
    <n v="4"/>
    <s v="Master's Degree"/>
    <s v="Life Sciences"/>
    <n v="3"/>
    <n v="0"/>
    <n v="9"/>
    <n v="3"/>
    <n v="9"/>
    <n v="6"/>
    <n v="1"/>
    <n v="1"/>
    <x v="1"/>
    <d v="2025-11-28T00:00:00"/>
    <x v="1"/>
    <s v="Voluntary"/>
    <x v="2"/>
    <x v="0"/>
    <x v="2"/>
    <x v="0"/>
    <x v="1"/>
  </r>
  <r>
    <x v="1002"/>
    <s v="No"/>
    <x v="1"/>
    <s v="Sales Executive"/>
    <x v="0"/>
    <x v="1"/>
    <n v="8"/>
    <n v="86160"/>
    <n v="23"/>
    <n v="37.5"/>
    <s v="No"/>
    <n v="25"/>
    <s v="Woman"/>
    <s v="Single"/>
    <x v="0"/>
    <n v="26"/>
    <s v="Trades Apprenticeship"/>
    <s v="Medical"/>
    <n v="4"/>
    <n v="0"/>
    <n v="6"/>
    <n v="5"/>
    <n v="6"/>
    <n v="5"/>
    <n v="1"/>
    <n v="4"/>
    <x v="1"/>
    <d v="2025-12-20T00:00:00"/>
    <x v="1"/>
    <s v="Voluntary"/>
    <x v="2"/>
    <x v="1"/>
    <x v="2"/>
    <x v="1"/>
    <x v="1"/>
  </r>
  <r>
    <x v="1003"/>
    <s v="No"/>
    <x v="1"/>
    <s v="Manager, HR"/>
    <x v="1"/>
    <x v="2"/>
    <n v="4"/>
    <n v="180312"/>
    <n v="11"/>
    <n v="37.5"/>
    <s v="Yes"/>
    <n v="51"/>
    <s v="Man"/>
    <s v="Divorced"/>
    <x v="0"/>
    <n v="5"/>
    <s v="Bachelor's Degree"/>
    <s v="Life Sciences"/>
    <n v="3"/>
    <n v="1"/>
    <n v="33"/>
    <n v="2"/>
    <n v="33"/>
    <n v="9"/>
    <n v="0"/>
    <n v="10"/>
    <x v="2"/>
    <d v="2023-12-15T00:00:00"/>
    <x v="0"/>
    <s v="Involuntary"/>
    <x v="2"/>
    <x v="3"/>
    <x v="2"/>
    <x v="0"/>
    <x v="2"/>
  </r>
  <r>
    <x v="1004"/>
    <s v="No"/>
    <x v="1"/>
    <s v="Laboratory Technician"/>
    <x v="0"/>
    <x v="0"/>
    <n v="6"/>
    <n v="68028"/>
    <n v="11"/>
    <n v="37.5"/>
    <s v="No"/>
    <n v="25"/>
    <s v="Man"/>
    <s v="Married"/>
    <x v="0"/>
    <n v="19"/>
    <s v="Trades Apprenticeship"/>
    <s v="Medical"/>
    <n v="3"/>
    <n v="3"/>
    <n v="7"/>
    <n v="6"/>
    <n v="3"/>
    <n v="2"/>
    <n v="1"/>
    <n v="2"/>
    <x v="1"/>
    <d v="2023-03-25T00:00:00"/>
    <x v="0"/>
    <s v="Voluntary"/>
    <x v="0"/>
    <x v="1"/>
    <x v="1"/>
    <x v="1"/>
    <x v="5"/>
  </r>
  <r>
    <x v="1005"/>
    <s v="No"/>
    <x v="1"/>
    <s v="Sales Executive"/>
    <x v="0"/>
    <x v="1"/>
    <n v="8"/>
    <n v="86568"/>
    <n v="18"/>
    <n v="37.5"/>
    <s v="No"/>
    <n v="27"/>
    <s v="Woman"/>
    <s v="Married"/>
    <x v="0"/>
    <n v="8"/>
    <s v="Master's Degree"/>
    <s v="Marketing"/>
    <n v="3"/>
    <n v="1"/>
    <n v="8"/>
    <n v="3"/>
    <n v="8"/>
    <n v="7"/>
    <n v="0"/>
    <n v="7"/>
    <x v="1"/>
    <d v="2024-10-02T00:00:00"/>
    <x v="1"/>
    <s v="Involuntary"/>
    <x v="1"/>
    <x v="3"/>
    <x v="3"/>
    <x v="0"/>
    <x v="8"/>
  </r>
  <r>
    <x v="1006"/>
    <s v="No"/>
    <x v="1"/>
    <s v="Laboratory Technician"/>
    <x v="0"/>
    <x v="0"/>
    <n v="4"/>
    <n v="52644"/>
    <n v="22"/>
    <n v="37.5"/>
    <s v="No"/>
    <n v="40"/>
    <s v="Man"/>
    <s v="Married"/>
    <x v="0"/>
    <n v="1"/>
    <s v="Master's Degree"/>
    <s v="Life Sciences"/>
    <n v="4"/>
    <n v="1"/>
    <n v="7"/>
    <n v="3"/>
    <n v="4"/>
    <n v="2"/>
    <n v="0"/>
    <n v="3"/>
    <x v="1"/>
    <d v="2024-02-28T00:00:00"/>
    <x v="1"/>
    <s v="Voluntary"/>
    <x v="1"/>
    <x v="3"/>
    <x v="1"/>
    <x v="0"/>
    <x v="2"/>
  </r>
  <r>
    <x v="1007"/>
    <s v="No"/>
    <x v="1"/>
    <s v="Manufacturing Director"/>
    <x v="1"/>
    <x v="0"/>
    <n v="9"/>
    <n v="106776"/>
    <n v="11"/>
    <n v="37.5"/>
    <s v="No"/>
    <n v="48"/>
    <s v="Man"/>
    <s v="Single"/>
    <x v="0"/>
    <n v="4"/>
    <s v="Bachelor's Degree"/>
    <s v="Life Sciences"/>
    <n v="3"/>
    <n v="0"/>
    <n v="11"/>
    <n v="2"/>
    <n v="10"/>
    <n v="9"/>
    <n v="0"/>
    <n v="8"/>
    <x v="2"/>
    <d v="2024-02-23T00:00:00"/>
    <x v="1"/>
    <s v="Involuntary"/>
    <x v="0"/>
    <x v="1"/>
    <x v="1"/>
    <x v="0"/>
    <x v="0"/>
  </r>
  <r>
    <x v="1008"/>
    <s v="No"/>
    <x v="1"/>
    <s v="Sales Executive"/>
    <x v="0"/>
    <x v="1"/>
    <n v="7"/>
    <n v="72852"/>
    <n v="20"/>
    <n v="37.5"/>
    <s v="No"/>
    <n v="27"/>
    <s v="Man"/>
    <s v="Single"/>
    <x v="1"/>
    <n v="2"/>
    <s v="Trades Apprenticeship"/>
    <s v="Life Sciences"/>
    <n v="4"/>
    <n v="0"/>
    <n v="8"/>
    <n v="3"/>
    <n v="6"/>
    <n v="2"/>
    <n v="0"/>
    <n v="0"/>
    <x v="1"/>
    <d v="2023-05-12T00:00:00"/>
    <x v="0"/>
    <s v="Voluntary"/>
    <x v="0"/>
    <x v="1"/>
    <x v="2"/>
    <x v="0"/>
    <x v="5"/>
  </r>
  <r>
    <x v="1009"/>
    <s v="No"/>
    <x v="1"/>
    <s v="Sales Executive"/>
    <x v="0"/>
    <x v="1"/>
    <n v="8"/>
    <n v="86928"/>
    <n v="17"/>
    <n v="37.5"/>
    <s v="No"/>
    <n v="42"/>
    <s v="Woman"/>
    <s v="Single"/>
    <x v="0"/>
    <n v="14"/>
    <s v="Certificate or Diploma"/>
    <s v="Medical"/>
    <n v="3"/>
    <n v="0"/>
    <n v="10"/>
    <n v="6"/>
    <n v="5"/>
    <n v="4"/>
    <n v="0"/>
    <n v="3"/>
    <x v="1"/>
    <d v="2022-08-05T00:00:00"/>
    <x v="0"/>
    <s v="Voluntary"/>
    <x v="2"/>
    <x v="0"/>
    <x v="3"/>
    <x v="0"/>
    <x v="2"/>
  </r>
  <r>
    <x v="1010"/>
    <s v="No"/>
    <x v="1"/>
    <s v="Manufacturing Director"/>
    <x v="1"/>
    <x v="0"/>
    <n v="10"/>
    <n v="172824"/>
    <n v="12"/>
    <n v="37.5"/>
    <s v="Yes"/>
    <n v="56"/>
    <s v="Man"/>
    <s v="Married"/>
    <x v="0"/>
    <n v="23"/>
    <s v="Bachelor's Degree"/>
    <s v="Life Sciences"/>
    <n v="3"/>
    <n v="1"/>
    <n v="33"/>
    <n v="0"/>
    <n v="19"/>
    <n v="16"/>
    <n v="15"/>
    <n v="9"/>
    <x v="2"/>
    <d v="2024-12-02T00:00:00"/>
    <x v="1"/>
    <s v="Involuntary"/>
    <x v="0"/>
    <x v="3"/>
    <x v="3"/>
    <x v="0"/>
    <x v="2"/>
  </r>
  <r>
    <x v="1011"/>
    <s v="No"/>
    <x v="1"/>
    <s v="Laboratory Technician"/>
    <x v="0"/>
    <x v="0"/>
    <n v="7"/>
    <n v="77148"/>
    <n v="13"/>
    <n v="37.5"/>
    <s v="No"/>
    <n v="34"/>
    <s v="Man"/>
    <s v="Married"/>
    <x v="0"/>
    <n v="29"/>
    <s v="Bachelor's Degree"/>
    <s v="Medical"/>
    <n v="3"/>
    <n v="2"/>
    <n v="10"/>
    <n v="1"/>
    <n v="8"/>
    <n v="7"/>
    <n v="7"/>
    <n v="7"/>
    <x v="1"/>
    <d v="2025-08-16T00:00:00"/>
    <x v="1"/>
    <s v="Involuntary"/>
    <x v="1"/>
    <x v="0"/>
    <x v="3"/>
    <x v="0"/>
    <x v="6"/>
  </r>
  <r>
    <x v="1012"/>
    <s v="No"/>
    <x v="1"/>
    <s v="Research Scientist"/>
    <x v="0"/>
    <x v="0"/>
    <n v="5"/>
    <n v="55320"/>
    <n v="11"/>
    <n v="37.5"/>
    <s v="No"/>
    <n v="38"/>
    <s v="Man"/>
    <s v="Divorced"/>
    <x v="1"/>
    <n v="7"/>
    <s v="Bachelor's Degree"/>
    <s v="Life Sciences"/>
    <n v="3"/>
    <n v="3"/>
    <n v="4"/>
    <n v="2"/>
    <n v="4"/>
    <n v="2"/>
    <n v="0"/>
    <n v="3"/>
    <x v="1"/>
    <d v="2025-04-10T00:00:00"/>
    <x v="1"/>
    <s v="Involuntary"/>
    <x v="0"/>
    <x v="0"/>
    <x v="0"/>
    <x v="0"/>
    <x v="0"/>
  </r>
  <r>
    <x v="1013"/>
    <s v="No"/>
    <x v="1"/>
    <s v="Sales Executive"/>
    <x v="0"/>
    <x v="1"/>
    <n v="6"/>
    <n v="68688"/>
    <n v="11"/>
    <n v="37.5"/>
    <s v="No"/>
    <n v="28"/>
    <s v="Man"/>
    <s v="Married"/>
    <x v="0"/>
    <n v="26"/>
    <s v="Bachelor's Degree"/>
    <s v="Life Sciences"/>
    <n v="3"/>
    <n v="1"/>
    <n v="5"/>
    <n v="0"/>
    <n v="5"/>
    <n v="3"/>
    <n v="0"/>
    <n v="4"/>
    <x v="1"/>
    <d v="2024-06-07T00:00:00"/>
    <x v="1"/>
    <s v="Voluntary"/>
    <x v="2"/>
    <x v="2"/>
    <x v="1"/>
    <x v="0"/>
    <x v="2"/>
  </r>
  <r>
    <x v="1014"/>
    <s v="No"/>
    <x v="1"/>
    <s v="Sales Executive"/>
    <x v="0"/>
    <x v="1"/>
    <n v="8"/>
    <n v="85440"/>
    <n v="12"/>
    <n v="37.5"/>
    <s v="Yes"/>
    <n v="39"/>
    <s v="Man"/>
    <s v="Married"/>
    <x v="0"/>
    <n v="21"/>
    <s v="Master's Degree"/>
    <s v="Life Sciences"/>
    <n v="3"/>
    <n v="2"/>
    <n v="8"/>
    <n v="2"/>
    <n v="5"/>
    <n v="4"/>
    <n v="1"/>
    <n v="4"/>
    <x v="1"/>
    <d v="2023-09-15T00:00:00"/>
    <x v="0"/>
    <s v="Voluntary"/>
    <x v="3"/>
    <x v="1"/>
    <x v="0"/>
    <x v="2"/>
    <x v="5"/>
  </r>
  <r>
    <x v="1015"/>
    <s v="No"/>
    <x v="1"/>
    <s v="Research Scientist"/>
    <x v="0"/>
    <x v="0"/>
    <n v="8"/>
    <n v="87864"/>
    <n v="12"/>
    <n v="37.5"/>
    <s v="Yes"/>
    <n v="32"/>
    <s v="Woman"/>
    <s v="Married"/>
    <x v="0"/>
    <n v="9"/>
    <s v="Master's Degree"/>
    <s v="Life Sciences"/>
    <n v="3"/>
    <n v="1"/>
    <n v="6"/>
    <n v="2"/>
    <n v="6"/>
    <n v="4"/>
    <n v="0"/>
    <n v="5"/>
    <x v="1"/>
    <d v="2025-05-17T00:00:00"/>
    <x v="1"/>
    <s v="Voluntary"/>
    <x v="3"/>
    <x v="1"/>
    <x v="0"/>
    <x v="1"/>
    <x v="1"/>
  </r>
  <r>
    <x v="1016"/>
    <s v="No"/>
    <x v="1"/>
    <s v="Laboratory Technician"/>
    <x v="0"/>
    <x v="0"/>
    <n v="8"/>
    <n v="87876"/>
    <n v="11"/>
    <n v="37.5"/>
    <s v="No"/>
    <n v="40"/>
    <s v="Woman"/>
    <s v="Married"/>
    <x v="1"/>
    <n v="11"/>
    <s v="Bachelor's Degree"/>
    <s v="Technical Degree"/>
    <n v="3"/>
    <n v="1"/>
    <n v="10"/>
    <n v="2"/>
    <n v="10"/>
    <n v="9"/>
    <n v="9"/>
    <n v="4"/>
    <x v="2"/>
    <d v="2025-08-23T00:00:00"/>
    <x v="1"/>
    <s v="Voluntary"/>
    <x v="0"/>
    <x v="0"/>
    <x v="3"/>
    <x v="2"/>
    <x v="4"/>
  </r>
  <r>
    <x v="1017"/>
    <s v="No"/>
    <x v="1"/>
    <s v="Sales Executive"/>
    <x v="0"/>
    <x v="1"/>
    <n v="9"/>
    <n v="139152"/>
    <n v="11"/>
    <n v="37.5"/>
    <s v="No"/>
    <n v="51"/>
    <s v="Man"/>
    <s v="Married"/>
    <x v="1"/>
    <n v="2"/>
    <s v="Bachelor's Degree"/>
    <s v="Marketing"/>
    <n v="3"/>
    <n v="0"/>
    <n v="14"/>
    <n v="5"/>
    <n v="4"/>
    <n v="2"/>
    <n v="3"/>
    <n v="2"/>
    <x v="1"/>
    <d v="2022-08-29T00:00:00"/>
    <x v="0"/>
    <s v="Voluntary"/>
    <x v="1"/>
    <x v="3"/>
    <x v="2"/>
    <x v="0"/>
    <x v="6"/>
  </r>
  <r>
    <x v="1018"/>
    <s v="No"/>
    <x v="1"/>
    <s v="Research Scientist"/>
    <x v="0"/>
    <x v="0"/>
    <n v="5"/>
    <n v="59952"/>
    <n v="15"/>
    <n v="37.5"/>
    <s v="Yes"/>
    <n v="37"/>
    <s v="Man"/>
    <s v="Married"/>
    <x v="0"/>
    <n v="4"/>
    <s v="Trades Apprenticeship"/>
    <s v="Life Sciences"/>
    <n v="3"/>
    <n v="0"/>
    <n v="8"/>
    <n v="2"/>
    <n v="6"/>
    <n v="4"/>
    <n v="1"/>
    <n v="3"/>
    <x v="1"/>
    <d v="2025-01-17T00:00:00"/>
    <x v="1"/>
    <s v="Involuntary"/>
    <x v="2"/>
    <x v="0"/>
    <x v="0"/>
    <x v="0"/>
    <x v="5"/>
  </r>
  <r>
    <x v="1019"/>
    <s v="No"/>
    <x v="1"/>
    <s v="Sales Executive"/>
    <x v="0"/>
    <x v="1"/>
    <n v="9"/>
    <n v="131976"/>
    <n v="13"/>
    <n v="37.5"/>
    <s v="No"/>
    <n v="33"/>
    <s v="Man"/>
    <s v="Married"/>
    <x v="1"/>
    <n v="5"/>
    <s v="Trades Apprenticeship"/>
    <s v="Life Sciences"/>
    <n v="3"/>
    <n v="0"/>
    <n v="8"/>
    <n v="2"/>
    <n v="5"/>
    <n v="4"/>
    <n v="1"/>
    <n v="2"/>
    <x v="1"/>
    <d v="2023-08-15T00:00:00"/>
    <x v="0"/>
    <s v="Voluntary"/>
    <x v="1"/>
    <x v="1"/>
    <x v="3"/>
    <x v="2"/>
    <x v="1"/>
  </r>
  <r>
    <x v="1020"/>
    <s v="No"/>
    <x v="1"/>
    <s v="Sales Executive"/>
    <x v="0"/>
    <x v="1"/>
    <n v="8"/>
    <n v="88164"/>
    <n v="12"/>
    <n v="37.5"/>
    <s v="No"/>
    <n v="50"/>
    <s v="Woman"/>
    <s v="Married"/>
    <x v="2"/>
    <n v="1"/>
    <s v="Bachelor's Degree"/>
    <s v="Life Sciences"/>
    <n v="3"/>
    <n v="1"/>
    <n v="19"/>
    <n v="3"/>
    <n v="18"/>
    <n v="7"/>
    <n v="0"/>
    <n v="13"/>
    <x v="2"/>
    <d v="2023-05-27T00:00:00"/>
    <x v="0"/>
    <s v="Involuntary"/>
    <x v="0"/>
    <x v="0"/>
    <x v="3"/>
    <x v="0"/>
    <x v="1"/>
  </r>
  <r>
    <x v="1021"/>
    <s v="No"/>
    <x v="1"/>
    <s v="Sales Executive"/>
    <x v="0"/>
    <x v="1"/>
    <n v="6"/>
    <n v="60936"/>
    <n v="13"/>
    <n v="37.5"/>
    <s v="Yes"/>
    <n v="32"/>
    <s v="Man"/>
    <s v="Married"/>
    <x v="0"/>
    <n v="2"/>
    <s v="Trades Apprenticeship"/>
    <s v="Marketing"/>
    <n v="3"/>
    <n v="3"/>
    <n v="4"/>
    <n v="3"/>
    <n v="3"/>
    <n v="2"/>
    <n v="1"/>
    <n v="2"/>
    <x v="1"/>
    <d v="2022-04-29T00:00:00"/>
    <x v="0"/>
    <s v="Voluntary"/>
    <x v="2"/>
    <x v="3"/>
    <x v="3"/>
    <x v="1"/>
    <x v="8"/>
  </r>
  <r>
    <x v="1022"/>
    <s v="No"/>
    <x v="1"/>
    <s v="Healthcare Representative"/>
    <x v="0"/>
    <x v="0"/>
    <n v="8"/>
    <n v="88524"/>
    <n v="20"/>
    <n v="37.5"/>
    <s v="No"/>
    <n v="40"/>
    <s v="Woman"/>
    <s v="Divorced"/>
    <x v="0"/>
    <n v="2"/>
    <s v="Trades Apprenticeship"/>
    <s v="Medical"/>
    <n v="4"/>
    <n v="3"/>
    <n v="15"/>
    <n v="0"/>
    <n v="12"/>
    <n v="11"/>
    <n v="11"/>
    <n v="8"/>
    <x v="2"/>
    <d v="2023-06-05T00:00:00"/>
    <x v="0"/>
    <s v="Involuntary"/>
    <x v="1"/>
    <x v="0"/>
    <x v="2"/>
    <x v="0"/>
    <x v="2"/>
  </r>
  <r>
    <x v="1023"/>
    <s v="No"/>
    <x v="1"/>
    <s v="Healthcare Representative"/>
    <x v="0"/>
    <x v="0"/>
    <n v="10"/>
    <n v="143040"/>
    <n v="21"/>
    <n v="37.5"/>
    <s v="No"/>
    <n v="39"/>
    <s v="Man"/>
    <s v="Married"/>
    <x v="2"/>
    <n v="25"/>
    <s v="Certificate or Diploma"/>
    <s v="Life Sciences"/>
    <n v="4"/>
    <n v="1"/>
    <n v="13"/>
    <n v="2"/>
    <n v="6"/>
    <n v="4"/>
    <n v="0"/>
    <n v="5"/>
    <x v="1"/>
    <d v="2025-04-12T00:00:00"/>
    <x v="1"/>
    <s v="Involuntary"/>
    <x v="2"/>
    <x v="0"/>
    <x v="2"/>
    <x v="0"/>
    <x v="1"/>
  </r>
  <r>
    <x v="1024"/>
    <s v="No"/>
    <x v="1"/>
    <s v="Sales Executive"/>
    <x v="0"/>
    <x v="1"/>
    <n v="8"/>
    <n v="86784"/>
    <n v="11"/>
    <n v="37.5"/>
    <s v="No"/>
    <n v="25"/>
    <s v="Man"/>
    <s v="Married"/>
    <x v="0"/>
    <n v="18"/>
    <s v="Trades Apprenticeship"/>
    <s v="Life Sciences"/>
    <n v="3"/>
    <n v="0"/>
    <n v="6"/>
    <n v="3"/>
    <n v="3"/>
    <n v="2"/>
    <n v="1"/>
    <n v="2"/>
    <x v="1"/>
    <d v="2024-09-03T00:00:00"/>
    <x v="1"/>
    <s v="Voluntary"/>
    <x v="3"/>
    <x v="0"/>
    <x v="2"/>
    <x v="1"/>
    <x v="8"/>
  </r>
  <r>
    <x v="1025"/>
    <s v="No"/>
    <x v="1"/>
    <s v="Research Scientist"/>
    <x v="0"/>
    <x v="0"/>
    <n v="7"/>
    <n v="70848"/>
    <n v="12"/>
    <n v="37.5"/>
    <s v="No"/>
    <n v="26"/>
    <s v="Man"/>
    <s v="Single"/>
    <x v="0"/>
    <n v="2"/>
    <s v="Trades Apprenticeship"/>
    <s v="Medical"/>
    <n v="3"/>
    <n v="0"/>
    <n v="5"/>
    <n v="2"/>
    <n v="4"/>
    <n v="3"/>
    <n v="1"/>
    <n v="1"/>
    <x v="1"/>
    <d v="2022-04-03T00:00:00"/>
    <x v="0"/>
    <s v="Voluntary"/>
    <x v="3"/>
    <x v="1"/>
    <x v="0"/>
    <x v="0"/>
    <x v="4"/>
  </r>
  <r>
    <x v="1026"/>
    <s v="No"/>
    <x v="1"/>
    <s v="Manufacturing Director"/>
    <x v="1"/>
    <x v="0"/>
    <n v="9"/>
    <n v="124344"/>
    <n v="11"/>
    <n v="37.5"/>
    <s v="No"/>
    <n v="35"/>
    <s v="Man"/>
    <s v="Single"/>
    <x v="1"/>
    <n v="18"/>
    <s v="Certificate or Diploma"/>
    <s v="Life Sciences"/>
    <n v="3"/>
    <n v="0"/>
    <n v="10"/>
    <n v="2"/>
    <n v="2"/>
    <n v="2"/>
    <n v="2"/>
    <n v="2"/>
    <x v="0"/>
    <d v="2024-12-05T00:00:00"/>
    <x v="1"/>
    <s v="Voluntary"/>
    <x v="2"/>
    <x v="1"/>
    <x v="1"/>
    <x v="0"/>
    <x v="5"/>
  </r>
  <r>
    <x v="1027"/>
    <s v="No"/>
    <x v="1"/>
    <s v="Compensation Analyst"/>
    <x v="0"/>
    <x v="2"/>
    <n v="8"/>
    <n v="88668"/>
    <n v="15"/>
    <n v="37.5"/>
    <s v="No"/>
    <n v="39"/>
    <s v="Woman"/>
    <s v="Married"/>
    <x v="0"/>
    <n v="3"/>
    <s v="Bachelor's Degree"/>
    <s v="Human Resources"/>
    <n v="3"/>
    <n v="1"/>
    <n v="12"/>
    <n v="3"/>
    <n v="8"/>
    <n v="3"/>
    <n v="3"/>
    <n v="6"/>
    <x v="1"/>
    <d v="2025-08-02T00:00:00"/>
    <x v="1"/>
    <s v="Involuntary"/>
    <x v="2"/>
    <x v="3"/>
    <x v="1"/>
    <x v="3"/>
    <x v="6"/>
  </r>
  <r>
    <x v="1028"/>
    <s v="No"/>
    <x v="1"/>
    <s v="Laboratory Technician"/>
    <x v="0"/>
    <x v="0"/>
    <n v="6"/>
    <n v="62748"/>
    <n v="11"/>
    <n v="37.5"/>
    <s v="No"/>
    <n v="25"/>
    <s v="Man"/>
    <s v="Married"/>
    <x v="0"/>
    <n v="1"/>
    <s v="Bachelor's Degree"/>
    <s v="Technical Degree"/>
    <n v="3"/>
    <n v="1"/>
    <n v="7"/>
    <n v="2"/>
    <n v="3"/>
    <n v="2"/>
    <n v="0"/>
    <n v="2"/>
    <x v="1"/>
    <d v="2023-06-16T00:00:00"/>
    <x v="0"/>
    <s v="Involuntary"/>
    <x v="3"/>
    <x v="1"/>
    <x v="2"/>
    <x v="1"/>
    <x v="6"/>
  </r>
  <r>
    <x v="1029"/>
    <s v="No"/>
    <x v="1"/>
    <s v="Manufacturing Director"/>
    <x v="1"/>
    <x v="0"/>
    <n v="8"/>
    <n v="88764"/>
    <n v="20"/>
    <n v="37.5"/>
    <s v="No"/>
    <n v="26"/>
    <s v="Woman"/>
    <s v="Divorced"/>
    <x v="1"/>
    <n v="1"/>
    <s v="Bachelor's Degree"/>
    <s v="Life Sciences"/>
    <n v="4"/>
    <n v="1"/>
    <n v="6"/>
    <n v="6"/>
    <n v="6"/>
    <n v="5"/>
    <n v="1"/>
    <n v="4"/>
    <x v="1"/>
    <d v="2023-01-18T00:00:00"/>
    <x v="0"/>
    <s v="Involuntary"/>
    <x v="2"/>
    <x v="3"/>
    <x v="3"/>
    <x v="3"/>
    <x v="3"/>
  </r>
  <r>
    <x v="1030"/>
    <s v="No"/>
    <x v="1"/>
    <s v="Laboratory Technician"/>
    <x v="0"/>
    <x v="0"/>
    <n v="6"/>
    <n v="66936"/>
    <n v="12"/>
    <n v="37.5"/>
    <s v="No"/>
    <n v="26"/>
    <s v="Man"/>
    <s v="Single"/>
    <x v="0"/>
    <n v="7"/>
    <s v="Bachelor's Degree"/>
    <s v="Other"/>
    <n v="3"/>
    <n v="0"/>
    <n v="8"/>
    <n v="2"/>
    <n v="7"/>
    <n v="7"/>
    <n v="0"/>
    <n v="7"/>
    <x v="1"/>
    <d v="2022-05-23T00:00:00"/>
    <x v="0"/>
    <s v="Voluntary"/>
    <x v="2"/>
    <x v="2"/>
    <x v="0"/>
    <x v="0"/>
    <x v="1"/>
  </r>
  <r>
    <x v="1031"/>
    <s v="No"/>
    <x v="1"/>
    <s v="Compensation Analyst"/>
    <x v="0"/>
    <x v="2"/>
    <n v="9"/>
    <n v="107856"/>
    <n v="13"/>
    <n v="37.5"/>
    <s v="No"/>
    <n v="29"/>
    <s v="Man"/>
    <s v="Single"/>
    <x v="0"/>
    <n v="17"/>
    <s v="Bachelor's Degree"/>
    <s v="Other"/>
    <n v="3"/>
    <n v="0"/>
    <n v="10"/>
    <n v="3"/>
    <n v="10"/>
    <n v="9"/>
    <n v="0"/>
    <n v="9"/>
    <x v="2"/>
    <d v="2025-07-25T00:00:00"/>
    <x v="1"/>
    <s v="Involuntary"/>
    <x v="1"/>
    <x v="2"/>
    <x v="3"/>
    <x v="1"/>
    <x v="9"/>
  </r>
  <r>
    <x v="1032"/>
    <s v="No"/>
    <x v="1"/>
    <s v="Sales Executive"/>
    <x v="0"/>
    <x v="1"/>
    <n v="8"/>
    <n v="89268"/>
    <n v="14"/>
    <n v="37.5"/>
    <s v="No"/>
    <n v="48"/>
    <s v="Woman"/>
    <s v="Divorced"/>
    <x v="0"/>
    <n v="16"/>
    <s v="Master's Degree"/>
    <s v="Life Sciences"/>
    <n v="3"/>
    <n v="1"/>
    <n v="18"/>
    <n v="2"/>
    <n v="8"/>
    <n v="7"/>
    <n v="7"/>
    <n v="7"/>
    <x v="1"/>
    <d v="2024-08-15T00:00:00"/>
    <x v="1"/>
    <s v="Involuntary"/>
    <x v="2"/>
    <x v="0"/>
    <x v="1"/>
    <x v="0"/>
    <x v="4"/>
  </r>
  <r>
    <x v="1033"/>
    <s v="No"/>
    <x v="1"/>
    <s v="Manufacturing Director"/>
    <x v="1"/>
    <x v="0"/>
    <n v="8"/>
    <n v="89364"/>
    <n v="12"/>
    <n v="37.5"/>
    <s v="No"/>
    <n v="37"/>
    <s v="Woman"/>
    <s v="Married"/>
    <x v="0"/>
    <n v="1"/>
    <s v="Master's Degree"/>
    <s v="Life Sciences"/>
    <n v="3"/>
    <n v="1"/>
    <n v="8"/>
    <n v="2"/>
    <n v="6"/>
    <n v="5"/>
    <n v="4"/>
    <n v="3"/>
    <x v="1"/>
    <d v="2024-03-30T00:00:00"/>
    <x v="1"/>
    <s v="Involuntary"/>
    <x v="1"/>
    <x v="3"/>
    <x v="2"/>
    <x v="1"/>
    <x v="8"/>
  </r>
  <r>
    <x v="1034"/>
    <s v="No"/>
    <x v="1"/>
    <s v="Research Director"/>
    <x v="1"/>
    <x v="0"/>
    <n v="4"/>
    <n v="188784"/>
    <n v="13"/>
    <n v="37.5"/>
    <s v="No"/>
    <n v="55"/>
    <s v="Man"/>
    <s v="Divorced"/>
    <x v="0"/>
    <n v="1"/>
    <s v="Master's Degree"/>
    <s v="Medical"/>
    <n v="3"/>
    <n v="2"/>
    <n v="31"/>
    <n v="4"/>
    <n v="7"/>
    <n v="7"/>
    <n v="0"/>
    <n v="0"/>
    <x v="1"/>
    <d v="2025-07-08T00:00:00"/>
    <x v="1"/>
    <s v="Voluntary"/>
    <x v="1"/>
    <x v="1"/>
    <x v="0"/>
    <x v="2"/>
    <x v="0"/>
  </r>
  <r>
    <x v="1035"/>
    <s v="No"/>
    <x v="1"/>
    <s v="Research Scientist"/>
    <x v="0"/>
    <x v="0"/>
    <n v="5"/>
    <n v="59952"/>
    <n v="14"/>
    <n v="37.5"/>
    <s v="No"/>
    <n v="34"/>
    <s v="Man"/>
    <s v="Divorced"/>
    <x v="1"/>
    <n v="1"/>
    <s v="Master's Degree"/>
    <s v="Other"/>
    <n v="3"/>
    <n v="2"/>
    <n v="10"/>
    <n v="2"/>
    <n v="4"/>
    <n v="3"/>
    <n v="1"/>
    <n v="3"/>
    <x v="1"/>
    <d v="2022-05-01T00:00:00"/>
    <x v="0"/>
    <s v="Involuntary"/>
    <x v="0"/>
    <x v="2"/>
    <x v="1"/>
    <x v="0"/>
    <x v="1"/>
  </r>
  <r>
    <x v="1036"/>
    <s v="No"/>
    <x v="1"/>
    <s v="Manufacturing Director"/>
    <x v="1"/>
    <x v="0"/>
    <n v="8"/>
    <n v="89688"/>
    <n v="13"/>
    <n v="37.5"/>
    <s v="No"/>
    <n v="37"/>
    <s v="Woman"/>
    <s v="Married"/>
    <x v="0"/>
    <n v="1"/>
    <s v="Bachelor's Degree"/>
    <s v="Life Sciences"/>
    <n v="3"/>
    <n v="1"/>
    <n v="14"/>
    <n v="2"/>
    <n v="14"/>
    <n v="8"/>
    <n v="3"/>
    <n v="11"/>
    <x v="2"/>
    <d v="2023-05-09T00:00:00"/>
    <x v="0"/>
    <s v="Voluntary"/>
    <x v="0"/>
    <x v="1"/>
    <x v="2"/>
    <x v="1"/>
    <x v="4"/>
  </r>
  <r>
    <x v="1037"/>
    <s v="No"/>
    <x v="1"/>
    <s v="Laboratory Technician"/>
    <x v="0"/>
    <x v="0"/>
    <n v="3"/>
    <n v="49188"/>
    <n v="14"/>
    <n v="37.5"/>
    <s v="No"/>
    <n v="27"/>
    <s v="Man"/>
    <s v="Married"/>
    <x v="0"/>
    <n v="11"/>
    <s v="Trades Apprenticeship"/>
    <s v="Life Sciences"/>
    <n v="3"/>
    <n v="0"/>
    <n v="6"/>
    <n v="3"/>
    <n v="5"/>
    <n v="0"/>
    <n v="1"/>
    <n v="4"/>
    <x v="1"/>
    <d v="2024-08-19T00:00:00"/>
    <x v="1"/>
    <s v="Involuntary"/>
    <x v="1"/>
    <x v="2"/>
    <x v="2"/>
    <x v="2"/>
    <x v="6"/>
  </r>
  <r>
    <x v="1038"/>
    <s v="No"/>
    <x v="1"/>
    <s v="Sales Executive"/>
    <x v="0"/>
    <x v="1"/>
    <n v="8"/>
    <n v="90000"/>
    <n v="17"/>
    <n v="37.5"/>
    <s v="No"/>
    <n v="34"/>
    <s v="Woman"/>
    <s v="Married"/>
    <x v="0"/>
    <n v="8"/>
    <s v="Certificate or Diploma"/>
    <s v="Life Sciences"/>
    <n v="3"/>
    <n v="1"/>
    <n v="6"/>
    <n v="1"/>
    <n v="3"/>
    <n v="2"/>
    <n v="1"/>
    <n v="2"/>
    <x v="1"/>
    <d v="2024-07-04T00:00:00"/>
    <x v="1"/>
    <s v="Voluntary"/>
    <x v="2"/>
    <x v="2"/>
    <x v="2"/>
    <x v="0"/>
    <x v="6"/>
  </r>
  <r>
    <x v="1039"/>
    <s v="No"/>
    <x v="1"/>
    <s v="Sales Executive"/>
    <x v="0"/>
    <x v="1"/>
    <n v="8"/>
    <n v="90000"/>
    <n v="14"/>
    <n v="37.5"/>
    <s v="No"/>
    <n v="27"/>
    <s v="Woman"/>
    <s v="Single"/>
    <x v="0"/>
    <n v="2"/>
    <s v="Certificate or Diploma"/>
    <s v="Medical"/>
    <n v="3"/>
    <n v="0"/>
    <n v="9"/>
    <n v="5"/>
    <n v="8"/>
    <n v="7"/>
    <n v="0"/>
    <n v="7"/>
    <x v="1"/>
    <d v="2023-04-21T00:00:00"/>
    <x v="0"/>
    <s v="Involuntary"/>
    <x v="3"/>
    <x v="0"/>
    <x v="2"/>
    <x v="1"/>
    <x v="8"/>
  </r>
  <r>
    <x v="1040"/>
    <s v="No"/>
    <x v="1"/>
    <s v="Laboratory Technician"/>
    <x v="0"/>
    <x v="0"/>
    <n v="7"/>
    <n v="81720"/>
    <n v="16"/>
    <n v="37.5"/>
    <s v="No"/>
    <n v="36"/>
    <s v="Man"/>
    <s v="Single"/>
    <x v="0"/>
    <n v="4"/>
    <s v="Master's Degree"/>
    <s v="Life Sciences"/>
    <n v="3"/>
    <n v="0"/>
    <n v="10"/>
    <n v="2"/>
    <n v="10"/>
    <n v="4"/>
    <n v="1"/>
    <n v="8"/>
    <x v="2"/>
    <d v="2024-06-18T00:00:00"/>
    <x v="1"/>
    <s v="Involuntary"/>
    <x v="3"/>
    <x v="1"/>
    <x v="1"/>
    <x v="1"/>
    <x v="2"/>
  </r>
  <r>
    <x v="1041"/>
    <s v="No"/>
    <x v="1"/>
    <s v="Healthcare Representative"/>
    <x v="0"/>
    <x v="0"/>
    <n v="8"/>
    <n v="90156"/>
    <n v="17"/>
    <n v="37.5"/>
    <s v="No"/>
    <n v="40"/>
    <s v="Woman"/>
    <s v="Divorced"/>
    <x v="0"/>
    <n v="1"/>
    <s v="Bachelor's Degree"/>
    <s v="Life Sciences"/>
    <n v="3"/>
    <n v="1"/>
    <n v="12"/>
    <n v="3"/>
    <n v="5"/>
    <n v="3"/>
    <n v="0"/>
    <n v="3"/>
    <x v="1"/>
    <d v="2022-02-26T00:00:00"/>
    <x v="0"/>
    <s v="Involuntary"/>
    <x v="2"/>
    <x v="1"/>
    <x v="0"/>
    <x v="0"/>
    <x v="0"/>
  </r>
  <r>
    <x v="1042"/>
    <s v="No"/>
    <x v="1"/>
    <s v="Manufacturing Director"/>
    <x v="1"/>
    <x v="0"/>
    <n v="8"/>
    <n v="90192"/>
    <n v="16"/>
    <n v="37.5"/>
    <s v="Yes"/>
    <n v="40"/>
    <s v="Woman"/>
    <s v="Married"/>
    <x v="0"/>
    <n v="8"/>
    <s v="Certificate or Diploma"/>
    <s v="Life Sciences"/>
    <n v="3"/>
    <n v="1"/>
    <n v="18"/>
    <n v="3"/>
    <n v="1"/>
    <n v="0"/>
    <n v="0"/>
    <n v="0"/>
    <x v="0"/>
    <d v="2023-06-27T00:00:00"/>
    <x v="0"/>
    <s v="Voluntary"/>
    <x v="1"/>
    <x v="2"/>
    <x v="2"/>
    <x v="0"/>
    <x v="8"/>
  </r>
  <r>
    <x v="1043"/>
    <s v="No"/>
    <x v="1"/>
    <s v="Research Scientist"/>
    <x v="0"/>
    <x v="0"/>
    <n v="6"/>
    <n v="65040"/>
    <n v="12"/>
    <n v="37.5"/>
    <s v="No"/>
    <n v="47"/>
    <s v="Man"/>
    <s v="Married"/>
    <x v="0"/>
    <n v="1"/>
    <s v="Bachelor's Degree"/>
    <s v="Technical Degree"/>
    <n v="3"/>
    <n v="1"/>
    <n v="17"/>
    <n v="2"/>
    <n v="6"/>
    <n v="5"/>
    <n v="1"/>
    <n v="2"/>
    <x v="1"/>
    <d v="2023-07-16T00:00:00"/>
    <x v="0"/>
    <s v="Involuntary"/>
    <x v="3"/>
    <x v="1"/>
    <x v="1"/>
    <x v="1"/>
    <x v="2"/>
  </r>
  <r>
    <x v="1044"/>
    <s v="No"/>
    <x v="1"/>
    <s v="Sales Executive"/>
    <x v="0"/>
    <x v="1"/>
    <n v="8"/>
    <n v="90456"/>
    <n v="15"/>
    <n v="37.5"/>
    <s v="No"/>
    <n v="34"/>
    <s v="Woman"/>
    <s v="Married"/>
    <x v="2"/>
    <n v="4"/>
    <s v="Master's Degree"/>
    <s v="Marketing"/>
    <n v="3"/>
    <n v="1"/>
    <n v="6"/>
    <n v="3"/>
    <n v="3"/>
    <n v="2"/>
    <n v="1"/>
    <n v="2"/>
    <x v="1"/>
    <d v="2024-02-09T00:00:00"/>
    <x v="1"/>
    <s v="Involuntary"/>
    <x v="2"/>
    <x v="0"/>
    <x v="3"/>
    <x v="0"/>
    <x v="2"/>
  </r>
  <r>
    <x v="1045"/>
    <s v="No"/>
    <x v="1"/>
    <s v="Research Scientist"/>
    <x v="0"/>
    <x v="0"/>
    <n v="8"/>
    <n v="90540"/>
    <n v="13"/>
    <n v="37.5"/>
    <s v="Yes"/>
    <n v="42"/>
    <s v="Woman"/>
    <s v="Single"/>
    <x v="0"/>
    <n v="17"/>
    <s v="Certificate or Diploma"/>
    <s v="Life Sciences"/>
    <n v="3"/>
    <n v="0"/>
    <n v="10"/>
    <n v="1"/>
    <n v="3"/>
    <n v="2"/>
    <n v="0"/>
    <n v="2"/>
    <x v="1"/>
    <d v="2023-11-19T00:00:00"/>
    <x v="0"/>
    <s v="Involuntary"/>
    <x v="0"/>
    <x v="2"/>
    <x v="1"/>
    <x v="0"/>
    <x v="1"/>
  </r>
  <r>
    <x v="1046"/>
    <s v="No"/>
    <x v="1"/>
    <s v="Laboratory Technician"/>
    <x v="0"/>
    <x v="0"/>
    <n v="6"/>
    <n v="66000"/>
    <n v="14"/>
    <n v="37.5"/>
    <s v="No"/>
    <n v="37"/>
    <s v="Man"/>
    <s v="Single"/>
    <x v="2"/>
    <n v="5"/>
    <s v="Certificate or Diploma"/>
    <s v="Technical Degree"/>
    <n v="3"/>
    <n v="0"/>
    <n v="7"/>
    <n v="2"/>
    <n v="6"/>
    <n v="5"/>
    <n v="1"/>
    <n v="3"/>
    <x v="1"/>
    <d v="2022-11-25T00:00:00"/>
    <x v="0"/>
    <s v="Voluntary"/>
    <x v="2"/>
    <x v="0"/>
    <x v="3"/>
    <x v="3"/>
    <x v="8"/>
  </r>
  <r>
    <x v="1047"/>
    <s v="No"/>
    <x v="1"/>
    <s v="Sales Executive"/>
    <x v="0"/>
    <x v="1"/>
    <n v="9"/>
    <n v="122448"/>
    <n v="12"/>
    <n v="37.5"/>
    <s v="No"/>
    <n v="32"/>
    <s v="Man"/>
    <s v="Married"/>
    <x v="0"/>
    <n v="7"/>
    <s v="Doctorate"/>
    <s v="Marketing"/>
    <n v="3"/>
    <n v="1"/>
    <n v="7"/>
    <n v="3"/>
    <n v="4"/>
    <n v="3"/>
    <n v="0"/>
    <n v="3"/>
    <x v="1"/>
    <d v="2023-10-05T00:00:00"/>
    <x v="0"/>
    <s v="Voluntary"/>
    <x v="0"/>
    <x v="1"/>
    <x v="1"/>
    <x v="1"/>
    <x v="5"/>
  </r>
  <r>
    <x v="1048"/>
    <s v="No"/>
    <x v="1"/>
    <s v="Manufacturing Director"/>
    <x v="1"/>
    <x v="0"/>
    <n v="8"/>
    <n v="90804"/>
    <n v="14"/>
    <n v="37.5"/>
    <s v="No"/>
    <n v="49"/>
    <s v="Woman"/>
    <s v="Married"/>
    <x v="0"/>
    <n v="20"/>
    <s v="Master's Degree"/>
    <s v="Medical"/>
    <n v="3"/>
    <n v="0"/>
    <n v="16"/>
    <n v="2"/>
    <n v="15"/>
    <n v="11"/>
    <n v="5"/>
    <n v="11"/>
    <x v="2"/>
    <d v="2025-05-05T00:00:00"/>
    <x v="1"/>
    <s v="Involuntary"/>
    <x v="2"/>
    <x v="2"/>
    <x v="1"/>
    <x v="1"/>
    <x v="6"/>
  </r>
  <r>
    <x v="1049"/>
    <s v="No"/>
    <x v="1"/>
    <s v="Sales Executive"/>
    <x v="0"/>
    <x v="1"/>
    <n v="8"/>
    <n v="90924"/>
    <n v="11"/>
    <n v="37.5"/>
    <s v="No"/>
    <n v="30"/>
    <s v="Woman"/>
    <s v="Single"/>
    <x v="0"/>
    <n v="12"/>
    <s v="Bachelor's Degree"/>
    <s v="Technical Degree"/>
    <n v="3"/>
    <n v="0"/>
    <n v="6"/>
    <n v="6"/>
    <n v="5"/>
    <n v="4"/>
    <n v="4"/>
    <n v="4"/>
    <x v="1"/>
    <d v="2022-12-23T00:00:00"/>
    <x v="0"/>
    <s v="Voluntary"/>
    <x v="1"/>
    <x v="0"/>
    <x v="2"/>
    <x v="0"/>
    <x v="2"/>
  </r>
  <r>
    <x v="1050"/>
    <s v="No"/>
    <x v="1"/>
    <s v="Research Scientist"/>
    <x v="0"/>
    <x v="0"/>
    <n v="3"/>
    <n v="49524"/>
    <n v="12"/>
    <n v="37.5"/>
    <s v="Yes"/>
    <n v="41"/>
    <s v="Man"/>
    <s v="Married"/>
    <x v="0"/>
    <n v="5"/>
    <s v="Doctorate"/>
    <s v="Medical"/>
    <n v="3"/>
    <n v="0"/>
    <n v="7"/>
    <n v="5"/>
    <n v="4"/>
    <n v="2"/>
    <n v="0"/>
    <n v="3"/>
    <x v="1"/>
    <d v="2023-09-29T00:00:00"/>
    <x v="0"/>
    <s v="Involuntary"/>
    <x v="1"/>
    <x v="0"/>
    <x v="3"/>
    <x v="1"/>
    <x v="8"/>
  </r>
  <r>
    <x v="1051"/>
    <s v="No"/>
    <x v="1"/>
    <s v="Laboratory Technician"/>
    <x v="0"/>
    <x v="0"/>
    <n v="7"/>
    <n v="71700"/>
    <n v="11"/>
    <n v="37.5"/>
    <s v="No"/>
    <n v="40"/>
    <s v="Man"/>
    <s v="Divorced"/>
    <x v="2"/>
    <n v="9"/>
    <s v="Master's Degree"/>
    <s v="Other"/>
    <n v="3"/>
    <n v="2"/>
    <n v="11"/>
    <n v="2"/>
    <n v="8"/>
    <n v="7"/>
    <n v="0"/>
    <n v="7"/>
    <x v="1"/>
    <d v="2022-07-13T00:00:00"/>
    <x v="0"/>
    <s v="Involuntary"/>
    <x v="2"/>
    <x v="0"/>
    <x v="1"/>
    <x v="2"/>
    <x v="5"/>
  </r>
  <r>
    <x v="1052"/>
    <s v="No"/>
    <x v="1"/>
    <s v="Sales Executive"/>
    <x v="0"/>
    <x v="1"/>
    <n v="8"/>
    <n v="90996"/>
    <n v="11"/>
    <n v="37.5"/>
    <s v="Yes"/>
    <n v="31"/>
    <s v="Woman"/>
    <s v="Divorced"/>
    <x v="0"/>
    <n v="10"/>
    <s v="Certificate or Diploma"/>
    <s v="Medical"/>
    <n v="3"/>
    <n v="1"/>
    <n v="8"/>
    <n v="2"/>
    <n v="5"/>
    <n v="2"/>
    <n v="1"/>
    <n v="4"/>
    <x v="1"/>
    <d v="2022-05-09T00:00:00"/>
    <x v="0"/>
    <s v="Voluntary"/>
    <x v="2"/>
    <x v="1"/>
    <x v="0"/>
    <x v="0"/>
    <x v="0"/>
  </r>
  <r>
    <x v="1053"/>
    <s v="No"/>
    <x v="1"/>
    <s v="Sales Executive"/>
    <x v="0"/>
    <x v="1"/>
    <n v="10"/>
    <n v="141516"/>
    <n v="18"/>
    <n v="37.5"/>
    <s v="No"/>
    <n v="31"/>
    <s v="Man"/>
    <s v="Divorced"/>
    <x v="0"/>
    <n v="8"/>
    <s v="Certificate or Diploma"/>
    <s v="Life Sciences"/>
    <n v="3"/>
    <n v="1"/>
    <n v="13"/>
    <n v="5"/>
    <n v="13"/>
    <n v="7"/>
    <n v="9"/>
    <n v="9"/>
    <x v="2"/>
    <d v="2024-07-15T00:00:00"/>
    <x v="1"/>
    <s v="Involuntary"/>
    <x v="3"/>
    <x v="1"/>
    <x v="3"/>
    <x v="0"/>
    <x v="6"/>
  </r>
  <r>
    <x v="1054"/>
    <s v="No"/>
    <x v="1"/>
    <s v="Healthcare Representative"/>
    <x v="0"/>
    <x v="0"/>
    <n v="10"/>
    <n v="142212"/>
    <n v="18"/>
    <n v="37.5"/>
    <s v="Yes"/>
    <n v="45"/>
    <s v="Man"/>
    <s v="Divorced"/>
    <x v="0"/>
    <n v="20"/>
    <s v="Bachelor's Degree"/>
    <s v="Medical"/>
    <n v="3"/>
    <n v="1"/>
    <n v="24"/>
    <n v="2"/>
    <n v="7"/>
    <n v="7"/>
    <n v="0"/>
    <n v="7"/>
    <x v="1"/>
    <d v="2023-04-19T00:00:00"/>
    <x v="0"/>
    <s v="Involuntary"/>
    <x v="1"/>
    <x v="2"/>
    <x v="2"/>
    <x v="0"/>
    <x v="8"/>
  </r>
  <r>
    <x v="1055"/>
    <s v="No"/>
    <x v="1"/>
    <s v="Manufacturing Director"/>
    <x v="1"/>
    <x v="0"/>
    <n v="9"/>
    <n v="124560"/>
    <n v="18"/>
    <n v="37.5"/>
    <s v="Yes"/>
    <n v="45"/>
    <s v="Man"/>
    <s v="Married"/>
    <x v="0"/>
    <n v="29"/>
    <s v="Bachelor's Degree"/>
    <s v="Technical Degree"/>
    <n v="3"/>
    <n v="2"/>
    <n v="10"/>
    <n v="4"/>
    <n v="3"/>
    <n v="1"/>
    <n v="1"/>
    <n v="2"/>
    <x v="1"/>
    <d v="2024-01-20T00:00:00"/>
    <x v="1"/>
    <s v="Voluntary"/>
    <x v="1"/>
    <x v="1"/>
    <x v="0"/>
    <x v="2"/>
    <x v="0"/>
  </r>
  <r>
    <x v="1056"/>
    <s v="No"/>
    <x v="1"/>
    <s v="Sales Executive"/>
    <x v="0"/>
    <x v="1"/>
    <n v="7"/>
    <n v="77832"/>
    <n v="11"/>
    <n v="37.5"/>
    <s v="No"/>
    <n v="48"/>
    <s v="Man"/>
    <s v="Divorced"/>
    <x v="0"/>
    <n v="7"/>
    <s v="Bachelor's Degree"/>
    <s v="Marketing"/>
    <n v="3"/>
    <n v="3"/>
    <n v="15"/>
    <n v="3"/>
    <n v="2"/>
    <n v="2"/>
    <n v="2"/>
    <n v="2"/>
    <x v="0"/>
    <d v="2022-05-05T00:00:00"/>
    <x v="0"/>
    <s v="Voluntary"/>
    <x v="2"/>
    <x v="2"/>
    <x v="3"/>
    <x v="0"/>
    <x v="8"/>
  </r>
  <r>
    <x v="1057"/>
    <s v="No"/>
    <x v="1"/>
    <s v="Sales Executive"/>
    <x v="0"/>
    <x v="1"/>
    <n v="8"/>
    <n v="91824"/>
    <n v="13"/>
    <n v="37.5"/>
    <s v="No"/>
    <n v="36"/>
    <s v="Woman"/>
    <s v="Married"/>
    <x v="0"/>
    <n v="11"/>
    <s v="Master's Degree"/>
    <s v="Marketing"/>
    <n v="3"/>
    <n v="1"/>
    <n v="8"/>
    <n v="2"/>
    <n v="6"/>
    <n v="3"/>
    <n v="0"/>
    <n v="0"/>
    <x v="1"/>
    <d v="2023-04-09T00:00:00"/>
    <x v="0"/>
    <s v="Voluntary"/>
    <x v="1"/>
    <x v="1"/>
    <x v="3"/>
    <x v="1"/>
    <x v="6"/>
  </r>
  <r>
    <x v="1058"/>
    <s v="No"/>
    <x v="1"/>
    <s v="Sales Executive"/>
    <x v="0"/>
    <x v="1"/>
    <n v="8"/>
    <n v="91836"/>
    <n v="15"/>
    <n v="37.5"/>
    <s v="No"/>
    <n v="36"/>
    <s v="Woman"/>
    <s v="Single"/>
    <x v="2"/>
    <n v="1"/>
    <s v="Doctorate"/>
    <s v="Medical"/>
    <n v="3"/>
    <n v="0"/>
    <n v="7"/>
    <n v="6"/>
    <n v="1"/>
    <n v="0"/>
    <n v="0"/>
    <n v="0"/>
    <x v="0"/>
    <d v="2023-11-30T00:00:00"/>
    <x v="0"/>
    <s v="Involuntary"/>
    <x v="0"/>
    <x v="1"/>
    <x v="2"/>
    <x v="0"/>
    <x v="5"/>
  </r>
  <r>
    <x v="1059"/>
    <s v="No"/>
    <x v="1"/>
    <s v="Healthcare Representative"/>
    <x v="0"/>
    <x v="0"/>
    <n v="8"/>
    <n v="92004"/>
    <n v="18"/>
    <n v="37.5"/>
    <s v="No"/>
    <n v="32"/>
    <s v="Woman"/>
    <s v="Divorced"/>
    <x v="2"/>
    <n v="15"/>
    <s v="Master's Degree"/>
    <s v="Medical"/>
    <n v="3"/>
    <n v="1"/>
    <n v="9"/>
    <n v="6"/>
    <n v="5"/>
    <n v="1"/>
    <n v="1"/>
    <n v="2"/>
    <x v="1"/>
    <d v="2023-12-24T00:00:00"/>
    <x v="0"/>
    <s v="Involuntary"/>
    <x v="2"/>
    <x v="1"/>
    <x v="2"/>
    <x v="0"/>
    <x v="4"/>
  </r>
  <r>
    <x v="1060"/>
    <s v="No"/>
    <x v="1"/>
    <s v="Research Director"/>
    <x v="1"/>
    <x v="0"/>
    <n v="3"/>
    <n v="177084"/>
    <n v="11"/>
    <n v="37.5"/>
    <s v="No"/>
    <n v="40"/>
    <s v="Man"/>
    <s v="Divorced"/>
    <x v="2"/>
    <n v="8"/>
    <s v="Trades Apprenticeship"/>
    <s v="Medical"/>
    <n v="3"/>
    <n v="1"/>
    <n v="16"/>
    <n v="5"/>
    <n v="9"/>
    <n v="8"/>
    <n v="4"/>
    <n v="8"/>
    <x v="1"/>
    <d v="2024-03-13T00:00:00"/>
    <x v="1"/>
    <s v="Involuntary"/>
    <x v="0"/>
    <x v="3"/>
    <x v="1"/>
    <x v="0"/>
    <x v="4"/>
  </r>
  <r>
    <x v="1061"/>
    <s v="No"/>
    <x v="1"/>
    <s v="Laboratory Technician"/>
    <x v="0"/>
    <x v="0"/>
    <n v="8"/>
    <n v="92088"/>
    <n v="11"/>
    <n v="37.5"/>
    <s v="No"/>
    <n v="28"/>
    <s v="Woman"/>
    <s v="Married"/>
    <x v="2"/>
    <n v="1"/>
    <s v="Bachelor's Degree"/>
    <s v="Life Sciences"/>
    <n v="3"/>
    <n v="3"/>
    <n v="10"/>
    <n v="6"/>
    <n v="9"/>
    <n v="8"/>
    <n v="7"/>
    <n v="5"/>
    <x v="1"/>
    <d v="2022-01-29T00:00:00"/>
    <x v="0"/>
    <s v="Involuntary"/>
    <x v="2"/>
    <x v="1"/>
    <x v="3"/>
    <x v="0"/>
    <x v="1"/>
  </r>
  <r>
    <x v="1062"/>
    <s v="No"/>
    <x v="1"/>
    <s v="Healthcare Representative"/>
    <x v="0"/>
    <x v="0"/>
    <n v="8"/>
    <n v="92244"/>
    <n v="11"/>
    <n v="37.5"/>
    <s v="No"/>
    <n v="34"/>
    <s v="Woman"/>
    <s v="Single"/>
    <x v="0"/>
    <n v="2"/>
    <s v="Master's Degree"/>
    <s v="Technical Degree"/>
    <n v="3"/>
    <n v="0"/>
    <n v="14"/>
    <n v="2"/>
    <n v="14"/>
    <n v="11"/>
    <n v="4"/>
    <n v="11"/>
    <x v="2"/>
    <d v="2025-04-25T00:00:00"/>
    <x v="1"/>
    <s v="Voluntary"/>
    <x v="2"/>
    <x v="1"/>
    <x v="0"/>
    <x v="2"/>
    <x v="7"/>
  </r>
  <r>
    <x v="1063"/>
    <s v="No"/>
    <x v="1"/>
    <s v="Sales Executive"/>
    <x v="0"/>
    <x v="1"/>
    <n v="8"/>
    <n v="92328"/>
    <n v="14"/>
    <n v="37.5"/>
    <s v="Yes"/>
    <n v="37"/>
    <s v="Woman"/>
    <s v="Divorced"/>
    <x v="0"/>
    <n v="10"/>
    <s v="Master's Degree"/>
    <s v="Life Sciences"/>
    <n v="3"/>
    <n v="3"/>
    <n v="8"/>
    <n v="5"/>
    <n v="1"/>
    <n v="0"/>
    <n v="0"/>
    <n v="0"/>
    <x v="0"/>
    <d v="2023-05-17T00:00:00"/>
    <x v="0"/>
    <s v="Involuntary"/>
    <x v="0"/>
    <x v="1"/>
    <x v="1"/>
    <x v="0"/>
    <x v="0"/>
  </r>
  <r>
    <x v="1064"/>
    <s v="No"/>
    <x v="1"/>
    <s v="Sales Executive"/>
    <x v="0"/>
    <x v="1"/>
    <n v="8"/>
    <n v="92544"/>
    <n v="21"/>
    <n v="37.5"/>
    <s v="No"/>
    <n v="34"/>
    <s v="Woman"/>
    <s v="Married"/>
    <x v="0"/>
    <n v="28"/>
    <s v="Bachelor's Degree"/>
    <s v="Marketing"/>
    <n v="4"/>
    <n v="2"/>
    <n v="8"/>
    <n v="2"/>
    <n v="8"/>
    <n v="7"/>
    <n v="1"/>
    <n v="7"/>
    <x v="1"/>
    <d v="2023-05-03T00:00:00"/>
    <x v="0"/>
    <s v="Involuntary"/>
    <x v="0"/>
    <x v="0"/>
    <x v="0"/>
    <x v="0"/>
    <x v="0"/>
  </r>
  <r>
    <x v="1065"/>
    <s v="No"/>
    <x v="1"/>
    <s v="Manufacturing Director"/>
    <x v="1"/>
    <x v="0"/>
    <n v="8"/>
    <n v="92700"/>
    <n v="12"/>
    <n v="37.5"/>
    <s v="No"/>
    <n v="32"/>
    <s v="Woman"/>
    <s v="Married"/>
    <x v="0"/>
    <n v="3"/>
    <s v="Master's Degree"/>
    <s v="Medical"/>
    <n v="3"/>
    <n v="1"/>
    <n v="8"/>
    <n v="2"/>
    <n v="8"/>
    <n v="7"/>
    <n v="6"/>
    <n v="3"/>
    <x v="1"/>
    <d v="2024-05-11T00:00:00"/>
    <x v="1"/>
    <s v="Involuntary"/>
    <x v="2"/>
    <x v="2"/>
    <x v="1"/>
    <x v="2"/>
    <x v="1"/>
  </r>
  <r>
    <x v="1066"/>
    <s v="No"/>
    <x v="1"/>
    <s v="Sales Executive"/>
    <x v="0"/>
    <x v="1"/>
    <n v="9"/>
    <n v="113556"/>
    <n v="18"/>
    <n v="37.5"/>
    <s v="No"/>
    <n v="28"/>
    <s v="Man"/>
    <s v="Single"/>
    <x v="0"/>
    <n v="5"/>
    <s v="Bachelor's Degree"/>
    <s v="Medical"/>
    <n v="3"/>
    <n v="0"/>
    <n v="6"/>
    <n v="4"/>
    <n v="5"/>
    <n v="4"/>
    <n v="1"/>
    <n v="3"/>
    <x v="1"/>
    <d v="2024-01-02T00:00:00"/>
    <x v="1"/>
    <s v="Involuntary"/>
    <x v="0"/>
    <x v="2"/>
    <x v="0"/>
    <x v="0"/>
    <x v="4"/>
  </r>
  <r>
    <x v="1067"/>
    <s v="No"/>
    <x v="1"/>
    <s v="Laboratory Technician"/>
    <x v="0"/>
    <x v="0"/>
    <n v="6"/>
    <n v="61944"/>
    <n v="14"/>
    <n v="37.5"/>
    <s v="No"/>
    <n v="44"/>
    <s v="Man"/>
    <s v="Single"/>
    <x v="2"/>
    <n v="5"/>
    <s v="Bachelor's Degree"/>
    <s v="Life Sciences"/>
    <n v="3"/>
    <n v="0"/>
    <n v="7"/>
    <n v="5"/>
    <n v="5"/>
    <n v="2"/>
    <n v="0"/>
    <n v="3"/>
    <x v="1"/>
    <d v="2023-04-03T00:00:00"/>
    <x v="0"/>
    <s v="Voluntary"/>
    <x v="2"/>
    <x v="0"/>
    <x v="0"/>
    <x v="0"/>
    <x v="5"/>
  </r>
  <r>
    <x v="1068"/>
    <s v="No"/>
    <x v="1"/>
    <s v="Research Director"/>
    <x v="1"/>
    <x v="0"/>
    <n v="4"/>
    <n v="211176"/>
    <n v="12"/>
    <n v="37.5"/>
    <s v="No"/>
    <n v="53"/>
    <s v="Man"/>
    <s v="Single"/>
    <x v="0"/>
    <n v="2"/>
    <s v="Bachelor's Degree"/>
    <s v="Medical"/>
    <n v="3"/>
    <n v="0"/>
    <n v="35"/>
    <n v="2"/>
    <n v="9"/>
    <n v="8"/>
    <n v="8"/>
    <n v="8"/>
    <x v="1"/>
    <d v="2022-09-12T00:00:00"/>
    <x v="0"/>
    <s v="Involuntary"/>
    <x v="0"/>
    <x v="3"/>
    <x v="2"/>
    <x v="1"/>
    <x v="2"/>
  </r>
  <r>
    <x v="1069"/>
    <s v="No"/>
    <x v="1"/>
    <s v="Healthcare Representative"/>
    <x v="0"/>
    <x v="0"/>
    <n v="8"/>
    <n v="91812"/>
    <n v="14"/>
    <n v="37.5"/>
    <s v="No"/>
    <n v="49"/>
    <s v="Man"/>
    <s v="Married"/>
    <x v="0"/>
    <n v="5"/>
    <s v="Master's Degree"/>
    <s v="Technical Degree"/>
    <n v="3"/>
    <n v="1"/>
    <n v="20"/>
    <n v="0"/>
    <n v="3"/>
    <n v="2"/>
    <n v="1"/>
    <n v="2"/>
    <x v="1"/>
    <d v="2023-04-26T00:00:00"/>
    <x v="0"/>
    <s v="Voluntary"/>
    <x v="3"/>
    <x v="0"/>
    <x v="2"/>
    <x v="1"/>
    <x v="8"/>
  </r>
  <r>
    <x v="1070"/>
    <s v="No"/>
    <x v="1"/>
    <s v="Research Scientist"/>
    <x v="0"/>
    <x v="0"/>
    <n v="4"/>
    <n v="52140"/>
    <n v="14"/>
    <n v="37.5"/>
    <s v="No"/>
    <n v="40"/>
    <s v="Man"/>
    <s v="Divorced"/>
    <x v="0"/>
    <n v="2"/>
    <s v="Bachelor's Degree"/>
    <s v="Medical"/>
    <n v="3"/>
    <n v="1"/>
    <n v="8"/>
    <n v="3"/>
    <n v="3"/>
    <n v="1"/>
    <n v="1"/>
    <n v="2"/>
    <x v="1"/>
    <d v="2023-04-21T00:00:00"/>
    <x v="0"/>
    <s v="Voluntary"/>
    <x v="2"/>
    <x v="0"/>
    <x v="1"/>
    <x v="2"/>
    <x v="5"/>
  </r>
  <r>
    <x v="1071"/>
    <s v="No"/>
    <x v="1"/>
    <s v="Research Scientist"/>
    <x v="0"/>
    <x v="0"/>
    <n v="6"/>
    <n v="65040"/>
    <n v="13"/>
    <n v="37.5"/>
    <s v="No"/>
    <n v="44"/>
    <s v="Man"/>
    <s v="Single"/>
    <x v="0"/>
    <n v="20"/>
    <s v="Bachelor's Degree"/>
    <s v="Life Sciences"/>
    <n v="3"/>
    <n v="0"/>
    <n v="6"/>
    <n v="3"/>
    <n v="5"/>
    <n v="2"/>
    <n v="1"/>
    <n v="3"/>
    <x v="1"/>
    <d v="2025-08-23T00:00:00"/>
    <x v="1"/>
    <s v="Involuntary"/>
    <x v="0"/>
    <x v="3"/>
    <x v="1"/>
    <x v="1"/>
    <x v="1"/>
  </r>
  <r>
    <x v="1072"/>
    <s v="No"/>
    <x v="1"/>
    <s v="Sales Executive"/>
    <x v="0"/>
    <x v="1"/>
    <n v="6"/>
    <n v="64476"/>
    <n v="14"/>
    <n v="37.5"/>
    <s v="No"/>
    <n v="33"/>
    <s v="Man"/>
    <s v="Married"/>
    <x v="1"/>
    <n v="7"/>
    <s v="Bachelor's Degree"/>
    <s v="Medical"/>
    <n v="3"/>
    <n v="2"/>
    <n v="5"/>
    <n v="2"/>
    <n v="4"/>
    <n v="3"/>
    <n v="0"/>
    <n v="3"/>
    <x v="1"/>
    <d v="2025-12-25T00:00:00"/>
    <x v="1"/>
    <s v="Voluntary"/>
    <x v="0"/>
    <x v="2"/>
    <x v="3"/>
    <x v="0"/>
    <x v="6"/>
  </r>
  <r>
    <x v="1073"/>
    <s v="No"/>
    <x v="1"/>
    <s v="Sales Executive"/>
    <x v="0"/>
    <x v="1"/>
    <n v="6"/>
    <n v="69108"/>
    <n v="18"/>
    <n v="37.5"/>
    <s v="No"/>
    <n v="34"/>
    <s v="Man"/>
    <s v="Single"/>
    <x v="0"/>
    <n v="3"/>
    <s v="Bachelor's Degree"/>
    <s v="Other"/>
    <n v="3"/>
    <n v="0"/>
    <n v="15"/>
    <n v="2"/>
    <n v="13"/>
    <n v="9"/>
    <n v="3"/>
    <n v="12"/>
    <x v="2"/>
    <d v="2025-06-06T00:00:00"/>
    <x v="1"/>
    <s v="Voluntary"/>
    <x v="0"/>
    <x v="2"/>
    <x v="0"/>
    <x v="0"/>
    <x v="4"/>
  </r>
  <r>
    <x v="1074"/>
    <s v="No"/>
    <x v="1"/>
    <s v="Sales Executive"/>
    <x v="0"/>
    <x v="1"/>
    <n v="7"/>
    <n v="75612"/>
    <n v="15"/>
    <n v="37.5"/>
    <s v="No"/>
    <n v="30"/>
    <s v="Man"/>
    <s v="Married"/>
    <x v="0"/>
    <n v="16"/>
    <s v="Trades Apprenticeship"/>
    <s v="Life Sciences"/>
    <n v="3"/>
    <n v="2"/>
    <n v="4"/>
    <n v="2"/>
    <n v="2"/>
    <n v="1"/>
    <n v="2"/>
    <n v="2"/>
    <x v="0"/>
    <d v="2024-08-11T00:00:00"/>
    <x v="1"/>
    <s v="Involuntary"/>
    <x v="0"/>
    <x v="0"/>
    <x v="1"/>
    <x v="1"/>
    <x v="4"/>
  </r>
  <r>
    <x v="1075"/>
    <s v="No"/>
    <x v="1"/>
    <s v="Healthcare Representative"/>
    <x v="0"/>
    <x v="0"/>
    <n v="8"/>
    <n v="93732"/>
    <n v="17"/>
    <n v="37.5"/>
    <s v="Yes"/>
    <n v="41"/>
    <s v="Woman"/>
    <s v="Single"/>
    <x v="2"/>
    <n v="2"/>
    <s v="Master's Degree"/>
    <s v="Other"/>
    <n v="3"/>
    <n v="0"/>
    <n v="10"/>
    <n v="3"/>
    <n v="8"/>
    <n v="7"/>
    <n v="0"/>
    <n v="7"/>
    <x v="1"/>
    <d v="2022-10-22T00:00:00"/>
    <x v="0"/>
    <s v="Involuntary"/>
    <x v="3"/>
    <x v="0"/>
    <x v="3"/>
    <x v="0"/>
    <x v="8"/>
  </r>
  <r>
    <x v="1076"/>
    <s v="No"/>
    <x v="1"/>
    <s v="Healthcare Representative"/>
    <x v="0"/>
    <x v="0"/>
    <n v="8"/>
    <n v="93732"/>
    <n v="19"/>
    <n v="37.5"/>
    <s v="No"/>
    <n v="27"/>
    <s v="Woman"/>
    <s v="Single"/>
    <x v="0"/>
    <n v="7"/>
    <s v="Bachelor's Degree"/>
    <s v="Medical"/>
    <n v="3"/>
    <n v="0"/>
    <n v="9"/>
    <n v="2"/>
    <n v="7"/>
    <n v="6"/>
    <n v="0"/>
    <n v="7"/>
    <x v="1"/>
    <d v="2022-01-22T00:00:00"/>
    <x v="0"/>
    <s v="Voluntary"/>
    <x v="0"/>
    <x v="2"/>
    <x v="3"/>
    <x v="3"/>
    <x v="3"/>
  </r>
  <r>
    <x v="1077"/>
    <s v="No"/>
    <x v="1"/>
    <s v="Healthcare Representative"/>
    <x v="0"/>
    <x v="0"/>
    <n v="8"/>
    <n v="93744"/>
    <n v="19"/>
    <n v="37.5"/>
    <s v="No"/>
    <n v="31"/>
    <s v="Woman"/>
    <s v="Single"/>
    <x v="0"/>
    <n v="24"/>
    <s v="Bachelor's Degree"/>
    <s v="Medical"/>
    <n v="3"/>
    <n v="0"/>
    <n v="10"/>
    <n v="2"/>
    <n v="10"/>
    <n v="9"/>
    <n v="1"/>
    <n v="8"/>
    <x v="2"/>
    <d v="2025-03-02T00:00:00"/>
    <x v="1"/>
    <s v="Voluntary"/>
    <x v="2"/>
    <x v="2"/>
    <x v="2"/>
    <x v="0"/>
    <x v="6"/>
  </r>
  <r>
    <x v="1078"/>
    <s v="No"/>
    <x v="1"/>
    <s v="Sales Executive"/>
    <x v="0"/>
    <x v="1"/>
    <n v="8"/>
    <n v="93780"/>
    <n v="13"/>
    <n v="37.5"/>
    <s v="No"/>
    <n v="36"/>
    <s v="Woman"/>
    <s v="Single"/>
    <x v="0"/>
    <n v="1"/>
    <s v="Master's Degree"/>
    <s v="Life Sciences"/>
    <n v="3"/>
    <n v="0"/>
    <n v="15"/>
    <n v="5"/>
    <n v="1"/>
    <n v="0"/>
    <n v="0"/>
    <n v="0"/>
    <x v="0"/>
    <d v="2023-12-01T00:00:00"/>
    <x v="0"/>
    <s v="Voluntary"/>
    <x v="1"/>
    <x v="0"/>
    <x v="3"/>
    <x v="0"/>
    <x v="6"/>
  </r>
  <r>
    <x v="1079"/>
    <s v="No"/>
    <x v="1"/>
    <s v="Research Scientist"/>
    <x v="0"/>
    <x v="0"/>
    <n v="7"/>
    <n v="70800"/>
    <n v="24"/>
    <n v="37.5"/>
    <s v="No"/>
    <n v="57"/>
    <s v="Man"/>
    <s v="Married"/>
    <x v="0"/>
    <n v="1"/>
    <s v="Certificate or Diploma"/>
    <s v="Life Sciences"/>
    <n v="4"/>
    <n v="1"/>
    <n v="13"/>
    <n v="2"/>
    <n v="12"/>
    <n v="9"/>
    <n v="2"/>
    <n v="8"/>
    <x v="2"/>
    <d v="2023-05-17T00:00:00"/>
    <x v="0"/>
    <s v="Involuntary"/>
    <x v="1"/>
    <x v="0"/>
    <x v="3"/>
    <x v="1"/>
    <x v="8"/>
  </r>
  <r>
    <x v="1080"/>
    <s v="No"/>
    <x v="1"/>
    <s v="Healthcare Representative"/>
    <x v="0"/>
    <x v="0"/>
    <n v="9"/>
    <n v="137592"/>
    <n v="14"/>
    <n v="37.5"/>
    <s v="No"/>
    <n v="49"/>
    <s v="Man"/>
    <s v="Divorced"/>
    <x v="0"/>
    <n v="7"/>
    <s v="Master's Degree"/>
    <s v="Life Sciences"/>
    <n v="3"/>
    <n v="2"/>
    <n v="29"/>
    <n v="3"/>
    <n v="8"/>
    <n v="7"/>
    <n v="0"/>
    <n v="7"/>
    <x v="1"/>
    <d v="2023-11-22T00:00:00"/>
    <x v="0"/>
    <s v="Involuntary"/>
    <x v="2"/>
    <x v="3"/>
    <x v="2"/>
    <x v="0"/>
    <x v="2"/>
  </r>
  <r>
    <x v="1081"/>
    <s v="No"/>
    <x v="1"/>
    <s v="Research Director"/>
    <x v="1"/>
    <x v="0"/>
    <n v="4"/>
    <n v="216084"/>
    <n v="14"/>
    <n v="37.5"/>
    <s v="No"/>
    <n v="34"/>
    <s v="Man"/>
    <s v="Divorced"/>
    <x v="1"/>
    <n v="15"/>
    <s v="Bachelor's Degree"/>
    <s v="Medical"/>
    <n v="3"/>
    <n v="2"/>
    <n v="16"/>
    <n v="3"/>
    <n v="14"/>
    <n v="8"/>
    <n v="6"/>
    <n v="9"/>
    <x v="2"/>
    <d v="2024-02-27T00:00:00"/>
    <x v="1"/>
    <s v="Involuntary"/>
    <x v="1"/>
    <x v="2"/>
    <x v="0"/>
    <x v="1"/>
    <x v="6"/>
  </r>
  <r>
    <x v="1082"/>
    <s v="No"/>
    <x v="1"/>
    <s v="Sales Executive"/>
    <x v="0"/>
    <x v="1"/>
    <n v="8"/>
    <n v="94224"/>
    <n v="12"/>
    <n v="37.5"/>
    <s v="No"/>
    <n v="40"/>
    <s v="Woman"/>
    <s v="Divorced"/>
    <x v="0"/>
    <n v="10"/>
    <s v="Bachelor's Degree"/>
    <s v="Technical Degree"/>
    <n v="3"/>
    <n v="1"/>
    <n v="7"/>
    <n v="2"/>
    <n v="5"/>
    <n v="1"/>
    <n v="1"/>
    <n v="3"/>
    <x v="1"/>
    <d v="2022-06-22T00:00:00"/>
    <x v="0"/>
    <s v="Involuntary"/>
    <x v="1"/>
    <x v="3"/>
    <x v="2"/>
    <x v="2"/>
    <x v="2"/>
  </r>
  <r>
    <x v="1083"/>
    <s v="No"/>
    <x v="1"/>
    <s v="Research Scientist"/>
    <x v="0"/>
    <x v="0"/>
    <n v="8"/>
    <n v="94248"/>
    <n v="15"/>
    <n v="37.5"/>
    <s v="No"/>
    <n v="54"/>
    <s v="Woman"/>
    <s v="Married"/>
    <x v="0"/>
    <n v="7"/>
    <s v="Master's Degree"/>
    <s v="Medical"/>
    <n v="3"/>
    <n v="1"/>
    <n v="14"/>
    <n v="2"/>
    <n v="7"/>
    <n v="1"/>
    <n v="1"/>
    <n v="7"/>
    <x v="1"/>
    <d v="2024-09-09T00:00:00"/>
    <x v="1"/>
    <s v="Involuntary"/>
    <x v="0"/>
    <x v="1"/>
    <x v="2"/>
    <x v="1"/>
    <x v="4"/>
  </r>
  <r>
    <x v="1084"/>
    <s v="No"/>
    <x v="1"/>
    <s v="Sales Representative"/>
    <x v="0"/>
    <x v="1"/>
    <n v="4"/>
    <n v="52848"/>
    <n v="13"/>
    <n v="37.5"/>
    <s v="No"/>
    <n v="35"/>
    <s v="Man"/>
    <s v="Married"/>
    <x v="0"/>
    <n v="7"/>
    <s v="Trades Apprenticeship"/>
    <s v="Life Sciences"/>
    <n v="3"/>
    <n v="1"/>
    <n v="1"/>
    <n v="3"/>
    <n v="1"/>
    <n v="0"/>
    <n v="0"/>
    <n v="0"/>
    <x v="0"/>
    <d v="2025-08-28T00:00:00"/>
    <x v="1"/>
    <s v="Voluntary"/>
    <x v="0"/>
    <x v="0"/>
    <x v="3"/>
    <x v="0"/>
    <x v="1"/>
  </r>
  <r>
    <x v="1085"/>
    <s v="No"/>
    <x v="1"/>
    <s v="Manufacturing Director"/>
    <x v="1"/>
    <x v="0"/>
    <n v="8"/>
    <n v="94524"/>
    <n v="24"/>
    <n v="37.5"/>
    <s v="Yes"/>
    <n v="30"/>
    <s v="Woman"/>
    <s v="Single"/>
    <x v="0"/>
    <n v="2"/>
    <s v="Bachelor's Degree"/>
    <s v="Medical"/>
    <n v="4"/>
    <n v="0"/>
    <n v="12"/>
    <n v="4"/>
    <n v="0"/>
    <n v="0"/>
    <n v="0"/>
    <n v="0"/>
    <x v="0"/>
    <d v="2023-02-10T00:00:00"/>
    <x v="0"/>
    <s v="Involuntary"/>
    <x v="2"/>
    <x v="1"/>
    <x v="2"/>
    <x v="1"/>
    <x v="1"/>
  </r>
  <r>
    <x v="1086"/>
    <s v="No"/>
    <x v="1"/>
    <s v="Manufacturing Director"/>
    <x v="1"/>
    <x v="0"/>
    <n v="9"/>
    <n v="134508"/>
    <n v="18"/>
    <n v="37.5"/>
    <s v="Yes"/>
    <n v="44"/>
    <s v="Man"/>
    <s v="Single"/>
    <x v="1"/>
    <n v="2"/>
    <s v="Trades Apprenticeship"/>
    <s v="Medical"/>
    <n v="3"/>
    <n v="0"/>
    <n v="16"/>
    <n v="2"/>
    <n v="2"/>
    <n v="2"/>
    <n v="2"/>
    <n v="2"/>
    <x v="0"/>
    <d v="2025-02-16T00:00:00"/>
    <x v="1"/>
    <s v="Voluntary"/>
    <x v="1"/>
    <x v="0"/>
    <x v="2"/>
    <x v="1"/>
    <x v="6"/>
  </r>
  <r>
    <x v="1087"/>
    <s v="No"/>
    <x v="1"/>
    <s v="Sales Executive"/>
    <x v="0"/>
    <x v="1"/>
    <n v="8"/>
    <n v="94716"/>
    <n v="15"/>
    <n v="37.5"/>
    <s v="No"/>
    <n v="38"/>
    <s v="Woman"/>
    <s v="Divorced"/>
    <x v="0"/>
    <n v="2"/>
    <s v="Certificate or Diploma"/>
    <s v="Life Sciences"/>
    <n v="3"/>
    <n v="1"/>
    <n v="11"/>
    <n v="3"/>
    <n v="7"/>
    <n v="7"/>
    <n v="1"/>
    <n v="7"/>
    <x v="1"/>
    <d v="2023-07-26T00:00:00"/>
    <x v="0"/>
    <s v="Voluntary"/>
    <x v="1"/>
    <x v="2"/>
    <x v="0"/>
    <x v="0"/>
    <x v="2"/>
  </r>
  <r>
    <x v="1088"/>
    <s v="No"/>
    <x v="1"/>
    <s v="Sales Executive"/>
    <x v="0"/>
    <x v="1"/>
    <n v="9"/>
    <n v="115440"/>
    <n v="14"/>
    <n v="37.5"/>
    <s v="No"/>
    <n v="29"/>
    <s v="Man"/>
    <s v="Divorced"/>
    <x v="0"/>
    <n v="19"/>
    <s v="Bachelor's Degree"/>
    <s v="Life Sciences"/>
    <n v="3"/>
    <n v="2"/>
    <n v="10"/>
    <n v="3"/>
    <n v="10"/>
    <n v="7"/>
    <n v="0"/>
    <n v="4"/>
    <x v="2"/>
    <d v="2025-12-19T00:00:00"/>
    <x v="1"/>
    <s v="Involuntary"/>
    <x v="2"/>
    <x v="0"/>
    <x v="1"/>
    <x v="0"/>
    <x v="4"/>
  </r>
  <r>
    <x v="1089"/>
    <s v="No"/>
    <x v="1"/>
    <s v="Compensation Analyst"/>
    <x v="0"/>
    <x v="2"/>
    <n v="3"/>
    <n v="48768"/>
    <n v="21"/>
    <n v="37.5"/>
    <s v="No"/>
    <n v="30"/>
    <s v="Man"/>
    <s v="Divorced"/>
    <x v="0"/>
    <n v="1"/>
    <s v="Bachelor's Degree"/>
    <s v="Life Sciences"/>
    <n v="4"/>
    <n v="1"/>
    <n v="6"/>
    <n v="3"/>
    <n v="5"/>
    <n v="3"/>
    <n v="1"/>
    <n v="3"/>
    <x v="1"/>
    <d v="2023-02-20T00:00:00"/>
    <x v="0"/>
    <s v="Involuntary"/>
    <x v="2"/>
    <x v="0"/>
    <x v="3"/>
    <x v="2"/>
    <x v="1"/>
  </r>
  <r>
    <x v="1090"/>
    <s v="No"/>
    <x v="1"/>
    <s v="Sales Executive"/>
    <x v="0"/>
    <x v="1"/>
    <n v="8"/>
    <n v="95184"/>
    <n v="13"/>
    <n v="37.5"/>
    <s v="No"/>
    <n v="31"/>
    <s v="Woman"/>
    <s v="Married"/>
    <x v="2"/>
    <n v="20"/>
    <s v="Certificate or Diploma"/>
    <s v="Marketing"/>
    <n v="3"/>
    <n v="1"/>
    <n v="9"/>
    <n v="2"/>
    <n v="9"/>
    <n v="8"/>
    <n v="0"/>
    <n v="0"/>
    <x v="1"/>
    <d v="2025-04-17T00:00:00"/>
    <x v="1"/>
    <s v="Involuntary"/>
    <x v="0"/>
    <x v="0"/>
    <x v="0"/>
    <x v="1"/>
    <x v="5"/>
  </r>
  <r>
    <x v="1091"/>
    <s v="No"/>
    <x v="1"/>
    <s v="Healthcare Representative"/>
    <x v="0"/>
    <x v="0"/>
    <n v="8"/>
    <n v="95388"/>
    <n v="14"/>
    <n v="37.5"/>
    <s v="No"/>
    <n v="33"/>
    <s v="Woman"/>
    <s v="Single"/>
    <x v="0"/>
    <n v="1"/>
    <s v="Bachelor's Degree"/>
    <s v="Life Sciences"/>
    <n v="3"/>
    <n v="0"/>
    <n v="6"/>
    <n v="3"/>
    <n v="5"/>
    <n v="0"/>
    <n v="1"/>
    <n v="4"/>
    <x v="1"/>
    <d v="2025-01-04T00:00:00"/>
    <x v="1"/>
    <s v="Involuntary"/>
    <x v="1"/>
    <x v="1"/>
    <x v="3"/>
    <x v="0"/>
    <x v="2"/>
  </r>
  <r>
    <x v="1092"/>
    <s v="No"/>
    <x v="1"/>
    <s v="Research Scientist"/>
    <x v="0"/>
    <x v="0"/>
    <n v="8"/>
    <n v="95544"/>
    <n v="22"/>
    <n v="37.5"/>
    <s v="Yes"/>
    <n v="36"/>
    <s v="Woman"/>
    <s v="Married"/>
    <x v="0"/>
    <n v="2"/>
    <s v="Master's Degree"/>
    <s v="Other"/>
    <n v="4"/>
    <n v="1"/>
    <n v="15"/>
    <n v="2"/>
    <n v="1"/>
    <n v="0"/>
    <n v="0"/>
    <n v="0"/>
    <x v="0"/>
    <d v="2023-11-12T00:00:00"/>
    <x v="0"/>
    <s v="Involuntary"/>
    <x v="0"/>
    <x v="3"/>
    <x v="0"/>
    <x v="0"/>
    <x v="5"/>
  </r>
  <r>
    <x v="1093"/>
    <s v="No"/>
    <x v="1"/>
    <s v="Healthcare Representative"/>
    <x v="0"/>
    <x v="0"/>
    <n v="6"/>
    <n v="60420"/>
    <n v="16"/>
    <n v="37.5"/>
    <s v="Yes"/>
    <n v="55"/>
    <s v="Man"/>
    <s v="Married"/>
    <x v="0"/>
    <n v="4"/>
    <s v="Master's Degree"/>
    <s v="Life Sciences"/>
    <n v="3"/>
    <n v="0"/>
    <n v="4"/>
    <n v="2"/>
    <n v="3"/>
    <n v="2"/>
    <n v="1"/>
    <n v="2"/>
    <x v="1"/>
    <d v="2024-04-20T00:00:00"/>
    <x v="1"/>
    <s v="Involuntary"/>
    <x v="0"/>
    <x v="0"/>
    <x v="2"/>
    <x v="0"/>
    <x v="4"/>
  </r>
  <r>
    <x v="1094"/>
    <s v="No"/>
    <x v="1"/>
    <s v="Research Scientist"/>
    <x v="0"/>
    <x v="0"/>
    <n v="2"/>
    <n v="42756"/>
    <n v="14"/>
    <n v="37.5"/>
    <s v="No"/>
    <n v="28"/>
    <s v="Man"/>
    <s v="Divorced"/>
    <x v="0"/>
    <n v="1"/>
    <s v="Bachelor's Degree"/>
    <s v="Life Sciences"/>
    <n v="3"/>
    <n v="1"/>
    <n v="1"/>
    <n v="2"/>
    <n v="1"/>
    <n v="0"/>
    <n v="0"/>
    <n v="0"/>
    <x v="0"/>
    <d v="2023-10-03T00:00:00"/>
    <x v="0"/>
    <s v="Voluntary"/>
    <x v="3"/>
    <x v="0"/>
    <x v="0"/>
    <x v="3"/>
    <x v="6"/>
  </r>
  <r>
    <x v="1095"/>
    <s v="No"/>
    <x v="1"/>
    <s v="Healthcare Representative"/>
    <x v="0"/>
    <x v="0"/>
    <n v="8"/>
    <n v="97128"/>
    <n v="12"/>
    <n v="37.5"/>
    <s v="No"/>
    <n v="36"/>
    <s v="Woman"/>
    <s v="Married"/>
    <x v="0"/>
    <n v="10"/>
    <s v="Master's Degree"/>
    <s v="Technical Degree"/>
    <n v="3"/>
    <n v="0"/>
    <n v="10"/>
    <n v="0"/>
    <n v="7"/>
    <n v="7"/>
    <n v="1"/>
    <n v="7"/>
    <x v="1"/>
    <d v="2023-12-31T00:00:00"/>
    <x v="0"/>
    <s v="Involuntary"/>
    <x v="0"/>
    <x v="0"/>
    <x v="3"/>
    <x v="0"/>
    <x v="1"/>
  </r>
  <r>
    <x v="1096"/>
    <s v="No"/>
    <x v="1"/>
    <s v="Sales Executive"/>
    <x v="0"/>
    <x v="1"/>
    <n v="7"/>
    <n v="70776"/>
    <n v="14"/>
    <n v="37.5"/>
    <s v="No"/>
    <n v="28"/>
    <s v="Man"/>
    <s v="Single"/>
    <x v="1"/>
    <n v="7"/>
    <s v="Bachelor's Degree"/>
    <s v="Life Sciences"/>
    <n v="3"/>
    <n v="0"/>
    <n v="5"/>
    <n v="5"/>
    <n v="4"/>
    <n v="2"/>
    <n v="1"/>
    <n v="3"/>
    <x v="1"/>
    <d v="2024-01-23T00:00:00"/>
    <x v="1"/>
    <s v="Involuntary"/>
    <x v="2"/>
    <x v="2"/>
    <x v="0"/>
    <x v="0"/>
    <x v="1"/>
  </r>
  <r>
    <x v="1097"/>
    <s v="No"/>
    <x v="1"/>
    <s v="Manufacturing Director"/>
    <x v="1"/>
    <x v="0"/>
    <n v="8"/>
    <n v="90588"/>
    <n v="14"/>
    <n v="37.5"/>
    <s v="No"/>
    <n v="28"/>
    <s v="Man"/>
    <s v="Married"/>
    <x v="0"/>
    <n v="29"/>
    <s v="Trades Apprenticeship"/>
    <s v="Life Sciences"/>
    <n v="3"/>
    <n v="2"/>
    <n v="8"/>
    <n v="2"/>
    <n v="8"/>
    <n v="6"/>
    <n v="1"/>
    <n v="7"/>
    <x v="1"/>
    <d v="2025-02-12T00:00:00"/>
    <x v="1"/>
    <s v="Involuntary"/>
    <x v="2"/>
    <x v="3"/>
    <x v="2"/>
    <x v="1"/>
    <x v="6"/>
  </r>
  <r>
    <x v="1098"/>
    <s v="No"/>
    <x v="1"/>
    <s v="Healthcare Representative"/>
    <x v="0"/>
    <x v="0"/>
    <n v="8"/>
    <n v="88656"/>
    <n v="17"/>
    <n v="37.5"/>
    <s v="Yes"/>
    <n v="33"/>
    <s v="Man"/>
    <s v="Single"/>
    <x v="0"/>
    <n v="8"/>
    <s v="Doctorate"/>
    <s v="Life Sciences"/>
    <n v="3"/>
    <n v="0"/>
    <n v="14"/>
    <n v="6"/>
    <n v="0"/>
    <n v="0"/>
    <n v="0"/>
    <n v="0"/>
    <x v="0"/>
    <d v="2025-07-16T00:00:00"/>
    <x v="1"/>
    <s v="Involuntary"/>
    <x v="0"/>
    <x v="0"/>
    <x v="3"/>
    <x v="0"/>
    <x v="1"/>
  </r>
  <r>
    <x v="1099"/>
    <s v="No"/>
    <x v="1"/>
    <s v="Manufacturing Director"/>
    <x v="1"/>
    <x v="0"/>
    <n v="8"/>
    <n v="97716"/>
    <n v="14"/>
    <n v="37.5"/>
    <s v="Yes"/>
    <n v="31"/>
    <s v="Woman"/>
    <s v="Single"/>
    <x v="0"/>
    <n v="7"/>
    <s v="Master's Degree"/>
    <s v="Medical"/>
    <n v="3"/>
    <n v="0"/>
    <n v="11"/>
    <n v="2"/>
    <n v="11"/>
    <n v="9"/>
    <n v="4"/>
    <n v="10"/>
    <x v="2"/>
    <d v="2023-09-13T00:00:00"/>
    <x v="0"/>
    <s v="Involuntary"/>
    <x v="2"/>
    <x v="1"/>
    <x v="1"/>
    <x v="1"/>
    <x v="4"/>
  </r>
  <r>
    <x v="1100"/>
    <s v="No"/>
    <x v="1"/>
    <s v="Manager, R&amp;D"/>
    <x v="1"/>
    <x v="0"/>
    <n v="10"/>
    <n v="146928"/>
    <n v="25"/>
    <n v="37.5"/>
    <s v="No"/>
    <n v="32"/>
    <s v="Man"/>
    <s v="Single"/>
    <x v="0"/>
    <n v="10"/>
    <s v="Bachelor's Degree"/>
    <s v="Medical"/>
    <n v="4"/>
    <n v="0"/>
    <n v="10"/>
    <n v="5"/>
    <n v="5"/>
    <n v="2"/>
    <n v="0"/>
    <n v="0"/>
    <x v="1"/>
    <d v="2023-07-20T00:00:00"/>
    <x v="0"/>
    <s v="Involuntary"/>
    <x v="2"/>
    <x v="1"/>
    <x v="2"/>
    <x v="2"/>
    <x v="5"/>
  </r>
  <r>
    <x v="1101"/>
    <s v="No"/>
    <x v="1"/>
    <s v="Research Director"/>
    <x v="1"/>
    <x v="0"/>
    <n v="4"/>
    <n v="207936"/>
    <n v="13"/>
    <n v="37.5"/>
    <s v="No"/>
    <n v="44"/>
    <s v="Man"/>
    <s v="Married"/>
    <x v="0"/>
    <n v="28"/>
    <s v="Bachelor's Degree"/>
    <s v="Life Sciences"/>
    <n v="3"/>
    <n v="1"/>
    <n v="24"/>
    <n v="1"/>
    <n v="20"/>
    <n v="6"/>
    <n v="14"/>
    <n v="17"/>
    <x v="2"/>
    <d v="2025-05-12T00:00:00"/>
    <x v="1"/>
    <s v="Involuntary"/>
    <x v="0"/>
    <x v="2"/>
    <x v="1"/>
    <x v="2"/>
    <x v="4"/>
  </r>
  <r>
    <x v="1102"/>
    <s v="No"/>
    <x v="1"/>
    <s v="Laboratory Technician"/>
    <x v="0"/>
    <x v="0"/>
    <n v="4"/>
    <n v="51264"/>
    <n v="14"/>
    <n v="37.5"/>
    <s v="No"/>
    <n v="23"/>
    <s v="Man"/>
    <s v="Single"/>
    <x v="0"/>
    <n v="20"/>
    <s v="Trades Apprenticeship"/>
    <s v="Life Sciences"/>
    <n v="3"/>
    <n v="0"/>
    <n v="5"/>
    <n v="2"/>
    <n v="4"/>
    <n v="3"/>
    <n v="1"/>
    <n v="2"/>
    <x v="1"/>
    <d v="2024-09-23T00:00:00"/>
    <x v="1"/>
    <s v="Voluntary"/>
    <x v="3"/>
    <x v="0"/>
    <x v="2"/>
    <x v="0"/>
    <x v="6"/>
  </r>
  <r>
    <x v="1103"/>
    <s v="No"/>
    <x v="1"/>
    <s v="Laboratory Technician"/>
    <x v="0"/>
    <x v="0"/>
    <n v="9"/>
    <n v="100836"/>
    <n v="11"/>
    <n v="37.5"/>
    <s v="No"/>
    <n v="49"/>
    <s v="Woman"/>
    <s v="Married"/>
    <x v="0"/>
    <n v="8"/>
    <s v="Certificate or Diploma"/>
    <s v="Other"/>
    <n v="3"/>
    <n v="1"/>
    <n v="29"/>
    <n v="3"/>
    <n v="26"/>
    <n v="9"/>
    <n v="1"/>
    <n v="7"/>
    <x v="2"/>
    <d v="2024-11-27T00:00:00"/>
    <x v="1"/>
    <s v="Involuntary"/>
    <x v="3"/>
    <x v="3"/>
    <x v="1"/>
    <x v="1"/>
    <x v="8"/>
  </r>
  <r>
    <x v="1104"/>
    <s v="No"/>
    <x v="1"/>
    <s v="Sales Executive"/>
    <x v="0"/>
    <x v="1"/>
    <n v="8"/>
    <n v="96996"/>
    <n v="14"/>
    <n v="37.5"/>
    <s v="Yes"/>
    <n v="34"/>
    <s v="Man"/>
    <s v="Married"/>
    <x v="0"/>
    <n v="1"/>
    <s v="Bachelor's Degree"/>
    <s v="Technical Degree"/>
    <n v="3"/>
    <n v="0"/>
    <n v="10"/>
    <n v="3"/>
    <n v="10"/>
    <n v="9"/>
    <n v="8"/>
    <n v="6"/>
    <x v="2"/>
    <d v="2025-11-11T00:00:00"/>
    <x v="1"/>
    <s v="Involuntary"/>
    <x v="0"/>
    <x v="0"/>
    <x v="0"/>
    <x v="0"/>
    <x v="0"/>
  </r>
  <r>
    <x v="1105"/>
    <s v="No"/>
    <x v="1"/>
    <s v="Manufacturing Director"/>
    <x v="1"/>
    <x v="0"/>
    <n v="9"/>
    <n v="100944"/>
    <n v="11"/>
    <n v="37.5"/>
    <s v="No"/>
    <n v="27"/>
    <s v="Woman"/>
    <s v="Married"/>
    <x v="0"/>
    <n v="1"/>
    <s v="Certificate or Diploma"/>
    <s v="Life Sciences"/>
    <n v="3"/>
    <n v="0"/>
    <n v="9"/>
    <n v="3"/>
    <n v="9"/>
    <n v="7"/>
    <n v="0"/>
    <n v="7"/>
    <x v="1"/>
    <d v="2024-02-15T00:00:00"/>
    <x v="1"/>
    <s v="Voluntary"/>
    <x v="2"/>
    <x v="2"/>
    <x v="0"/>
    <x v="0"/>
    <x v="1"/>
  </r>
  <r>
    <x v="1106"/>
    <s v="No"/>
    <x v="1"/>
    <s v="Research Director"/>
    <x v="1"/>
    <x v="0"/>
    <n v="4"/>
    <n v="184932"/>
    <n v="13"/>
    <n v="37.5"/>
    <s v="Yes"/>
    <n v="50"/>
    <s v="Man"/>
    <s v="Single"/>
    <x v="1"/>
    <n v="22"/>
    <s v="Doctorate"/>
    <s v="Medical"/>
    <n v="3"/>
    <n v="0"/>
    <n v="32"/>
    <n v="2"/>
    <n v="32"/>
    <n v="6"/>
    <n v="13"/>
    <n v="9"/>
    <x v="2"/>
    <d v="2023-04-26T00:00:00"/>
    <x v="0"/>
    <s v="Involuntary"/>
    <x v="2"/>
    <x v="1"/>
    <x v="0"/>
    <x v="0"/>
    <x v="0"/>
  </r>
  <r>
    <x v="1107"/>
    <s v="No"/>
    <x v="1"/>
    <s v="Sales Representative"/>
    <x v="0"/>
    <x v="1"/>
    <n v="4"/>
    <n v="51696"/>
    <n v="25"/>
    <n v="37.5"/>
    <s v="Yes"/>
    <n v="34"/>
    <s v="Man"/>
    <s v="Married"/>
    <x v="0"/>
    <n v="7"/>
    <s v="Certificate or Diploma"/>
    <s v="Technical Degree"/>
    <n v="4"/>
    <n v="1"/>
    <n v="12"/>
    <n v="4"/>
    <n v="11"/>
    <n v="10"/>
    <n v="5"/>
    <n v="7"/>
    <x v="2"/>
    <d v="2023-01-26T00:00:00"/>
    <x v="0"/>
    <s v="Involuntary"/>
    <x v="1"/>
    <x v="0"/>
    <x v="2"/>
    <x v="0"/>
    <x v="2"/>
  </r>
  <r>
    <x v="1108"/>
    <s v="No"/>
    <x v="1"/>
    <s v="Laboratory Technician"/>
    <x v="0"/>
    <x v="0"/>
    <n v="7"/>
    <n v="70092"/>
    <n v="14"/>
    <n v="37.5"/>
    <s v="No"/>
    <n v="42"/>
    <s v="Man"/>
    <s v="Married"/>
    <x v="0"/>
    <n v="2"/>
    <s v="Bachelor's Degree"/>
    <s v="Medical"/>
    <n v="3"/>
    <n v="1"/>
    <n v="4"/>
    <n v="3"/>
    <n v="1"/>
    <n v="0"/>
    <n v="0"/>
    <n v="0"/>
    <x v="0"/>
    <d v="2022-03-23T00:00:00"/>
    <x v="0"/>
    <s v="Voluntary"/>
    <x v="2"/>
    <x v="3"/>
    <x v="2"/>
    <x v="0"/>
    <x v="2"/>
  </r>
  <r>
    <x v="1109"/>
    <s v="No"/>
    <x v="1"/>
    <s v="Healthcare Representative"/>
    <x v="0"/>
    <x v="0"/>
    <n v="9"/>
    <n v="101808"/>
    <n v="20"/>
    <n v="37.5"/>
    <s v="No"/>
    <n v="51"/>
    <s v="Woman"/>
    <s v="Single"/>
    <x v="1"/>
    <n v="1"/>
    <s v="Master's Degree"/>
    <s v="Medical"/>
    <n v="4"/>
    <n v="0"/>
    <n v="23"/>
    <n v="1"/>
    <n v="13"/>
    <n v="12"/>
    <n v="12"/>
    <n v="8"/>
    <x v="2"/>
    <d v="2023-10-06T00:00:00"/>
    <x v="0"/>
    <s v="Involuntary"/>
    <x v="3"/>
    <x v="2"/>
    <x v="1"/>
    <x v="1"/>
    <x v="3"/>
  </r>
  <r>
    <x v="1110"/>
    <s v="No"/>
    <x v="1"/>
    <s v="Manufacturing Director"/>
    <x v="1"/>
    <x v="0"/>
    <n v="9"/>
    <n v="101892"/>
    <n v="17"/>
    <n v="37.5"/>
    <s v="No"/>
    <n v="37"/>
    <s v="Woman"/>
    <s v="Single"/>
    <x v="0"/>
    <n v="1"/>
    <s v="Bachelor's Degree"/>
    <s v="Technical Degree"/>
    <n v="3"/>
    <n v="0"/>
    <n v="12"/>
    <n v="3"/>
    <n v="6"/>
    <n v="5"/>
    <n v="1"/>
    <n v="2"/>
    <x v="1"/>
    <d v="2024-10-01T00:00:00"/>
    <x v="1"/>
    <s v="Involuntary"/>
    <x v="1"/>
    <x v="1"/>
    <x v="0"/>
    <x v="2"/>
    <x v="0"/>
  </r>
  <r>
    <x v="1111"/>
    <s v="No"/>
    <x v="1"/>
    <s v="Research Scientist"/>
    <x v="0"/>
    <x v="0"/>
    <n v="6"/>
    <n v="63420"/>
    <n v="17"/>
    <n v="37.5"/>
    <s v="No"/>
    <n v="37"/>
    <s v="Man"/>
    <s v="Married"/>
    <x v="0"/>
    <n v="13"/>
    <s v="Bachelor's Degree"/>
    <s v="Medical"/>
    <n v="3"/>
    <n v="0"/>
    <n v="10"/>
    <n v="2"/>
    <n v="10"/>
    <n v="8"/>
    <n v="3"/>
    <n v="7"/>
    <x v="2"/>
    <d v="2024-06-06T00:00:00"/>
    <x v="1"/>
    <s v="Involuntary"/>
    <x v="3"/>
    <x v="1"/>
    <x v="3"/>
    <x v="0"/>
    <x v="6"/>
  </r>
  <r>
    <x v="1112"/>
    <s v="No"/>
    <x v="1"/>
    <s v="Sales Executive"/>
    <x v="0"/>
    <x v="1"/>
    <n v="9"/>
    <n v="102300"/>
    <n v="12"/>
    <n v="37.5"/>
    <s v="No"/>
    <n v="53"/>
    <s v="Woman"/>
    <s v="Married"/>
    <x v="1"/>
    <n v="2"/>
    <s v="Bachelor's Degree"/>
    <s v="Marketing"/>
    <n v="3"/>
    <n v="1"/>
    <n v="30"/>
    <n v="2"/>
    <n v="15"/>
    <n v="7"/>
    <n v="6"/>
    <n v="12"/>
    <x v="2"/>
    <d v="2023-04-22T00:00:00"/>
    <x v="0"/>
    <s v="Involuntary"/>
    <x v="2"/>
    <x v="3"/>
    <x v="3"/>
    <x v="0"/>
    <x v="6"/>
  </r>
  <r>
    <x v="1113"/>
    <s v="No"/>
    <x v="1"/>
    <s v="Manufacturing Director"/>
    <x v="1"/>
    <x v="0"/>
    <n v="6"/>
    <n v="63840"/>
    <n v="13"/>
    <n v="37.5"/>
    <s v="No"/>
    <n v="33"/>
    <s v="Man"/>
    <s v="Single"/>
    <x v="0"/>
    <n v="25"/>
    <s v="Bachelor's Degree"/>
    <s v="Life Sciences"/>
    <n v="3"/>
    <n v="0"/>
    <n v="5"/>
    <n v="2"/>
    <n v="5"/>
    <n v="3"/>
    <n v="0"/>
    <n v="2"/>
    <x v="1"/>
    <d v="2022-11-19T00:00:00"/>
    <x v="0"/>
    <s v="Involuntary"/>
    <x v="0"/>
    <x v="3"/>
    <x v="0"/>
    <x v="0"/>
    <x v="5"/>
  </r>
  <r>
    <x v="1114"/>
    <s v="No"/>
    <x v="1"/>
    <s v="Research Scientist"/>
    <x v="0"/>
    <x v="0"/>
    <n v="3"/>
    <n v="49584"/>
    <n v="20"/>
    <n v="37.5"/>
    <s v="No"/>
    <n v="45"/>
    <s v="Man"/>
    <s v="Married"/>
    <x v="0"/>
    <n v="28"/>
    <s v="Bachelor's Degree"/>
    <s v="Technical Degree"/>
    <n v="4"/>
    <n v="1"/>
    <n v="8"/>
    <n v="3"/>
    <n v="5"/>
    <n v="4"/>
    <n v="0"/>
    <n v="3"/>
    <x v="1"/>
    <d v="2024-04-03T00:00:00"/>
    <x v="1"/>
    <s v="Voluntary"/>
    <x v="0"/>
    <x v="1"/>
    <x v="0"/>
    <x v="0"/>
    <x v="7"/>
  </r>
  <r>
    <x v="1115"/>
    <s v="No"/>
    <x v="1"/>
    <s v="Healthcare Representative"/>
    <x v="0"/>
    <x v="0"/>
    <n v="9"/>
    <n v="133488"/>
    <n v="14"/>
    <n v="37.5"/>
    <s v="Yes"/>
    <n v="42"/>
    <s v="Man"/>
    <s v="Married"/>
    <x v="1"/>
    <n v="2"/>
    <s v="Bachelor's Degree"/>
    <s v="Life Sciences"/>
    <n v="3"/>
    <n v="1"/>
    <n v="24"/>
    <n v="3"/>
    <n v="20"/>
    <n v="8"/>
    <n v="13"/>
    <n v="9"/>
    <x v="2"/>
    <d v="2022-02-07T00:00:00"/>
    <x v="0"/>
    <s v="Involuntary"/>
    <x v="0"/>
    <x v="1"/>
    <x v="1"/>
    <x v="3"/>
    <x v="4"/>
  </r>
  <r>
    <x v="1116"/>
    <s v="No"/>
    <x v="1"/>
    <s v="Healthcare Representative"/>
    <x v="0"/>
    <x v="0"/>
    <n v="9"/>
    <n v="103500"/>
    <n v="13"/>
    <n v="37.5"/>
    <s v="No"/>
    <n v="38"/>
    <s v="Woman"/>
    <s v="Single"/>
    <x v="0"/>
    <n v="1"/>
    <s v="Master's Degree"/>
    <s v="Life Sciences"/>
    <n v="3"/>
    <n v="0"/>
    <n v="10"/>
    <n v="4"/>
    <n v="9"/>
    <n v="7"/>
    <n v="1"/>
    <n v="8"/>
    <x v="1"/>
    <d v="2024-11-28T00:00:00"/>
    <x v="1"/>
    <s v="Voluntary"/>
    <x v="1"/>
    <x v="1"/>
    <x v="1"/>
    <x v="1"/>
    <x v="1"/>
  </r>
  <r>
    <x v="1117"/>
    <s v="No"/>
    <x v="1"/>
    <s v="Sales Executive"/>
    <x v="0"/>
    <x v="1"/>
    <n v="7"/>
    <n v="77676"/>
    <n v="12"/>
    <n v="37.5"/>
    <s v="No"/>
    <n v="40"/>
    <s v="Man"/>
    <s v="Married"/>
    <x v="0"/>
    <n v="9"/>
    <s v="Certificate or Diploma"/>
    <s v="Medical"/>
    <n v="3"/>
    <n v="0"/>
    <n v="9"/>
    <n v="5"/>
    <n v="8"/>
    <n v="4"/>
    <n v="7"/>
    <n v="1"/>
    <x v="1"/>
    <d v="2022-10-22T00:00:00"/>
    <x v="0"/>
    <s v="Voluntary"/>
    <x v="3"/>
    <x v="2"/>
    <x v="0"/>
    <x v="2"/>
    <x v="2"/>
  </r>
  <r>
    <x v="1118"/>
    <s v="No"/>
    <x v="1"/>
    <s v="Sales Executive"/>
    <x v="0"/>
    <x v="1"/>
    <n v="9"/>
    <n v="103644"/>
    <n v="11"/>
    <n v="37.5"/>
    <s v="No"/>
    <n v="59"/>
    <s v="Woman"/>
    <s v="Single"/>
    <x v="0"/>
    <n v="25"/>
    <s v="Bachelor's Degree"/>
    <s v="Life Sciences"/>
    <n v="3"/>
    <n v="0"/>
    <n v="28"/>
    <n v="3"/>
    <n v="21"/>
    <n v="16"/>
    <n v="7"/>
    <n v="9"/>
    <x v="2"/>
    <d v="2022-08-02T00:00:00"/>
    <x v="0"/>
    <s v="Voluntary"/>
    <x v="3"/>
    <x v="2"/>
    <x v="0"/>
    <x v="1"/>
    <x v="8"/>
  </r>
  <r>
    <x v="1119"/>
    <s v="No"/>
    <x v="1"/>
    <s v="Laboratory Technician"/>
    <x v="0"/>
    <x v="0"/>
    <n v="7"/>
    <n v="74484"/>
    <n v="12"/>
    <n v="37.5"/>
    <s v="Yes"/>
    <n v="33"/>
    <s v="Man"/>
    <s v="Married"/>
    <x v="0"/>
    <n v="28"/>
    <s v="Master's Degree"/>
    <s v="Life Sciences"/>
    <n v="3"/>
    <n v="1"/>
    <n v="15"/>
    <n v="3"/>
    <n v="15"/>
    <n v="14"/>
    <n v="5"/>
    <n v="7"/>
    <x v="2"/>
    <d v="2022-09-11T00:00:00"/>
    <x v="0"/>
    <s v="Involuntary"/>
    <x v="1"/>
    <x v="0"/>
    <x v="2"/>
    <x v="0"/>
    <x v="2"/>
  </r>
  <r>
    <x v="1120"/>
    <s v="No"/>
    <x v="1"/>
    <s v="Sales Executive"/>
    <x v="0"/>
    <x v="1"/>
    <n v="9"/>
    <n v="103728"/>
    <n v="19"/>
    <n v="37.5"/>
    <s v="No"/>
    <n v="36"/>
    <s v="Woman"/>
    <s v="Married"/>
    <x v="0"/>
    <n v="3"/>
    <s v="Bachelor's Degree"/>
    <s v="Medical"/>
    <n v="3"/>
    <n v="2"/>
    <n v="10"/>
    <n v="2"/>
    <n v="9"/>
    <n v="7"/>
    <n v="3"/>
    <n v="4"/>
    <x v="1"/>
    <d v="2024-09-13T00:00:00"/>
    <x v="1"/>
    <s v="Involuntary"/>
    <x v="3"/>
    <x v="1"/>
    <x v="1"/>
    <x v="0"/>
    <x v="1"/>
  </r>
  <r>
    <x v="1121"/>
    <s v="No"/>
    <x v="1"/>
    <s v="Manufacturing Director"/>
    <x v="1"/>
    <x v="0"/>
    <n v="9"/>
    <n v="103860"/>
    <n v="17"/>
    <n v="37.5"/>
    <s v="No"/>
    <n v="28"/>
    <s v="Woman"/>
    <s v="Divorced"/>
    <x v="0"/>
    <n v="3"/>
    <s v="Bachelor's Degree"/>
    <s v="Medical"/>
    <n v="3"/>
    <n v="3"/>
    <n v="10"/>
    <n v="3"/>
    <n v="9"/>
    <n v="7"/>
    <n v="1"/>
    <n v="7"/>
    <x v="1"/>
    <d v="2022-04-29T00:00:00"/>
    <x v="0"/>
    <s v="Voluntary"/>
    <x v="0"/>
    <x v="3"/>
    <x v="2"/>
    <x v="1"/>
    <x v="2"/>
  </r>
  <r>
    <x v="1122"/>
    <s v="No"/>
    <x v="1"/>
    <s v="Manager, HR"/>
    <x v="1"/>
    <x v="2"/>
    <n v="4"/>
    <n v="209244"/>
    <n v="21"/>
    <n v="37.5"/>
    <s v="Yes"/>
    <n v="40"/>
    <s v="Man"/>
    <s v="Single"/>
    <x v="0"/>
    <n v="6"/>
    <s v="Certificate or Diploma"/>
    <s v="Medical"/>
    <n v="4"/>
    <n v="0"/>
    <n v="21"/>
    <n v="2"/>
    <n v="21"/>
    <n v="7"/>
    <n v="7"/>
    <n v="7"/>
    <x v="2"/>
    <d v="2022-10-18T00:00:00"/>
    <x v="0"/>
    <s v="Involuntary"/>
    <x v="2"/>
    <x v="1"/>
    <x v="0"/>
    <x v="0"/>
    <x v="0"/>
  </r>
  <r>
    <x v="1123"/>
    <s v="No"/>
    <x v="1"/>
    <s v="Laboratory Technician"/>
    <x v="0"/>
    <x v="0"/>
    <n v="4"/>
    <n v="51552"/>
    <n v="14"/>
    <n v="37.5"/>
    <s v="No"/>
    <n v="24"/>
    <s v="Man"/>
    <s v="Divorced"/>
    <x v="0"/>
    <n v="21"/>
    <s v="Certificate or Diploma"/>
    <s v="Technical Degree"/>
    <n v="3"/>
    <n v="3"/>
    <n v="2"/>
    <n v="3"/>
    <n v="1"/>
    <n v="1"/>
    <n v="0"/>
    <n v="0"/>
    <x v="0"/>
    <d v="2025-05-03T00:00:00"/>
    <x v="1"/>
    <s v="Involuntary"/>
    <x v="2"/>
    <x v="2"/>
    <x v="2"/>
    <x v="0"/>
    <x v="6"/>
  </r>
  <r>
    <x v="1124"/>
    <s v="No"/>
    <x v="1"/>
    <s v="Manufacturing Director"/>
    <x v="1"/>
    <x v="0"/>
    <n v="9"/>
    <n v="105072"/>
    <n v="19"/>
    <n v="37.5"/>
    <s v="Yes"/>
    <n v="38"/>
    <s v="Woman"/>
    <s v="Married"/>
    <x v="0"/>
    <n v="2"/>
    <s v="Certificate or Diploma"/>
    <s v="Medical"/>
    <n v="3"/>
    <n v="1"/>
    <n v="10"/>
    <n v="6"/>
    <n v="5"/>
    <n v="4"/>
    <n v="0"/>
    <n v="2"/>
    <x v="1"/>
    <d v="2025-07-26T00:00:00"/>
    <x v="1"/>
    <s v="Involuntary"/>
    <x v="0"/>
    <x v="0"/>
    <x v="0"/>
    <x v="2"/>
    <x v="7"/>
  </r>
  <r>
    <x v="1125"/>
    <s v="No"/>
    <x v="1"/>
    <s v="Healthcare Representative"/>
    <x v="0"/>
    <x v="0"/>
    <n v="6"/>
    <n v="60828"/>
    <n v="18"/>
    <n v="37.5"/>
    <s v="Yes"/>
    <n v="40"/>
    <s v="Man"/>
    <s v="Divorced"/>
    <x v="2"/>
    <n v="8"/>
    <s v="Certificate or Diploma"/>
    <s v="Life Sciences"/>
    <n v="3"/>
    <n v="0"/>
    <n v="8"/>
    <n v="2"/>
    <n v="2"/>
    <n v="2"/>
    <n v="2"/>
    <n v="2"/>
    <x v="0"/>
    <d v="2024-06-25T00:00:00"/>
    <x v="1"/>
    <s v="Involuntary"/>
    <x v="0"/>
    <x v="1"/>
    <x v="1"/>
    <x v="0"/>
    <x v="0"/>
  </r>
  <r>
    <x v="1126"/>
    <s v="No"/>
    <x v="1"/>
    <s v="Healthcare Representative"/>
    <x v="0"/>
    <x v="0"/>
    <n v="9"/>
    <n v="101292"/>
    <n v="12"/>
    <n v="37.5"/>
    <s v="No"/>
    <n v="45"/>
    <s v="Man"/>
    <s v="Divorced"/>
    <x v="0"/>
    <n v="1"/>
    <s v="Master's Degree"/>
    <s v="Technical Degree"/>
    <n v="3"/>
    <n v="3"/>
    <n v="10"/>
    <n v="4"/>
    <n v="10"/>
    <n v="8"/>
    <n v="7"/>
    <n v="7"/>
    <x v="2"/>
    <d v="2023-07-20T00:00:00"/>
    <x v="0"/>
    <s v="Voluntary"/>
    <x v="3"/>
    <x v="3"/>
    <x v="3"/>
    <x v="0"/>
    <x v="3"/>
  </r>
  <r>
    <x v="1127"/>
    <s v="No"/>
    <x v="1"/>
    <s v="Sales Representative"/>
    <x v="0"/>
    <x v="1"/>
    <n v="5"/>
    <n v="55728"/>
    <n v="21"/>
    <n v="37.5"/>
    <s v="Yes"/>
    <n v="36"/>
    <s v="Man"/>
    <s v="Single"/>
    <x v="0"/>
    <n v="2"/>
    <s v="Master's Degree"/>
    <s v="Life Sciences"/>
    <n v="4"/>
    <n v="0"/>
    <n v="7"/>
    <n v="3"/>
    <n v="3"/>
    <n v="2"/>
    <n v="1"/>
    <n v="2"/>
    <x v="1"/>
    <d v="2022-02-07T00:00:00"/>
    <x v="0"/>
    <s v="Involuntary"/>
    <x v="2"/>
    <x v="1"/>
    <x v="0"/>
    <x v="1"/>
    <x v="5"/>
  </r>
  <r>
    <x v="1128"/>
    <s v="No"/>
    <x v="1"/>
    <s v="Manufacturing Director"/>
    <x v="1"/>
    <x v="0"/>
    <n v="9"/>
    <n v="106332"/>
    <n v="14"/>
    <n v="37.5"/>
    <s v="Yes"/>
    <n v="38"/>
    <s v="Woman"/>
    <s v="Single"/>
    <x v="0"/>
    <n v="1"/>
    <s v="Bachelor's Degree"/>
    <s v="Life Sciences"/>
    <n v="3"/>
    <n v="0"/>
    <n v="10"/>
    <n v="4"/>
    <n v="1"/>
    <n v="0"/>
    <n v="0"/>
    <n v="0"/>
    <x v="0"/>
    <d v="2024-04-10T00:00:00"/>
    <x v="1"/>
    <s v="Voluntary"/>
    <x v="2"/>
    <x v="0"/>
    <x v="0"/>
    <x v="2"/>
    <x v="0"/>
  </r>
  <r>
    <x v="1129"/>
    <s v="No"/>
    <x v="1"/>
    <s v="Healthcare Representative"/>
    <x v="0"/>
    <x v="0"/>
    <n v="9"/>
    <n v="106548"/>
    <n v="19"/>
    <n v="37.5"/>
    <s v="Yes"/>
    <n v="44"/>
    <s v="Woman"/>
    <s v="Married"/>
    <x v="0"/>
    <n v="2"/>
    <s v="Bachelor's Degree"/>
    <s v="Life Sciences"/>
    <n v="3"/>
    <n v="1"/>
    <n v="9"/>
    <n v="2"/>
    <n v="8"/>
    <n v="7"/>
    <n v="6"/>
    <n v="7"/>
    <x v="1"/>
    <d v="2023-05-24T00:00:00"/>
    <x v="0"/>
    <s v="Involuntary"/>
    <x v="2"/>
    <x v="1"/>
    <x v="2"/>
    <x v="0"/>
    <x v="4"/>
  </r>
  <r>
    <x v="1130"/>
    <s v="No"/>
    <x v="1"/>
    <s v="Research Scientist"/>
    <x v="0"/>
    <x v="0"/>
    <n v="4"/>
    <n v="53412"/>
    <n v="18"/>
    <n v="37.5"/>
    <s v="No"/>
    <n v="29"/>
    <s v="Man"/>
    <s v="Married"/>
    <x v="0"/>
    <n v="9"/>
    <s v="Bachelor's Degree"/>
    <s v="Life Sciences"/>
    <n v="3"/>
    <n v="2"/>
    <n v="5"/>
    <n v="2"/>
    <n v="1"/>
    <n v="0"/>
    <n v="0"/>
    <n v="0"/>
    <x v="0"/>
    <d v="2022-06-02T00:00:00"/>
    <x v="0"/>
    <s v="Involuntary"/>
    <x v="2"/>
    <x v="0"/>
    <x v="3"/>
    <x v="1"/>
    <x v="6"/>
  </r>
  <r>
    <x v="1131"/>
    <s v="No"/>
    <x v="1"/>
    <s v="Sales Executive"/>
    <x v="0"/>
    <x v="1"/>
    <n v="8"/>
    <n v="88704"/>
    <n v="13"/>
    <n v="37.5"/>
    <s v="No"/>
    <n v="33"/>
    <s v="Man"/>
    <s v="Married"/>
    <x v="0"/>
    <n v="8"/>
    <s v="Master's Degree"/>
    <s v="Life Sciences"/>
    <n v="3"/>
    <n v="1"/>
    <n v="8"/>
    <n v="6"/>
    <n v="2"/>
    <n v="2"/>
    <n v="2"/>
    <n v="2"/>
    <x v="0"/>
    <d v="2025-02-20T00:00:00"/>
    <x v="1"/>
    <s v="Involuntary"/>
    <x v="3"/>
    <x v="2"/>
    <x v="0"/>
    <x v="3"/>
    <x v="3"/>
  </r>
  <r>
    <x v="1132"/>
    <s v="No"/>
    <x v="1"/>
    <s v="Sales Executive"/>
    <x v="0"/>
    <x v="1"/>
    <n v="9"/>
    <n v="107016"/>
    <n v="14"/>
    <n v="37.5"/>
    <s v="No"/>
    <n v="29"/>
    <s v="Woman"/>
    <s v="Married"/>
    <x v="1"/>
    <n v="1"/>
    <s v="Trades Apprenticeship"/>
    <s v="Medical"/>
    <n v="3"/>
    <n v="1"/>
    <n v="11"/>
    <n v="5"/>
    <n v="11"/>
    <n v="10"/>
    <n v="4"/>
    <n v="1"/>
    <x v="2"/>
    <d v="2022-11-06T00:00:00"/>
    <x v="0"/>
    <s v="Involuntary"/>
    <x v="1"/>
    <x v="1"/>
    <x v="0"/>
    <x v="0"/>
    <x v="5"/>
  </r>
  <r>
    <x v="1133"/>
    <s v="No"/>
    <x v="1"/>
    <s v="Manufacturing Director"/>
    <x v="1"/>
    <x v="0"/>
    <n v="9"/>
    <n v="107340"/>
    <n v="15"/>
    <n v="37.5"/>
    <s v="Yes"/>
    <n v="40"/>
    <s v="Woman"/>
    <s v="Single"/>
    <x v="0"/>
    <n v="16"/>
    <s v="Bachelor's Degree"/>
    <s v="Life Sciences"/>
    <n v="3"/>
    <n v="0"/>
    <n v="18"/>
    <n v="2"/>
    <n v="4"/>
    <n v="2"/>
    <n v="3"/>
    <n v="3"/>
    <x v="1"/>
    <d v="2023-09-12T00:00:00"/>
    <x v="0"/>
    <s v="Voluntary"/>
    <x v="2"/>
    <x v="1"/>
    <x v="0"/>
    <x v="1"/>
    <x v="5"/>
  </r>
  <r>
    <x v="1134"/>
    <s v="No"/>
    <x v="1"/>
    <s v="Compensation Analyst"/>
    <x v="0"/>
    <x v="2"/>
    <n v="7"/>
    <n v="84924"/>
    <n v="11"/>
    <n v="37.5"/>
    <s v="No"/>
    <n v="38"/>
    <s v="Man"/>
    <s v="Married"/>
    <x v="1"/>
    <n v="10"/>
    <s v="Master's Degree"/>
    <s v="Human Resources"/>
    <n v="3"/>
    <n v="0"/>
    <n v="10"/>
    <n v="2"/>
    <n v="6"/>
    <n v="3"/>
    <n v="1"/>
    <n v="2"/>
    <x v="1"/>
    <d v="2024-09-29T00:00:00"/>
    <x v="1"/>
    <s v="Involuntary"/>
    <x v="2"/>
    <x v="0"/>
    <x v="1"/>
    <x v="0"/>
    <x v="4"/>
  </r>
  <r>
    <x v="1135"/>
    <s v="No"/>
    <x v="1"/>
    <s v="Laboratory Technician"/>
    <x v="0"/>
    <x v="0"/>
    <n v="4"/>
    <n v="53400"/>
    <n v="19"/>
    <n v="37.5"/>
    <s v="No"/>
    <n v="35"/>
    <s v="Man"/>
    <s v="Single"/>
    <x v="0"/>
    <n v="1"/>
    <s v="Bachelor's Degree"/>
    <s v="Medical"/>
    <n v="3"/>
    <n v="0"/>
    <n v="3"/>
    <n v="3"/>
    <n v="3"/>
    <n v="0"/>
    <n v="1"/>
    <n v="2"/>
    <x v="1"/>
    <d v="2022-09-16T00:00:00"/>
    <x v="0"/>
    <s v="Voluntary"/>
    <x v="0"/>
    <x v="2"/>
    <x v="2"/>
    <x v="0"/>
    <x v="2"/>
  </r>
  <r>
    <x v="1136"/>
    <s v="No"/>
    <x v="1"/>
    <s v="Healthcare Representative"/>
    <x v="0"/>
    <x v="0"/>
    <n v="9"/>
    <n v="108096"/>
    <n v="12"/>
    <n v="37.5"/>
    <s v="No"/>
    <n v="36"/>
    <s v="Woman"/>
    <s v="Married"/>
    <x v="0"/>
    <n v="5"/>
    <s v="Master's Degree"/>
    <s v="Life Sciences"/>
    <n v="3"/>
    <n v="2"/>
    <n v="9"/>
    <n v="6"/>
    <n v="3"/>
    <n v="2"/>
    <n v="0"/>
    <n v="2"/>
    <x v="1"/>
    <d v="2022-02-24T00:00:00"/>
    <x v="0"/>
    <s v="Involuntary"/>
    <x v="1"/>
    <x v="2"/>
    <x v="1"/>
    <x v="0"/>
    <x v="6"/>
  </r>
  <r>
    <x v="1137"/>
    <s v="No"/>
    <x v="1"/>
    <s v="Sales Executive"/>
    <x v="0"/>
    <x v="1"/>
    <n v="9"/>
    <n v="123000"/>
    <n v="12"/>
    <n v="37.5"/>
    <s v="No"/>
    <n v="30"/>
    <s v="Man"/>
    <s v="Married"/>
    <x v="0"/>
    <n v="29"/>
    <s v="Master's Degree"/>
    <s v="Technical Degree"/>
    <n v="3"/>
    <n v="1"/>
    <n v="9"/>
    <n v="3"/>
    <n v="4"/>
    <n v="2"/>
    <n v="1"/>
    <n v="3"/>
    <x v="1"/>
    <d v="2025-11-26T00:00:00"/>
    <x v="1"/>
    <s v="Involuntary"/>
    <x v="2"/>
    <x v="3"/>
    <x v="2"/>
    <x v="0"/>
    <x v="2"/>
  </r>
  <r>
    <x v="1138"/>
    <s v="No"/>
    <x v="1"/>
    <s v="Sales Executive"/>
    <x v="0"/>
    <x v="1"/>
    <n v="9"/>
    <n v="109236"/>
    <n v="12"/>
    <n v="37.5"/>
    <s v="Yes"/>
    <n v="34"/>
    <s v="Woman"/>
    <s v="Married"/>
    <x v="0"/>
    <n v="3"/>
    <s v="Trades Apprenticeship"/>
    <s v="Medical"/>
    <n v="3"/>
    <n v="0"/>
    <n v="9"/>
    <n v="3"/>
    <n v="4"/>
    <n v="2"/>
    <n v="0"/>
    <n v="1"/>
    <x v="1"/>
    <d v="2024-06-16T00:00:00"/>
    <x v="1"/>
    <s v="Involuntary"/>
    <x v="0"/>
    <x v="1"/>
    <x v="1"/>
    <x v="1"/>
    <x v="5"/>
  </r>
  <r>
    <x v="1139"/>
    <s v="No"/>
    <x v="1"/>
    <s v="Research Scientist"/>
    <x v="0"/>
    <x v="0"/>
    <n v="6"/>
    <n v="61044"/>
    <n v="14"/>
    <n v="37.5"/>
    <s v="No"/>
    <n v="32"/>
    <s v="Man"/>
    <s v="Married"/>
    <x v="2"/>
    <n v="1"/>
    <s v="Master's Degree"/>
    <s v="Technical Degree"/>
    <n v="3"/>
    <n v="1"/>
    <n v="9"/>
    <n v="3"/>
    <n v="6"/>
    <n v="5"/>
    <n v="1"/>
    <n v="2"/>
    <x v="1"/>
    <d v="2024-05-08T00:00:00"/>
    <x v="1"/>
    <s v="Involuntary"/>
    <x v="0"/>
    <x v="2"/>
    <x v="2"/>
    <x v="1"/>
    <x v="6"/>
  </r>
  <r>
    <x v="1140"/>
    <s v="No"/>
    <x v="1"/>
    <s v="Research Scientist"/>
    <x v="0"/>
    <x v="0"/>
    <n v="5"/>
    <n v="59664"/>
    <n v="13"/>
    <n v="37.5"/>
    <s v="No"/>
    <n v="34"/>
    <s v="Man"/>
    <s v="Single"/>
    <x v="0"/>
    <n v="7"/>
    <s v="Master's Degree"/>
    <s v="Medical"/>
    <n v="3"/>
    <n v="0"/>
    <n v="1"/>
    <n v="4"/>
    <n v="1"/>
    <n v="0"/>
    <n v="0"/>
    <n v="0"/>
    <x v="0"/>
    <d v="2024-08-03T00:00:00"/>
    <x v="1"/>
    <s v="Voluntary"/>
    <x v="3"/>
    <x v="1"/>
    <x v="1"/>
    <x v="3"/>
    <x v="6"/>
  </r>
  <r>
    <x v="1141"/>
    <s v="No"/>
    <x v="1"/>
    <s v="Manager, Sales"/>
    <x v="1"/>
    <x v="1"/>
    <n v="5"/>
    <n v="247032"/>
    <n v="21"/>
    <n v="37.5"/>
    <s v="No"/>
    <n v="55"/>
    <s v="Man"/>
    <s v="Married"/>
    <x v="0"/>
    <n v="26"/>
    <s v="Doctorate"/>
    <s v="Marketing"/>
    <n v="4"/>
    <n v="1"/>
    <n v="36"/>
    <n v="3"/>
    <n v="36"/>
    <n v="6"/>
    <n v="2"/>
    <n v="13"/>
    <x v="2"/>
    <d v="2024-09-17T00:00:00"/>
    <x v="1"/>
    <s v="Involuntary"/>
    <x v="2"/>
    <x v="1"/>
    <x v="1"/>
    <x v="0"/>
    <x v="5"/>
  </r>
  <r>
    <x v="1142"/>
    <s v="No"/>
    <x v="1"/>
    <s v="Research Scientist"/>
    <x v="0"/>
    <x v="0"/>
    <n v="7"/>
    <n v="77808"/>
    <n v="17"/>
    <n v="37.5"/>
    <s v="No"/>
    <n v="34"/>
    <s v="Man"/>
    <s v="Married"/>
    <x v="0"/>
    <n v="1"/>
    <s v="Master's Degree"/>
    <s v="Life Sciences"/>
    <n v="3"/>
    <n v="1"/>
    <n v="9"/>
    <n v="3"/>
    <n v="2"/>
    <n v="2"/>
    <n v="2"/>
    <n v="1"/>
    <x v="0"/>
    <d v="2022-12-17T00:00:00"/>
    <x v="0"/>
    <s v="Involuntary"/>
    <x v="1"/>
    <x v="1"/>
    <x v="2"/>
    <x v="1"/>
    <x v="2"/>
  </r>
  <r>
    <x v="1143"/>
    <s v="No"/>
    <x v="1"/>
    <s v="Sales Executive"/>
    <x v="0"/>
    <x v="1"/>
    <n v="9"/>
    <n v="111216"/>
    <n v="14"/>
    <n v="37.5"/>
    <s v="Yes"/>
    <n v="29"/>
    <s v="Woman"/>
    <s v="Divorced"/>
    <x v="0"/>
    <n v="10"/>
    <s v="Trades Apprenticeship"/>
    <s v="Marketing"/>
    <n v="3"/>
    <n v="2"/>
    <n v="7"/>
    <n v="2"/>
    <n v="7"/>
    <n v="7"/>
    <n v="1"/>
    <n v="7"/>
    <x v="1"/>
    <d v="2023-06-19T00:00:00"/>
    <x v="0"/>
    <s v="Voluntary"/>
    <x v="0"/>
    <x v="3"/>
    <x v="3"/>
    <x v="0"/>
    <x v="2"/>
  </r>
  <r>
    <x v="1144"/>
    <s v="No"/>
    <x v="1"/>
    <s v="Sales Executive"/>
    <x v="0"/>
    <x v="1"/>
    <n v="9"/>
    <n v="131088"/>
    <n v="11"/>
    <n v="37.5"/>
    <s v="No"/>
    <n v="38"/>
    <s v="Man"/>
    <s v="Married"/>
    <x v="0"/>
    <n v="14"/>
    <s v="Bachelor's Degree"/>
    <s v="Life Sciences"/>
    <n v="3"/>
    <n v="1"/>
    <n v="10"/>
    <n v="3"/>
    <n v="9"/>
    <n v="8"/>
    <n v="7"/>
    <n v="7"/>
    <x v="1"/>
    <d v="2024-09-20T00:00:00"/>
    <x v="1"/>
    <s v="Voluntary"/>
    <x v="2"/>
    <x v="3"/>
    <x v="0"/>
    <x v="0"/>
    <x v="4"/>
  </r>
  <r>
    <x v="1145"/>
    <s v="No"/>
    <x v="1"/>
    <s v="Laboratory Technician"/>
    <x v="0"/>
    <x v="0"/>
    <n v="6"/>
    <n v="68676"/>
    <n v="18"/>
    <n v="37.5"/>
    <s v="Yes"/>
    <n v="29"/>
    <s v="Man"/>
    <s v="Single"/>
    <x v="0"/>
    <n v="3"/>
    <s v="Trades Apprenticeship"/>
    <s v="Medical"/>
    <n v="3"/>
    <n v="0"/>
    <n v="10"/>
    <n v="3"/>
    <n v="10"/>
    <n v="9"/>
    <n v="1"/>
    <n v="5"/>
    <x v="2"/>
    <d v="2024-04-15T00:00:00"/>
    <x v="1"/>
    <s v="Involuntary"/>
    <x v="1"/>
    <x v="2"/>
    <x v="0"/>
    <x v="0"/>
    <x v="2"/>
  </r>
  <r>
    <x v="1146"/>
    <s v="No"/>
    <x v="1"/>
    <s v="Manufacturing Director"/>
    <x v="1"/>
    <x v="0"/>
    <n v="9"/>
    <n v="112512"/>
    <n v="18"/>
    <n v="37.5"/>
    <s v="No"/>
    <n v="39"/>
    <s v="Woman"/>
    <s v="Single"/>
    <x v="0"/>
    <n v="6"/>
    <s v="Bachelor's Degree"/>
    <s v="Life Sciences"/>
    <n v="3"/>
    <n v="0"/>
    <n v="9"/>
    <n v="3"/>
    <n v="2"/>
    <n v="0"/>
    <n v="2"/>
    <n v="2"/>
    <x v="0"/>
    <d v="2024-01-31T00:00:00"/>
    <x v="1"/>
    <s v="Involuntary"/>
    <x v="1"/>
    <x v="3"/>
    <x v="0"/>
    <x v="0"/>
    <x v="1"/>
  </r>
  <r>
    <x v="1147"/>
    <s v="No"/>
    <x v="1"/>
    <s v="Sales Executive"/>
    <x v="0"/>
    <x v="1"/>
    <n v="9"/>
    <n v="110844"/>
    <n v="11"/>
    <n v="37.5"/>
    <s v="No"/>
    <n v="39"/>
    <s v="Man"/>
    <s v="Married"/>
    <x v="0"/>
    <n v="6"/>
    <s v="Bachelor's Degree"/>
    <s v="Medical"/>
    <n v="3"/>
    <n v="1"/>
    <n v="11"/>
    <n v="3"/>
    <n v="7"/>
    <n v="6"/>
    <n v="7"/>
    <n v="6"/>
    <x v="1"/>
    <d v="2025-08-03T00:00:00"/>
    <x v="1"/>
    <s v="Involuntary"/>
    <x v="0"/>
    <x v="0"/>
    <x v="3"/>
    <x v="0"/>
    <x v="1"/>
  </r>
  <r>
    <x v="1148"/>
    <s v="No"/>
    <x v="1"/>
    <s v="Sales Executive"/>
    <x v="0"/>
    <x v="1"/>
    <n v="9"/>
    <n v="112572"/>
    <n v="20"/>
    <n v="37.5"/>
    <s v="No"/>
    <n v="53"/>
    <s v="Woman"/>
    <s v="Single"/>
    <x v="0"/>
    <n v="1"/>
    <s v="Trades Apprenticeship"/>
    <s v="Medical"/>
    <n v="4"/>
    <n v="0"/>
    <n v="18"/>
    <n v="2"/>
    <n v="14"/>
    <n v="7"/>
    <n v="8"/>
    <n v="10"/>
    <x v="2"/>
    <d v="2022-03-17T00:00:00"/>
    <x v="0"/>
    <s v="Involuntary"/>
    <x v="0"/>
    <x v="2"/>
    <x v="0"/>
    <x v="2"/>
    <x v="5"/>
  </r>
  <r>
    <x v="1149"/>
    <s v="No"/>
    <x v="1"/>
    <s v="Healthcare Representative"/>
    <x v="0"/>
    <x v="0"/>
    <n v="9"/>
    <n v="118236"/>
    <n v="19"/>
    <n v="37.5"/>
    <s v="No"/>
    <n v="29"/>
    <s v="Man"/>
    <s v="Divorced"/>
    <x v="1"/>
    <n v="2"/>
    <s v="Trades Apprenticeship"/>
    <s v="Life Sciences"/>
    <n v="3"/>
    <n v="1"/>
    <n v="6"/>
    <n v="0"/>
    <n v="6"/>
    <n v="4"/>
    <n v="1"/>
    <n v="3"/>
    <x v="1"/>
    <d v="2023-04-30T00:00:00"/>
    <x v="0"/>
    <s v="Involuntary"/>
    <x v="3"/>
    <x v="1"/>
    <x v="0"/>
    <x v="2"/>
    <x v="5"/>
  </r>
  <r>
    <x v="1150"/>
    <s v="No"/>
    <x v="1"/>
    <s v="Manager, Sales"/>
    <x v="1"/>
    <x v="1"/>
    <n v="5"/>
    <n v="243972"/>
    <n v="16"/>
    <n v="37.5"/>
    <s v="Yes"/>
    <n v="50"/>
    <s v="Man"/>
    <s v="Married"/>
    <x v="0"/>
    <n v="9"/>
    <s v="Bachelor's Degree"/>
    <s v="Marketing"/>
    <n v="3"/>
    <n v="1"/>
    <n v="27"/>
    <n v="2"/>
    <n v="1"/>
    <n v="0"/>
    <n v="0"/>
    <n v="0"/>
    <x v="0"/>
    <d v="2025-08-28T00:00:00"/>
    <x v="1"/>
    <s v="Voluntary"/>
    <x v="2"/>
    <x v="0"/>
    <x v="1"/>
    <x v="0"/>
    <x v="4"/>
  </r>
  <r>
    <x v="1151"/>
    <s v="No"/>
    <x v="1"/>
    <s v="Sales Executive"/>
    <x v="0"/>
    <x v="1"/>
    <n v="9"/>
    <n v="112944"/>
    <n v="11"/>
    <n v="37.5"/>
    <s v="No"/>
    <n v="30"/>
    <s v="Woman"/>
    <s v="Married"/>
    <x v="2"/>
    <n v="22"/>
    <s v="Master's Degree"/>
    <s v="Other"/>
    <n v="3"/>
    <n v="0"/>
    <n v="10"/>
    <n v="3"/>
    <n v="9"/>
    <n v="8"/>
    <n v="7"/>
    <n v="8"/>
    <x v="1"/>
    <d v="2022-07-13T00:00:00"/>
    <x v="0"/>
    <s v="Voluntary"/>
    <x v="2"/>
    <x v="2"/>
    <x v="1"/>
    <x v="0"/>
    <x v="2"/>
  </r>
  <r>
    <x v="1152"/>
    <s v="No"/>
    <x v="1"/>
    <s v="Research Scientist"/>
    <x v="0"/>
    <x v="0"/>
    <n v="3"/>
    <n v="48876"/>
    <n v="16"/>
    <n v="37.5"/>
    <s v="No"/>
    <n v="23"/>
    <s v="Man"/>
    <s v="Married"/>
    <x v="0"/>
    <n v="10"/>
    <s v="Bachelor's Degree"/>
    <s v="Technical Degree"/>
    <n v="3"/>
    <n v="1"/>
    <n v="4"/>
    <n v="2"/>
    <n v="2"/>
    <n v="2"/>
    <n v="2"/>
    <n v="2"/>
    <x v="0"/>
    <d v="2023-07-20T00:00:00"/>
    <x v="0"/>
    <s v="Voluntary"/>
    <x v="0"/>
    <x v="0"/>
    <x v="0"/>
    <x v="0"/>
    <x v="0"/>
  </r>
  <r>
    <x v="1153"/>
    <s v="No"/>
    <x v="1"/>
    <s v="Laboratory Technician"/>
    <x v="0"/>
    <x v="0"/>
    <n v="7"/>
    <n v="78744"/>
    <n v="13"/>
    <n v="37.5"/>
    <s v="Yes"/>
    <n v="36"/>
    <s v="Man"/>
    <s v="Married"/>
    <x v="1"/>
    <n v="6"/>
    <s v="Master's Degree"/>
    <s v="Life Sciences"/>
    <n v="3"/>
    <n v="1"/>
    <n v="9"/>
    <n v="3"/>
    <n v="3"/>
    <n v="2"/>
    <n v="0"/>
    <n v="2"/>
    <x v="1"/>
    <d v="2023-05-11T00:00:00"/>
    <x v="0"/>
    <s v="Voluntary"/>
    <x v="3"/>
    <x v="2"/>
    <x v="0"/>
    <x v="0"/>
    <x v="6"/>
  </r>
  <r>
    <x v="1154"/>
    <s v="No"/>
    <x v="1"/>
    <s v="Manager, R&amp;D"/>
    <x v="1"/>
    <x v="0"/>
    <n v="5"/>
    <n v="247356"/>
    <n v="22"/>
    <n v="37.5"/>
    <s v="No"/>
    <n v="42"/>
    <s v="Man"/>
    <s v="Single"/>
    <x v="0"/>
    <n v="9"/>
    <s v="Certificate or Diploma"/>
    <s v="Other"/>
    <n v="4"/>
    <n v="0"/>
    <n v="24"/>
    <n v="2"/>
    <n v="1"/>
    <n v="0"/>
    <n v="0"/>
    <n v="1"/>
    <x v="0"/>
    <d v="2025-01-30T00:00:00"/>
    <x v="1"/>
    <s v="Involuntary"/>
    <x v="0"/>
    <x v="1"/>
    <x v="0"/>
    <x v="0"/>
    <x v="7"/>
  </r>
  <r>
    <x v="1155"/>
    <s v="No"/>
    <x v="1"/>
    <s v="Laboratory Technician"/>
    <x v="0"/>
    <x v="0"/>
    <n v="6"/>
    <n v="64884"/>
    <n v="17"/>
    <n v="37.5"/>
    <s v="No"/>
    <n v="35"/>
    <s v="Man"/>
    <s v="Married"/>
    <x v="0"/>
    <n v="28"/>
    <s v="Bachelor's Degree"/>
    <s v="Life Sciences"/>
    <n v="3"/>
    <n v="2"/>
    <n v="10"/>
    <n v="3"/>
    <n v="10"/>
    <n v="9"/>
    <n v="6"/>
    <n v="8"/>
    <x v="2"/>
    <d v="2023-09-10T00:00:00"/>
    <x v="0"/>
    <s v="Voluntary"/>
    <x v="1"/>
    <x v="0"/>
    <x v="0"/>
    <x v="1"/>
    <x v="1"/>
  </r>
  <r>
    <x v="1156"/>
    <s v="No"/>
    <x v="1"/>
    <s v="Healthcare Representative"/>
    <x v="0"/>
    <x v="0"/>
    <n v="7"/>
    <n v="72756"/>
    <n v="14"/>
    <n v="37.5"/>
    <s v="No"/>
    <n v="34"/>
    <s v="Man"/>
    <s v="Married"/>
    <x v="1"/>
    <n v="10"/>
    <s v="Master's Degree"/>
    <s v="Technical Degree"/>
    <n v="3"/>
    <n v="1"/>
    <n v="8"/>
    <n v="3"/>
    <n v="8"/>
    <n v="2"/>
    <n v="7"/>
    <n v="7"/>
    <x v="1"/>
    <d v="2023-04-16T00:00:00"/>
    <x v="0"/>
    <s v="Voluntary"/>
    <x v="0"/>
    <x v="0"/>
    <x v="2"/>
    <x v="1"/>
    <x v="1"/>
  </r>
  <r>
    <x v="1157"/>
    <s v="No"/>
    <x v="1"/>
    <s v="Healthcare Representative"/>
    <x v="0"/>
    <x v="0"/>
    <n v="9"/>
    <n v="115272"/>
    <n v="19"/>
    <n v="37.5"/>
    <s v="No"/>
    <n v="35"/>
    <s v="Woman"/>
    <s v="Single"/>
    <x v="0"/>
    <n v="16"/>
    <s v="Bachelor's Degree"/>
    <s v="Life Sciences"/>
    <n v="3"/>
    <n v="0"/>
    <n v="11"/>
    <n v="3"/>
    <n v="11"/>
    <n v="8"/>
    <n v="3"/>
    <n v="3"/>
    <x v="2"/>
    <d v="2022-07-04T00:00:00"/>
    <x v="0"/>
    <s v="Voluntary"/>
    <x v="0"/>
    <x v="3"/>
    <x v="0"/>
    <x v="3"/>
    <x v="1"/>
  </r>
  <r>
    <x v="1158"/>
    <s v="No"/>
    <x v="1"/>
    <s v="Laboratory Technician"/>
    <x v="0"/>
    <x v="0"/>
    <n v="7"/>
    <n v="70512"/>
    <n v="12"/>
    <n v="37.5"/>
    <s v="No"/>
    <n v="43"/>
    <s v="Man"/>
    <s v="Divorced"/>
    <x v="0"/>
    <n v="27"/>
    <s v="Bachelor's Degree"/>
    <s v="Technical Degree"/>
    <n v="3"/>
    <n v="1"/>
    <n v="8"/>
    <n v="0"/>
    <n v="6"/>
    <n v="4"/>
    <n v="0"/>
    <n v="2"/>
    <x v="1"/>
    <d v="2023-01-04T00:00:00"/>
    <x v="0"/>
    <s v="Involuntary"/>
    <x v="0"/>
    <x v="3"/>
    <x v="1"/>
    <x v="0"/>
    <x v="4"/>
  </r>
  <r>
    <x v="1159"/>
    <s v="No"/>
    <x v="1"/>
    <s v="Healthcare Representative"/>
    <x v="0"/>
    <x v="0"/>
    <n v="9"/>
    <n v="115452"/>
    <n v="14"/>
    <n v="37.5"/>
    <s v="No"/>
    <n v="34"/>
    <s v="Woman"/>
    <s v="Single"/>
    <x v="0"/>
    <n v="9"/>
    <s v="Bachelor's Degree"/>
    <s v="Medical"/>
    <n v="3"/>
    <n v="0"/>
    <n v="9"/>
    <n v="3"/>
    <n v="8"/>
    <n v="7"/>
    <n v="7"/>
    <n v="7"/>
    <x v="1"/>
    <d v="2024-04-22T00:00:00"/>
    <x v="1"/>
    <s v="Involuntary"/>
    <x v="0"/>
    <x v="3"/>
    <x v="2"/>
    <x v="2"/>
    <x v="4"/>
  </r>
  <r>
    <x v="1160"/>
    <s v="No"/>
    <x v="1"/>
    <s v="Laboratory Technician"/>
    <x v="0"/>
    <x v="0"/>
    <n v="5"/>
    <n v="56280"/>
    <n v="18"/>
    <n v="37.5"/>
    <s v="No"/>
    <n v="35"/>
    <s v="Man"/>
    <s v="Married"/>
    <x v="0"/>
    <n v="7"/>
    <s v="Certificate or Diploma"/>
    <s v="Life Sciences"/>
    <n v="3"/>
    <n v="1"/>
    <n v="1"/>
    <n v="5"/>
    <n v="1"/>
    <n v="0"/>
    <n v="0"/>
    <n v="1"/>
    <x v="0"/>
    <d v="2025-07-12T00:00:00"/>
    <x v="1"/>
    <s v="Involuntary"/>
    <x v="2"/>
    <x v="1"/>
    <x v="0"/>
    <x v="1"/>
    <x v="5"/>
  </r>
  <r>
    <x v="1161"/>
    <s v="No"/>
    <x v="1"/>
    <s v="Manager, Sales"/>
    <x v="1"/>
    <x v="1"/>
    <n v="4"/>
    <n v="222804"/>
    <n v="15"/>
    <n v="37.5"/>
    <s v="No"/>
    <n v="46"/>
    <s v="Man"/>
    <s v="Single"/>
    <x v="0"/>
    <n v="1"/>
    <s v="Master's Degree"/>
    <s v="Life Sciences"/>
    <n v="3"/>
    <n v="0"/>
    <n v="27"/>
    <n v="5"/>
    <n v="26"/>
    <n v="0"/>
    <n v="0"/>
    <n v="12"/>
    <x v="2"/>
    <d v="2022-04-13T00:00:00"/>
    <x v="0"/>
    <s v="Involuntary"/>
    <x v="0"/>
    <x v="2"/>
    <x v="2"/>
    <x v="3"/>
    <x v="8"/>
  </r>
  <r>
    <x v="1162"/>
    <s v="No"/>
    <x v="1"/>
    <s v="Sales Executive"/>
    <x v="0"/>
    <x v="1"/>
    <n v="9"/>
    <n v="116232"/>
    <n v="22"/>
    <n v="37.5"/>
    <s v="No"/>
    <n v="38"/>
    <s v="Woman"/>
    <s v="Single"/>
    <x v="0"/>
    <n v="1"/>
    <s v="Master's Degree"/>
    <s v="Life Sciences"/>
    <n v="4"/>
    <n v="0"/>
    <n v="12"/>
    <n v="2"/>
    <n v="8"/>
    <n v="3"/>
    <n v="0"/>
    <n v="7"/>
    <x v="1"/>
    <d v="2025-03-23T00:00:00"/>
    <x v="1"/>
    <s v="Involuntary"/>
    <x v="3"/>
    <x v="1"/>
    <x v="1"/>
    <x v="2"/>
    <x v="4"/>
  </r>
  <r>
    <x v="1163"/>
    <s v="No"/>
    <x v="1"/>
    <s v="Healthcare Representative"/>
    <x v="0"/>
    <x v="0"/>
    <n v="10"/>
    <n v="146940"/>
    <n v="15"/>
    <n v="37.5"/>
    <s v="Yes"/>
    <n v="50"/>
    <s v="Man"/>
    <s v="Married"/>
    <x v="1"/>
    <n v="20"/>
    <s v="Doctorate"/>
    <s v="Medical"/>
    <n v="3"/>
    <n v="1"/>
    <n v="32"/>
    <n v="3"/>
    <n v="30"/>
    <n v="8"/>
    <n v="12"/>
    <n v="13"/>
    <x v="2"/>
    <d v="2025-07-10T00:00:00"/>
    <x v="1"/>
    <s v="Voluntary"/>
    <x v="1"/>
    <x v="0"/>
    <x v="1"/>
    <x v="0"/>
    <x v="1"/>
  </r>
  <r>
    <x v="1164"/>
    <s v="No"/>
    <x v="1"/>
    <s v="Research Scientist"/>
    <x v="0"/>
    <x v="0"/>
    <n v="3"/>
    <n v="49692"/>
    <n v="12"/>
    <n v="37.5"/>
    <s v="No"/>
    <n v="30"/>
    <s v="Man"/>
    <s v="Married"/>
    <x v="0"/>
    <n v="7"/>
    <s v="Bachelor's Degree"/>
    <s v="Medical"/>
    <n v="3"/>
    <n v="1"/>
    <n v="6"/>
    <n v="3"/>
    <n v="6"/>
    <n v="4"/>
    <n v="1"/>
    <n v="1"/>
    <x v="1"/>
    <d v="2024-08-21T00:00:00"/>
    <x v="1"/>
    <s v="Involuntary"/>
    <x v="1"/>
    <x v="3"/>
    <x v="2"/>
    <x v="1"/>
    <x v="8"/>
  </r>
  <r>
    <x v="1165"/>
    <s v="No"/>
    <x v="1"/>
    <s v="Sales Executive"/>
    <x v="0"/>
    <x v="1"/>
    <n v="6"/>
    <n v="64620"/>
    <n v="15"/>
    <n v="37.5"/>
    <s v="No"/>
    <n v="45"/>
    <s v="Man"/>
    <s v="Married"/>
    <x v="2"/>
    <n v="26"/>
    <s v="Bachelor's Degree"/>
    <s v="Marketing"/>
    <n v="3"/>
    <n v="1"/>
    <n v="10"/>
    <n v="2"/>
    <n v="10"/>
    <n v="7"/>
    <n v="4"/>
    <n v="5"/>
    <x v="2"/>
    <d v="2023-10-11T00:00:00"/>
    <x v="0"/>
    <s v="Voluntary"/>
    <x v="3"/>
    <x v="2"/>
    <x v="3"/>
    <x v="0"/>
    <x v="9"/>
  </r>
  <r>
    <x v="1166"/>
    <s v="No"/>
    <x v="1"/>
    <s v="Sales Executive"/>
    <x v="0"/>
    <x v="1"/>
    <n v="9"/>
    <n v="117468"/>
    <n v="14"/>
    <n v="37.5"/>
    <s v="No"/>
    <n v="35"/>
    <s v="Woman"/>
    <s v="Single"/>
    <x v="1"/>
    <n v="1"/>
    <s v="Bachelor's Degree"/>
    <s v="Marketing"/>
    <n v="3"/>
    <n v="0"/>
    <n v="10"/>
    <n v="3"/>
    <n v="10"/>
    <n v="7"/>
    <n v="0"/>
    <n v="8"/>
    <x v="2"/>
    <d v="2023-11-07T00:00:00"/>
    <x v="0"/>
    <s v="Voluntary"/>
    <x v="2"/>
    <x v="0"/>
    <x v="3"/>
    <x v="2"/>
    <x v="1"/>
  </r>
  <r>
    <x v="1167"/>
    <s v="No"/>
    <x v="1"/>
    <s v="Sales Executive"/>
    <x v="0"/>
    <x v="1"/>
    <n v="7"/>
    <n v="75984"/>
    <n v="13"/>
    <n v="37.5"/>
    <s v="No"/>
    <n v="31"/>
    <s v="Man"/>
    <s v="Single"/>
    <x v="1"/>
    <n v="2"/>
    <s v="Master's Degree"/>
    <s v="Other"/>
    <n v="3"/>
    <n v="0"/>
    <n v="10"/>
    <n v="3"/>
    <n v="5"/>
    <n v="2"/>
    <n v="0"/>
    <n v="3"/>
    <x v="1"/>
    <d v="2024-06-11T00:00:00"/>
    <x v="1"/>
    <s v="Voluntary"/>
    <x v="0"/>
    <x v="2"/>
    <x v="0"/>
    <x v="0"/>
    <x v="4"/>
  </r>
  <r>
    <x v="1168"/>
    <s v="No"/>
    <x v="1"/>
    <s v="Healthcare Representative"/>
    <x v="0"/>
    <x v="0"/>
    <n v="9"/>
    <n v="117876"/>
    <n v="18"/>
    <n v="37.5"/>
    <s v="No"/>
    <n v="38"/>
    <s v="Woman"/>
    <s v="Married"/>
    <x v="0"/>
    <n v="17"/>
    <s v="Trades Apprenticeship"/>
    <s v="Life Sciences"/>
    <n v="3"/>
    <n v="1"/>
    <n v="20"/>
    <n v="4"/>
    <n v="19"/>
    <n v="9"/>
    <n v="1"/>
    <n v="9"/>
    <x v="2"/>
    <d v="2023-05-11T00:00:00"/>
    <x v="0"/>
    <s v="Voluntary"/>
    <x v="2"/>
    <x v="0"/>
    <x v="3"/>
    <x v="1"/>
    <x v="6"/>
  </r>
  <r>
    <x v="1169"/>
    <s v="No"/>
    <x v="1"/>
    <s v="Manufacturing Director"/>
    <x v="1"/>
    <x v="0"/>
    <n v="6"/>
    <n v="68688"/>
    <n v="13"/>
    <n v="37.5"/>
    <s v="No"/>
    <n v="34"/>
    <s v="Man"/>
    <s v="Divorced"/>
    <x v="1"/>
    <n v="10"/>
    <s v="Master's Degree"/>
    <s v="Life Sciences"/>
    <n v="3"/>
    <n v="1"/>
    <n v="9"/>
    <n v="3"/>
    <n v="9"/>
    <n v="7"/>
    <n v="7"/>
    <n v="2"/>
    <x v="1"/>
    <d v="2025-03-13T00:00:00"/>
    <x v="1"/>
    <s v="Voluntary"/>
    <x v="2"/>
    <x v="1"/>
    <x v="3"/>
    <x v="0"/>
    <x v="1"/>
  </r>
  <r>
    <x v="1170"/>
    <s v="No"/>
    <x v="1"/>
    <s v="HR Business Partner"/>
    <x v="0"/>
    <x v="2"/>
    <n v="9"/>
    <n v="118044"/>
    <n v="16"/>
    <n v="37.5"/>
    <s v="Yes"/>
    <n v="35"/>
    <s v="Woman"/>
    <s v="Single"/>
    <x v="0"/>
    <n v="26"/>
    <s v="Master's Degree"/>
    <s v="Life Sciences"/>
    <n v="3"/>
    <n v="0"/>
    <n v="9"/>
    <n v="2"/>
    <n v="9"/>
    <n v="0"/>
    <n v="1"/>
    <n v="7"/>
    <x v="1"/>
    <d v="2023-12-07T00:00:00"/>
    <x v="0"/>
    <s v="Voluntary"/>
    <x v="2"/>
    <x v="1"/>
    <x v="1"/>
    <x v="0"/>
    <x v="5"/>
  </r>
  <r>
    <x v="1171"/>
    <s v="No"/>
    <x v="1"/>
    <s v="Manufacturing Director"/>
    <x v="1"/>
    <x v="0"/>
    <n v="7"/>
    <n v="76524"/>
    <n v="13"/>
    <n v="37.5"/>
    <s v="No"/>
    <n v="39"/>
    <s v="Man"/>
    <s v="Married"/>
    <x v="0"/>
    <n v="10"/>
    <s v="Doctorate"/>
    <s v="Medical"/>
    <n v="3"/>
    <n v="3"/>
    <n v="10"/>
    <n v="3"/>
    <n v="7"/>
    <n v="7"/>
    <n v="7"/>
    <n v="7"/>
    <x v="1"/>
    <d v="2023-07-22T00:00:00"/>
    <x v="0"/>
    <s v="Voluntary"/>
    <x v="1"/>
    <x v="2"/>
    <x v="0"/>
    <x v="0"/>
    <x v="2"/>
  </r>
  <r>
    <x v="1172"/>
    <s v="No"/>
    <x v="1"/>
    <s v="Laboratory Technician"/>
    <x v="0"/>
    <x v="0"/>
    <n v="6"/>
    <n v="60792"/>
    <n v="11"/>
    <n v="37.5"/>
    <s v="No"/>
    <n v="27"/>
    <s v="Man"/>
    <s v="Divorced"/>
    <x v="0"/>
    <n v="19"/>
    <s v="Bachelor's Degree"/>
    <s v="Other"/>
    <n v="3"/>
    <n v="2"/>
    <n v="7"/>
    <n v="3"/>
    <n v="7"/>
    <n v="7"/>
    <n v="0"/>
    <n v="7"/>
    <x v="1"/>
    <d v="2024-02-24T00:00:00"/>
    <x v="1"/>
    <s v="Involuntary"/>
    <x v="0"/>
    <x v="2"/>
    <x v="3"/>
    <x v="0"/>
    <x v="6"/>
  </r>
  <r>
    <x v="1173"/>
    <s v="No"/>
    <x v="1"/>
    <s v="Manufacturing Director"/>
    <x v="1"/>
    <x v="0"/>
    <n v="9"/>
    <n v="118296"/>
    <n v="11"/>
    <n v="37.5"/>
    <s v="No"/>
    <n v="36"/>
    <s v="Woman"/>
    <s v="Single"/>
    <x v="0"/>
    <n v="12"/>
    <s v="Doctorate"/>
    <s v="Medical"/>
    <n v="3"/>
    <n v="0"/>
    <n v="15"/>
    <n v="2"/>
    <n v="14"/>
    <n v="8"/>
    <n v="7"/>
    <n v="8"/>
    <x v="2"/>
    <d v="2023-05-22T00:00:00"/>
    <x v="0"/>
    <s v="Involuntary"/>
    <x v="0"/>
    <x v="1"/>
    <x v="2"/>
    <x v="1"/>
    <x v="4"/>
  </r>
  <r>
    <x v="1174"/>
    <s v="No"/>
    <x v="1"/>
    <s v="Sales Executive"/>
    <x v="0"/>
    <x v="1"/>
    <n v="9"/>
    <n v="118380"/>
    <n v="12"/>
    <n v="37.5"/>
    <s v="No"/>
    <n v="45"/>
    <s v="Woman"/>
    <s v="Single"/>
    <x v="2"/>
    <n v="6"/>
    <s v="Bachelor's Degree"/>
    <s v="Medical"/>
    <n v="3"/>
    <n v="0"/>
    <n v="23"/>
    <n v="2"/>
    <n v="19"/>
    <n v="7"/>
    <n v="12"/>
    <n v="8"/>
    <x v="2"/>
    <d v="2022-10-06T00:00:00"/>
    <x v="0"/>
    <s v="Voluntary"/>
    <x v="0"/>
    <x v="1"/>
    <x v="0"/>
    <x v="0"/>
    <x v="7"/>
  </r>
  <r>
    <x v="1175"/>
    <s v="No"/>
    <x v="1"/>
    <s v="Research Scientist"/>
    <x v="0"/>
    <x v="0"/>
    <n v="7"/>
    <n v="74496"/>
    <n v="11"/>
    <n v="37.5"/>
    <s v="No"/>
    <n v="35"/>
    <s v="Man"/>
    <s v="Married"/>
    <x v="0"/>
    <n v="18"/>
    <s v="Doctorate"/>
    <s v="Life Sciences"/>
    <n v="3"/>
    <n v="0"/>
    <n v="16"/>
    <n v="2"/>
    <n v="16"/>
    <n v="15"/>
    <n v="1"/>
    <n v="10"/>
    <x v="2"/>
    <d v="2024-03-20T00:00:00"/>
    <x v="1"/>
    <s v="Voluntary"/>
    <x v="1"/>
    <x v="2"/>
    <x v="0"/>
    <x v="0"/>
    <x v="2"/>
  </r>
  <r>
    <x v="1176"/>
    <s v="No"/>
    <x v="1"/>
    <s v="Manufacturing Director"/>
    <x v="1"/>
    <x v="0"/>
    <n v="9"/>
    <n v="119316"/>
    <n v="24"/>
    <n v="37.5"/>
    <s v="No"/>
    <n v="31"/>
    <s v="Woman"/>
    <s v="Married"/>
    <x v="1"/>
    <n v="7"/>
    <s v="Certificate or Diploma"/>
    <s v="Life Sciences"/>
    <n v="4"/>
    <n v="1"/>
    <n v="10"/>
    <n v="2"/>
    <n v="10"/>
    <n v="9"/>
    <n v="8"/>
    <n v="9"/>
    <x v="2"/>
    <d v="2025-08-13T00:00:00"/>
    <x v="1"/>
    <s v="Voluntary"/>
    <x v="2"/>
    <x v="0"/>
    <x v="3"/>
    <x v="0"/>
    <x v="2"/>
  </r>
  <r>
    <x v="1177"/>
    <s v="No"/>
    <x v="1"/>
    <s v="Research Scientist"/>
    <x v="0"/>
    <x v="0"/>
    <n v="6"/>
    <n v="61404"/>
    <n v="18"/>
    <n v="37.5"/>
    <s v="No"/>
    <n v="21"/>
    <s v="Man"/>
    <s v="Single"/>
    <x v="0"/>
    <n v="5"/>
    <s v="Trades Apprenticeship"/>
    <s v="Medical"/>
    <n v="3"/>
    <n v="0"/>
    <n v="3"/>
    <n v="2"/>
    <n v="2"/>
    <n v="2"/>
    <n v="2"/>
    <n v="2"/>
    <x v="0"/>
    <d v="2022-10-27T00:00:00"/>
    <x v="0"/>
    <s v="Voluntary"/>
    <x v="2"/>
    <x v="1"/>
    <x v="1"/>
    <x v="0"/>
    <x v="5"/>
  </r>
  <r>
    <x v="1178"/>
    <s v="No"/>
    <x v="1"/>
    <s v="Sales Executive"/>
    <x v="0"/>
    <x v="1"/>
    <n v="9"/>
    <n v="119976"/>
    <n v="14"/>
    <n v="37.5"/>
    <s v="No"/>
    <n v="32"/>
    <s v="Woman"/>
    <s v="Single"/>
    <x v="1"/>
    <n v="8"/>
    <s v="Bachelor's Degree"/>
    <s v="Marketing"/>
    <n v="3"/>
    <n v="0"/>
    <n v="9"/>
    <n v="2"/>
    <n v="9"/>
    <n v="8"/>
    <n v="3"/>
    <n v="7"/>
    <x v="1"/>
    <d v="2025-08-03T00:00:00"/>
    <x v="1"/>
    <s v="Involuntary"/>
    <x v="1"/>
    <x v="1"/>
    <x v="0"/>
    <x v="0"/>
    <x v="5"/>
  </r>
  <r>
    <x v="1179"/>
    <s v="No"/>
    <x v="1"/>
    <s v="Laboratory Technician"/>
    <x v="0"/>
    <x v="0"/>
    <n v="6"/>
    <n v="60828"/>
    <n v="15"/>
    <n v="37.5"/>
    <s v="No"/>
    <n v="39"/>
    <s v="Man"/>
    <s v="Divorced"/>
    <x v="0"/>
    <n v="3"/>
    <s v="Certificate or Diploma"/>
    <s v="Medical"/>
    <n v="3"/>
    <n v="1"/>
    <n v="11"/>
    <n v="3"/>
    <n v="10"/>
    <n v="8"/>
    <n v="0"/>
    <n v="7"/>
    <x v="2"/>
    <d v="2023-10-23T00:00:00"/>
    <x v="0"/>
    <s v="Voluntary"/>
    <x v="2"/>
    <x v="0"/>
    <x v="0"/>
    <x v="0"/>
    <x v="5"/>
  </r>
  <r>
    <x v="1180"/>
    <s v="No"/>
    <x v="1"/>
    <s v="Sales Executive"/>
    <x v="0"/>
    <x v="1"/>
    <n v="9"/>
    <n v="120852"/>
    <n v="19"/>
    <n v="37.5"/>
    <s v="Yes"/>
    <n v="46"/>
    <s v="Woman"/>
    <s v="Married"/>
    <x v="0"/>
    <n v="10"/>
    <s v="Bachelor's Degree"/>
    <s v="Marketing"/>
    <n v="3"/>
    <n v="1"/>
    <n v="15"/>
    <n v="3"/>
    <n v="3"/>
    <n v="2"/>
    <n v="1"/>
    <n v="2"/>
    <x v="1"/>
    <d v="2023-09-05T00:00:00"/>
    <x v="0"/>
    <s v="Involuntary"/>
    <x v="2"/>
    <x v="1"/>
    <x v="1"/>
    <x v="0"/>
    <x v="5"/>
  </r>
  <r>
    <x v="1181"/>
    <s v="No"/>
    <x v="1"/>
    <s v="Manufacturing Director"/>
    <x v="1"/>
    <x v="0"/>
    <n v="7"/>
    <n v="81216"/>
    <n v="17"/>
    <n v="37.5"/>
    <s v="No"/>
    <n v="37"/>
    <s v="Man"/>
    <s v="Married"/>
    <x v="0"/>
    <n v="19"/>
    <s v="Bachelor's Degree"/>
    <s v="Life Sciences"/>
    <n v="3"/>
    <n v="3"/>
    <n v="9"/>
    <n v="2"/>
    <n v="4"/>
    <n v="3"/>
    <n v="0"/>
    <n v="2"/>
    <x v="1"/>
    <d v="2023-09-19T00:00:00"/>
    <x v="0"/>
    <s v="Involuntary"/>
    <x v="2"/>
    <x v="0"/>
    <x v="3"/>
    <x v="1"/>
    <x v="6"/>
  </r>
  <r>
    <x v="1182"/>
    <s v="No"/>
    <x v="1"/>
    <s v="Sales Executive"/>
    <x v="0"/>
    <x v="1"/>
    <n v="9"/>
    <n v="122496"/>
    <n v="11"/>
    <n v="37.5"/>
    <s v="No"/>
    <n v="50"/>
    <s v="Woman"/>
    <s v="Single"/>
    <x v="1"/>
    <n v="12"/>
    <s v="Bachelor's Degree"/>
    <s v="Marketing"/>
    <n v="3"/>
    <n v="0"/>
    <n v="16"/>
    <n v="3"/>
    <n v="2"/>
    <n v="2"/>
    <n v="2"/>
    <n v="1"/>
    <x v="0"/>
    <d v="2025-10-21T00:00:00"/>
    <x v="1"/>
    <s v="Involuntary"/>
    <x v="2"/>
    <x v="1"/>
    <x v="0"/>
    <x v="0"/>
    <x v="0"/>
  </r>
  <r>
    <x v="1183"/>
    <s v="No"/>
    <x v="1"/>
    <s v="HR Operations Specialist"/>
    <x v="0"/>
    <x v="2"/>
    <n v="7"/>
    <n v="80916"/>
    <n v="11"/>
    <n v="37.5"/>
    <s v="Yes"/>
    <n v="44"/>
    <s v="Man"/>
    <s v="Married"/>
    <x v="1"/>
    <n v="1"/>
    <s v="Doctorate"/>
    <s v="Human Resources"/>
    <n v="3"/>
    <n v="0"/>
    <n v="14"/>
    <n v="3"/>
    <n v="10"/>
    <n v="7"/>
    <n v="0"/>
    <n v="2"/>
    <x v="2"/>
    <d v="2025-04-06T00:00:00"/>
    <x v="1"/>
    <s v="Involuntary"/>
    <x v="3"/>
    <x v="1"/>
    <x v="1"/>
    <x v="0"/>
    <x v="1"/>
  </r>
  <r>
    <x v="1184"/>
    <s v="No"/>
    <x v="1"/>
    <s v="Manager, R&amp;D"/>
    <x v="1"/>
    <x v="0"/>
    <n v="4"/>
    <n v="194424"/>
    <n v="25"/>
    <n v="37.5"/>
    <s v="No"/>
    <n v="48"/>
    <s v="Man"/>
    <s v="Married"/>
    <x v="1"/>
    <n v="4"/>
    <s v="Doctorate"/>
    <s v="Medical"/>
    <n v="4"/>
    <n v="1"/>
    <n v="23"/>
    <n v="3"/>
    <n v="2"/>
    <n v="2"/>
    <n v="2"/>
    <n v="2"/>
    <x v="0"/>
    <d v="2025-06-11T00:00:00"/>
    <x v="1"/>
    <s v="Involuntary"/>
    <x v="2"/>
    <x v="1"/>
    <x v="2"/>
    <x v="0"/>
    <x v="4"/>
  </r>
  <r>
    <x v="1185"/>
    <s v="No"/>
    <x v="1"/>
    <s v="Sales Executive"/>
    <x v="0"/>
    <x v="1"/>
    <n v="9"/>
    <n v="123336"/>
    <n v="16"/>
    <n v="37.5"/>
    <s v="Yes"/>
    <n v="36"/>
    <s v="Woman"/>
    <s v="Single"/>
    <x v="0"/>
    <n v="3"/>
    <s v="Master's Degree"/>
    <s v="Marketing"/>
    <n v="3"/>
    <n v="0"/>
    <n v="15"/>
    <n v="3"/>
    <n v="5"/>
    <n v="4"/>
    <n v="0"/>
    <n v="1"/>
    <x v="1"/>
    <d v="2023-12-30T00:00:00"/>
    <x v="0"/>
    <s v="Voluntary"/>
    <x v="3"/>
    <x v="3"/>
    <x v="0"/>
    <x v="0"/>
    <x v="2"/>
  </r>
  <r>
    <x v="1186"/>
    <s v="No"/>
    <x v="1"/>
    <s v="Research Scientist"/>
    <x v="0"/>
    <x v="0"/>
    <n v="4"/>
    <n v="54960"/>
    <n v="13"/>
    <n v="37.5"/>
    <s v="No"/>
    <n v="27"/>
    <s v="Man"/>
    <s v="Single"/>
    <x v="1"/>
    <n v="2"/>
    <s v="Bachelor's Degree"/>
    <s v="Medical"/>
    <n v="3"/>
    <n v="0"/>
    <n v="6"/>
    <n v="0"/>
    <n v="4"/>
    <n v="2"/>
    <n v="1"/>
    <n v="2"/>
    <x v="1"/>
    <d v="2022-11-04T00:00:00"/>
    <x v="0"/>
    <s v="Involuntary"/>
    <x v="0"/>
    <x v="1"/>
    <x v="1"/>
    <x v="1"/>
    <x v="5"/>
  </r>
  <r>
    <x v="1187"/>
    <s v="No"/>
    <x v="1"/>
    <s v="Sales Executive"/>
    <x v="0"/>
    <x v="1"/>
    <n v="7"/>
    <n v="82428"/>
    <n v="11"/>
    <n v="37.5"/>
    <s v="No"/>
    <n v="29"/>
    <s v="Man"/>
    <s v="Single"/>
    <x v="0"/>
    <n v="10"/>
    <s v="Bachelor's Degree"/>
    <s v="Medical"/>
    <n v="3"/>
    <n v="0"/>
    <n v="8"/>
    <n v="2"/>
    <n v="5"/>
    <n v="2"/>
    <n v="1"/>
    <n v="4"/>
    <x v="1"/>
    <d v="2025-06-26T00:00:00"/>
    <x v="1"/>
    <s v="Voluntary"/>
    <x v="2"/>
    <x v="0"/>
    <x v="1"/>
    <x v="0"/>
    <x v="4"/>
  </r>
  <r>
    <x v="1188"/>
    <s v="No"/>
    <x v="1"/>
    <s v="Sales Executive"/>
    <x v="0"/>
    <x v="1"/>
    <n v="9"/>
    <n v="125028"/>
    <n v="12"/>
    <n v="37.5"/>
    <s v="No"/>
    <n v="30"/>
    <s v="Woman"/>
    <s v="Married"/>
    <x v="0"/>
    <n v="5"/>
    <s v="Bachelor's Degree"/>
    <s v="Life Sciences"/>
    <n v="3"/>
    <n v="1"/>
    <n v="12"/>
    <n v="2"/>
    <n v="10"/>
    <n v="9"/>
    <n v="7"/>
    <n v="4"/>
    <x v="2"/>
    <d v="2023-07-21T00:00:00"/>
    <x v="0"/>
    <s v="Involuntary"/>
    <x v="1"/>
    <x v="1"/>
    <x v="1"/>
    <x v="0"/>
    <x v="4"/>
  </r>
  <r>
    <x v="1189"/>
    <s v="No"/>
    <x v="1"/>
    <s v="Manufacturing Director"/>
    <x v="1"/>
    <x v="0"/>
    <n v="7"/>
    <n v="74472"/>
    <n v="17"/>
    <n v="37.5"/>
    <s v="No"/>
    <n v="25"/>
    <s v="Man"/>
    <s v="Divorced"/>
    <x v="1"/>
    <n v="2"/>
    <s v="Trades Apprenticeship"/>
    <s v="Life Sciences"/>
    <n v="3"/>
    <n v="2"/>
    <n v="7"/>
    <n v="6"/>
    <n v="7"/>
    <n v="7"/>
    <n v="0"/>
    <n v="7"/>
    <x v="1"/>
    <d v="2022-07-26T00:00:00"/>
    <x v="0"/>
    <s v="Voluntary"/>
    <x v="0"/>
    <x v="0"/>
    <x v="1"/>
    <x v="0"/>
    <x v="5"/>
  </r>
  <r>
    <x v="1190"/>
    <s v="No"/>
    <x v="1"/>
    <s v="Manufacturing Director"/>
    <x v="1"/>
    <x v="0"/>
    <n v="7"/>
    <n v="75540"/>
    <n v="21"/>
    <n v="37.5"/>
    <s v="No"/>
    <n v="39"/>
    <s v="Man"/>
    <s v="Married"/>
    <x v="0"/>
    <n v="12"/>
    <s v="Bachelor's Degree"/>
    <s v="Medical"/>
    <n v="4"/>
    <n v="0"/>
    <n v="7"/>
    <n v="3"/>
    <n v="5"/>
    <n v="4"/>
    <n v="1"/>
    <n v="0"/>
    <x v="1"/>
    <d v="2023-10-29T00:00:00"/>
    <x v="0"/>
    <s v="Involuntary"/>
    <x v="0"/>
    <x v="3"/>
    <x v="1"/>
    <x v="0"/>
    <x v="4"/>
  </r>
  <r>
    <x v="1191"/>
    <s v="No"/>
    <x v="1"/>
    <s v="Laboratory Technician"/>
    <x v="0"/>
    <x v="0"/>
    <n v="3"/>
    <n v="48156"/>
    <n v="11"/>
    <n v="37.5"/>
    <s v="No"/>
    <n v="36"/>
    <s v="Man"/>
    <s v="Single"/>
    <x v="0"/>
    <n v="7"/>
    <s v="Bachelor's Degree"/>
    <s v="Life Sciences"/>
    <n v="3"/>
    <n v="0"/>
    <n v="15"/>
    <n v="4"/>
    <n v="4"/>
    <n v="3"/>
    <n v="1"/>
    <n v="3"/>
    <x v="1"/>
    <d v="2025-09-21T00:00:00"/>
    <x v="1"/>
    <s v="Involuntary"/>
    <x v="3"/>
    <x v="3"/>
    <x v="1"/>
    <x v="0"/>
    <x v="6"/>
  </r>
  <r>
    <x v="1192"/>
    <s v="No"/>
    <x v="1"/>
    <s v="Healthcare Representative"/>
    <x v="0"/>
    <x v="0"/>
    <n v="8"/>
    <n v="94104"/>
    <n v="20"/>
    <n v="37.5"/>
    <s v="No"/>
    <n v="36"/>
    <s v="Man"/>
    <s v="Divorced"/>
    <x v="0"/>
    <n v="3"/>
    <s v="Certificate or Diploma"/>
    <s v="Life Sciences"/>
    <n v="4"/>
    <n v="1"/>
    <n v="13"/>
    <n v="3"/>
    <n v="5"/>
    <n v="4"/>
    <n v="0"/>
    <n v="4"/>
    <x v="1"/>
    <d v="2022-01-15T00:00:00"/>
    <x v="0"/>
    <s v="Involuntary"/>
    <x v="0"/>
    <x v="2"/>
    <x v="3"/>
    <x v="0"/>
    <x v="6"/>
  </r>
  <r>
    <x v="1193"/>
    <s v="No"/>
    <x v="1"/>
    <s v="Research Director"/>
    <x v="1"/>
    <x v="0"/>
    <n v="4"/>
    <n v="223236"/>
    <n v="24"/>
    <n v="37.5"/>
    <s v="No"/>
    <n v="43"/>
    <s v="Man"/>
    <s v="Married"/>
    <x v="0"/>
    <n v="15"/>
    <s v="Certificate or Diploma"/>
    <s v="Life Sciences"/>
    <n v="4"/>
    <n v="1"/>
    <n v="14"/>
    <n v="3"/>
    <n v="14"/>
    <n v="10"/>
    <n v="6"/>
    <n v="11"/>
    <x v="2"/>
    <d v="2023-05-09T00:00:00"/>
    <x v="0"/>
    <s v="Involuntary"/>
    <x v="2"/>
    <x v="0"/>
    <x v="3"/>
    <x v="0"/>
    <x v="2"/>
  </r>
  <r>
    <x v="1194"/>
    <s v="No"/>
    <x v="1"/>
    <s v="Research Scientist"/>
    <x v="0"/>
    <x v="0"/>
    <n v="6"/>
    <n v="68820"/>
    <n v="15"/>
    <n v="37.5"/>
    <s v="No"/>
    <n v="38"/>
    <s v="Man"/>
    <s v="Married"/>
    <x v="1"/>
    <n v="1"/>
    <s v="Bachelor's Degree"/>
    <s v="Life Sciences"/>
    <n v="3"/>
    <n v="2"/>
    <n v="19"/>
    <n v="4"/>
    <n v="13"/>
    <n v="11"/>
    <n v="2"/>
    <n v="9"/>
    <x v="2"/>
    <d v="2024-09-07T00:00:00"/>
    <x v="1"/>
    <s v="Voluntary"/>
    <x v="0"/>
    <x v="1"/>
    <x v="0"/>
    <x v="2"/>
    <x v="12"/>
  </r>
  <r>
    <x v="1195"/>
    <s v="No"/>
    <x v="1"/>
    <s v="Sales Executive"/>
    <x v="0"/>
    <x v="1"/>
    <n v="6"/>
    <n v="62244"/>
    <n v="13"/>
    <n v="37.5"/>
    <s v="Yes"/>
    <n v="29"/>
    <s v="Man"/>
    <s v="Divorced"/>
    <x v="0"/>
    <n v="5"/>
    <s v="Bachelor's Degree"/>
    <s v="Medical"/>
    <n v="3"/>
    <n v="1"/>
    <n v="10"/>
    <n v="3"/>
    <n v="10"/>
    <n v="0"/>
    <n v="0"/>
    <n v="9"/>
    <x v="2"/>
    <d v="2023-03-22T00:00:00"/>
    <x v="0"/>
    <s v="Involuntary"/>
    <x v="3"/>
    <x v="3"/>
    <x v="2"/>
    <x v="1"/>
    <x v="3"/>
  </r>
  <r>
    <x v="1196"/>
    <s v="No"/>
    <x v="1"/>
    <s v="Sales Executive"/>
    <x v="0"/>
    <x v="1"/>
    <n v="7"/>
    <n v="78060"/>
    <n v="14"/>
    <n v="37.5"/>
    <s v="No"/>
    <n v="33"/>
    <s v="Man"/>
    <s v="Divorced"/>
    <x v="0"/>
    <n v="2"/>
    <s v="Master's Degree"/>
    <s v="Medical"/>
    <n v="3"/>
    <n v="2"/>
    <n v="6"/>
    <n v="5"/>
    <n v="6"/>
    <n v="2"/>
    <n v="0"/>
    <n v="4"/>
    <x v="1"/>
    <d v="2022-05-27T00:00:00"/>
    <x v="0"/>
    <s v="Voluntary"/>
    <x v="0"/>
    <x v="1"/>
    <x v="1"/>
    <x v="0"/>
    <x v="0"/>
  </r>
  <r>
    <x v="1197"/>
    <s v="No"/>
    <x v="1"/>
    <s v="Research Scientist"/>
    <x v="0"/>
    <x v="0"/>
    <n v="7"/>
    <n v="77640"/>
    <n v="13"/>
    <n v="37.5"/>
    <s v="No"/>
    <n v="32"/>
    <s v="Man"/>
    <s v="Divorced"/>
    <x v="0"/>
    <n v="2"/>
    <s v="Bachelor's Degree"/>
    <s v="Medical"/>
    <n v="3"/>
    <n v="2"/>
    <n v="10"/>
    <n v="4"/>
    <n v="9"/>
    <n v="5"/>
    <n v="1"/>
    <n v="6"/>
    <x v="1"/>
    <d v="2025-09-10T00:00:00"/>
    <x v="1"/>
    <s v="Involuntary"/>
    <x v="0"/>
    <x v="3"/>
    <x v="1"/>
    <x v="1"/>
    <x v="1"/>
  </r>
  <r>
    <x v="1198"/>
    <s v="No"/>
    <x v="1"/>
    <s v="Sales Executive"/>
    <x v="0"/>
    <x v="1"/>
    <n v="9"/>
    <n v="127644"/>
    <n v="14"/>
    <n v="37.5"/>
    <s v="No"/>
    <n v="31"/>
    <s v="Woman"/>
    <s v="Married"/>
    <x v="1"/>
    <n v="7"/>
    <s v="Master's Degree"/>
    <s v="Marketing"/>
    <n v="3"/>
    <n v="2"/>
    <n v="9"/>
    <n v="3"/>
    <n v="3"/>
    <n v="2"/>
    <n v="2"/>
    <n v="2"/>
    <x v="1"/>
    <d v="2022-06-06T00:00:00"/>
    <x v="0"/>
    <s v="Involuntary"/>
    <x v="3"/>
    <x v="2"/>
    <x v="0"/>
    <x v="0"/>
    <x v="6"/>
  </r>
  <r>
    <x v="1199"/>
    <s v="No"/>
    <x v="1"/>
    <s v="Manufacturing Director"/>
    <x v="1"/>
    <x v="0"/>
    <n v="9"/>
    <n v="128004"/>
    <n v="14"/>
    <n v="37.5"/>
    <s v="No"/>
    <n v="30"/>
    <s v="Woman"/>
    <s v="Single"/>
    <x v="0"/>
    <n v="10"/>
    <s v="Bachelor's Degree"/>
    <s v="Medical"/>
    <n v="3"/>
    <n v="0"/>
    <n v="9"/>
    <n v="3"/>
    <n v="7"/>
    <n v="7"/>
    <n v="0"/>
    <n v="2"/>
    <x v="1"/>
    <d v="2024-03-06T00:00:00"/>
    <x v="1"/>
    <s v="Involuntary"/>
    <x v="3"/>
    <x v="0"/>
    <x v="2"/>
    <x v="0"/>
    <x v="6"/>
  </r>
  <r>
    <x v="1200"/>
    <s v="No"/>
    <x v="1"/>
    <s v="Manager, R&amp;D"/>
    <x v="1"/>
    <x v="0"/>
    <n v="4"/>
    <n v="196548"/>
    <n v="14"/>
    <n v="37.5"/>
    <s v="No"/>
    <n v="49"/>
    <s v="Man"/>
    <s v="Single"/>
    <x v="0"/>
    <n v="1"/>
    <s v="Bachelor's Degree"/>
    <s v="Life Sciences"/>
    <n v="3"/>
    <n v="0"/>
    <n v="23"/>
    <n v="2"/>
    <n v="8"/>
    <n v="7"/>
    <n v="0"/>
    <n v="0"/>
    <x v="1"/>
    <d v="2022-07-08T00:00:00"/>
    <x v="0"/>
    <s v="Involuntary"/>
    <x v="2"/>
    <x v="0"/>
    <x v="3"/>
    <x v="0"/>
    <x v="2"/>
  </r>
  <r>
    <x v="1201"/>
    <s v="No"/>
    <x v="1"/>
    <s v="Sales Executive"/>
    <x v="0"/>
    <x v="1"/>
    <n v="8"/>
    <n v="96984"/>
    <n v="16"/>
    <n v="37.5"/>
    <s v="Yes"/>
    <n v="41"/>
    <s v="Man"/>
    <s v="Single"/>
    <x v="0"/>
    <n v="23"/>
    <s v="Certificate or Diploma"/>
    <s v="Life Sciences"/>
    <n v="3"/>
    <n v="0"/>
    <n v="21"/>
    <n v="2"/>
    <n v="2"/>
    <n v="0"/>
    <n v="0"/>
    <n v="2"/>
    <x v="0"/>
    <d v="2023-10-07T00:00:00"/>
    <x v="0"/>
    <s v="Voluntary"/>
    <x v="0"/>
    <x v="0"/>
    <x v="0"/>
    <x v="0"/>
    <x v="0"/>
  </r>
  <r>
    <x v="1202"/>
    <s v="No"/>
    <x v="1"/>
    <s v="Sales Representative"/>
    <x v="0"/>
    <x v="1"/>
    <n v="5"/>
    <n v="56736"/>
    <n v="11"/>
    <n v="37.5"/>
    <s v="No"/>
    <n v="20"/>
    <s v="Man"/>
    <s v="Single"/>
    <x v="0"/>
    <n v="9"/>
    <s v="Trades Apprenticeship"/>
    <s v="Life Sciences"/>
    <n v="3"/>
    <n v="0"/>
    <n v="2"/>
    <n v="3"/>
    <n v="2"/>
    <n v="2"/>
    <n v="0"/>
    <n v="2"/>
    <x v="0"/>
    <d v="2025-02-10T00:00:00"/>
    <x v="1"/>
    <s v="Involuntary"/>
    <x v="0"/>
    <x v="2"/>
    <x v="3"/>
    <x v="0"/>
    <x v="6"/>
  </r>
  <r>
    <x v="1203"/>
    <s v="No"/>
    <x v="1"/>
    <s v="Healthcare Representative"/>
    <x v="0"/>
    <x v="0"/>
    <n v="7"/>
    <n v="76164"/>
    <n v="14"/>
    <n v="37.5"/>
    <s v="No"/>
    <n v="36"/>
    <s v="Man"/>
    <s v="Married"/>
    <x v="0"/>
    <n v="26"/>
    <s v="Master's Degree"/>
    <s v="Life Sciences"/>
    <n v="3"/>
    <n v="2"/>
    <n v="10"/>
    <n v="2"/>
    <n v="3"/>
    <n v="2"/>
    <n v="0"/>
    <n v="2"/>
    <x v="1"/>
    <d v="2025-04-05T00:00:00"/>
    <x v="1"/>
    <s v="Voluntary"/>
    <x v="3"/>
    <x v="0"/>
    <x v="2"/>
    <x v="1"/>
    <x v="8"/>
  </r>
  <r>
    <x v="1204"/>
    <s v="No"/>
    <x v="1"/>
    <s v="Healthcare Representative"/>
    <x v="0"/>
    <x v="0"/>
    <n v="9"/>
    <n v="128580"/>
    <n v="13"/>
    <n v="37.5"/>
    <s v="No"/>
    <n v="29"/>
    <s v="Woman"/>
    <s v="Married"/>
    <x v="0"/>
    <n v="8"/>
    <s v="Trades Apprenticeship"/>
    <s v="Other"/>
    <n v="3"/>
    <n v="1"/>
    <n v="9"/>
    <n v="3"/>
    <n v="7"/>
    <n v="7"/>
    <n v="0"/>
    <n v="7"/>
    <x v="1"/>
    <d v="2024-03-18T00:00:00"/>
    <x v="1"/>
    <s v="Involuntary"/>
    <x v="2"/>
    <x v="2"/>
    <x v="1"/>
    <x v="0"/>
    <x v="2"/>
  </r>
  <r>
    <x v="1205"/>
    <s v="No"/>
    <x v="1"/>
    <s v="Healthcare Representative"/>
    <x v="0"/>
    <x v="0"/>
    <n v="8"/>
    <n v="96060"/>
    <n v="15"/>
    <n v="37.5"/>
    <s v="No"/>
    <n v="53"/>
    <s v="Man"/>
    <s v="Married"/>
    <x v="0"/>
    <n v="24"/>
    <s v="Master's Degree"/>
    <s v="Medical"/>
    <n v="3"/>
    <n v="0"/>
    <n v="11"/>
    <n v="2"/>
    <n v="4"/>
    <n v="3"/>
    <n v="1"/>
    <n v="2"/>
    <x v="1"/>
    <d v="2022-03-25T00:00:00"/>
    <x v="0"/>
    <s v="Involuntary"/>
    <x v="1"/>
    <x v="1"/>
    <x v="1"/>
    <x v="0"/>
    <x v="4"/>
  </r>
  <r>
    <x v="1206"/>
    <s v="No"/>
    <x v="1"/>
    <s v="Laboratory Technician"/>
    <x v="0"/>
    <x v="0"/>
    <n v="4"/>
    <n v="54840"/>
    <n v="20"/>
    <n v="37.5"/>
    <s v="No"/>
    <n v="26"/>
    <s v="Man"/>
    <s v="Single"/>
    <x v="2"/>
    <n v="7"/>
    <s v="Bachelor's Degree"/>
    <s v="Medical"/>
    <n v="4"/>
    <n v="0"/>
    <n v="7"/>
    <n v="5"/>
    <n v="7"/>
    <n v="7"/>
    <n v="5"/>
    <n v="7"/>
    <x v="1"/>
    <d v="2025-11-30T00:00:00"/>
    <x v="1"/>
    <s v="Involuntary"/>
    <x v="0"/>
    <x v="1"/>
    <x v="1"/>
    <x v="0"/>
    <x v="0"/>
  </r>
  <r>
    <x v="1207"/>
    <s v="No"/>
    <x v="1"/>
    <s v="Sales Executive"/>
    <x v="0"/>
    <x v="1"/>
    <n v="9"/>
    <n v="128856"/>
    <n v="14"/>
    <n v="37.5"/>
    <s v="No"/>
    <n v="36"/>
    <s v="Woman"/>
    <s v="Married"/>
    <x v="1"/>
    <n v="11"/>
    <s v="Certificate or Diploma"/>
    <s v="Technical Degree"/>
    <n v="3"/>
    <n v="1"/>
    <n v="10"/>
    <n v="6"/>
    <n v="9"/>
    <n v="7"/>
    <n v="2"/>
    <n v="8"/>
    <x v="1"/>
    <d v="2023-12-26T00:00:00"/>
    <x v="0"/>
    <s v="Voluntary"/>
    <x v="1"/>
    <x v="1"/>
    <x v="1"/>
    <x v="0"/>
    <x v="4"/>
  </r>
  <r>
    <x v="1208"/>
    <s v="No"/>
    <x v="1"/>
    <s v="Compensation Analyst"/>
    <x v="0"/>
    <x v="2"/>
    <n v="9"/>
    <n v="129072"/>
    <n v="21"/>
    <n v="37.5"/>
    <s v="No"/>
    <n v="45"/>
    <s v="Woman"/>
    <s v="Married"/>
    <x v="0"/>
    <n v="4"/>
    <s v="Bachelor's Degree"/>
    <s v="Life Sciences"/>
    <n v="4"/>
    <n v="2"/>
    <n v="9"/>
    <n v="2"/>
    <n v="5"/>
    <n v="0"/>
    <n v="0"/>
    <n v="3"/>
    <x v="1"/>
    <d v="2023-12-21T00:00:00"/>
    <x v="0"/>
    <s v="Voluntary"/>
    <x v="2"/>
    <x v="0"/>
    <x v="1"/>
    <x v="2"/>
    <x v="5"/>
  </r>
  <r>
    <x v="1209"/>
    <s v="No"/>
    <x v="1"/>
    <s v="Research Scientist"/>
    <x v="0"/>
    <x v="0"/>
    <n v="6"/>
    <n v="66444"/>
    <n v="12"/>
    <n v="37.5"/>
    <s v="No"/>
    <n v="55"/>
    <s v="Man"/>
    <s v="Divorced"/>
    <x v="0"/>
    <n v="22"/>
    <s v="Bachelor's Degree"/>
    <s v="Technical Degree"/>
    <n v="3"/>
    <n v="1"/>
    <n v="8"/>
    <n v="1"/>
    <n v="4"/>
    <n v="2"/>
    <n v="1"/>
    <n v="2"/>
    <x v="1"/>
    <d v="2025-12-21T00:00:00"/>
    <x v="1"/>
    <s v="Involuntary"/>
    <x v="3"/>
    <x v="3"/>
    <x v="0"/>
    <x v="0"/>
    <x v="2"/>
  </r>
  <r>
    <x v="1210"/>
    <s v="No"/>
    <x v="1"/>
    <s v="Healthcare Representative"/>
    <x v="0"/>
    <x v="0"/>
    <n v="9"/>
    <n v="129888"/>
    <n v="19"/>
    <n v="37.5"/>
    <s v="No"/>
    <n v="38"/>
    <s v="Woman"/>
    <s v="Married"/>
    <x v="0"/>
    <n v="10"/>
    <s v="Bachelor's Degree"/>
    <s v="Medical"/>
    <n v="3"/>
    <n v="1"/>
    <n v="18"/>
    <n v="4"/>
    <n v="1"/>
    <n v="0"/>
    <n v="0"/>
    <n v="0"/>
    <x v="0"/>
    <d v="2025-12-17T00:00:00"/>
    <x v="1"/>
    <s v="Involuntary"/>
    <x v="2"/>
    <x v="0"/>
    <x v="1"/>
    <x v="0"/>
    <x v="4"/>
  </r>
  <r>
    <x v="1211"/>
    <s v="No"/>
    <x v="1"/>
    <s v="Sales Executive"/>
    <x v="0"/>
    <x v="1"/>
    <n v="9"/>
    <n v="130224"/>
    <n v="19"/>
    <n v="37.5"/>
    <s v="Yes"/>
    <n v="31"/>
    <s v="Woman"/>
    <s v="Divorced"/>
    <x v="2"/>
    <n v="2"/>
    <s v="Master's Degree"/>
    <s v="Life Sciences"/>
    <n v="3"/>
    <n v="1"/>
    <n v="10"/>
    <n v="5"/>
    <n v="10"/>
    <n v="8"/>
    <n v="9"/>
    <n v="6"/>
    <x v="2"/>
    <d v="2023-02-13T00:00:00"/>
    <x v="0"/>
    <s v="Involuntary"/>
    <x v="0"/>
    <x v="0"/>
    <x v="3"/>
    <x v="1"/>
    <x v="2"/>
  </r>
  <r>
    <x v="1212"/>
    <s v="No"/>
    <x v="1"/>
    <s v="Laboratory Technician"/>
    <x v="0"/>
    <x v="0"/>
    <n v="7"/>
    <n v="71832"/>
    <n v="14"/>
    <n v="37.5"/>
    <s v="No"/>
    <n v="34"/>
    <s v="Man"/>
    <s v="Married"/>
    <x v="0"/>
    <n v="5"/>
    <s v="Certificate or Diploma"/>
    <s v="Medical"/>
    <n v="3"/>
    <n v="1"/>
    <n v="15"/>
    <n v="3"/>
    <n v="15"/>
    <n v="10"/>
    <n v="4"/>
    <n v="13"/>
    <x v="2"/>
    <d v="2022-11-12T00:00:00"/>
    <x v="0"/>
    <s v="Voluntary"/>
    <x v="1"/>
    <x v="1"/>
    <x v="1"/>
    <x v="2"/>
    <x v="5"/>
  </r>
  <r>
    <x v="1213"/>
    <s v="No"/>
    <x v="1"/>
    <s v="Healthcare Representative"/>
    <x v="0"/>
    <x v="0"/>
    <n v="10"/>
    <n v="142596"/>
    <n v="20"/>
    <n v="37.5"/>
    <s v="No"/>
    <n v="60"/>
    <s v="Man"/>
    <s v="Divorced"/>
    <x v="0"/>
    <n v="1"/>
    <s v="Master's Degree"/>
    <s v="Medical"/>
    <n v="4"/>
    <n v="1"/>
    <n v="19"/>
    <n v="2"/>
    <n v="1"/>
    <n v="0"/>
    <n v="0"/>
    <n v="0"/>
    <x v="0"/>
    <d v="2023-03-10T00:00:00"/>
    <x v="0"/>
    <s v="Voluntary"/>
    <x v="2"/>
    <x v="1"/>
    <x v="1"/>
    <x v="2"/>
    <x v="0"/>
  </r>
  <r>
    <x v="1214"/>
    <s v="No"/>
    <x v="1"/>
    <s v="Laboratory Technician"/>
    <x v="0"/>
    <x v="0"/>
    <n v="3"/>
    <n v="48336"/>
    <n v="18"/>
    <n v="37.5"/>
    <s v="No"/>
    <n v="33"/>
    <s v="Man"/>
    <s v="Married"/>
    <x v="0"/>
    <n v="21"/>
    <s v="Bachelor's Degree"/>
    <s v="Medical"/>
    <n v="3"/>
    <n v="3"/>
    <n v="14"/>
    <n v="6"/>
    <n v="14"/>
    <n v="11"/>
    <n v="2"/>
    <n v="13"/>
    <x v="2"/>
    <d v="2023-03-12T00:00:00"/>
    <x v="0"/>
    <s v="Voluntary"/>
    <x v="1"/>
    <x v="3"/>
    <x v="0"/>
    <x v="0"/>
    <x v="1"/>
  </r>
  <r>
    <x v="1215"/>
    <s v="No"/>
    <x v="1"/>
    <s v="Sales Executive"/>
    <x v="0"/>
    <x v="1"/>
    <n v="9"/>
    <n v="126300"/>
    <n v="14"/>
    <n v="37.5"/>
    <s v="No"/>
    <n v="37"/>
    <s v="Man"/>
    <s v="Divorced"/>
    <x v="1"/>
    <n v="1"/>
    <s v="Master's Degree"/>
    <s v="Medical"/>
    <n v="3"/>
    <n v="2"/>
    <n v="6"/>
    <n v="2"/>
    <n v="6"/>
    <n v="3"/>
    <n v="1"/>
    <n v="3"/>
    <x v="1"/>
    <d v="2025-12-01T00:00:00"/>
    <x v="1"/>
    <s v="Involuntary"/>
    <x v="2"/>
    <x v="1"/>
    <x v="1"/>
    <x v="1"/>
    <x v="4"/>
  </r>
  <r>
    <x v="1216"/>
    <s v="No"/>
    <x v="1"/>
    <s v="Research Scientist"/>
    <x v="0"/>
    <x v="0"/>
    <n v="7"/>
    <n v="71160"/>
    <n v="14"/>
    <n v="37.5"/>
    <s v="Yes"/>
    <n v="35"/>
    <s v="Man"/>
    <s v="Single"/>
    <x v="1"/>
    <n v="2"/>
    <s v="Master's Degree"/>
    <s v="Medical"/>
    <n v="3"/>
    <n v="0"/>
    <n v="6"/>
    <n v="2"/>
    <n v="5"/>
    <n v="4"/>
    <n v="1"/>
    <n v="4"/>
    <x v="1"/>
    <d v="2024-01-16T00:00:00"/>
    <x v="1"/>
    <s v="Involuntary"/>
    <x v="3"/>
    <x v="1"/>
    <x v="1"/>
    <x v="2"/>
    <x v="4"/>
  </r>
  <r>
    <x v="1217"/>
    <s v="No"/>
    <x v="1"/>
    <s v="Manufacturing Director"/>
    <x v="1"/>
    <x v="0"/>
    <n v="9"/>
    <n v="131760"/>
    <n v="11"/>
    <n v="37.5"/>
    <s v="No"/>
    <n v="29"/>
    <s v="Woman"/>
    <s v="Divorced"/>
    <x v="0"/>
    <n v="21"/>
    <s v="Master's Degree"/>
    <s v="Life Sciences"/>
    <n v="3"/>
    <n v="1"/>
    <n v="10"/>
    <n v="1"/>
    <n v="10"/>
    <n v="9"/>
    <n v="8"/>
    <n v="8"/>
    <x v="2"/>
    <d v="2025-01-03T00:00:00"/>
    <x v="1"/>
    <s v="Involuntary"/>
    <x v="1"/>
    <x v="2"/>
    <x v="1"/>
    <x v="0"/>
    <x v="6"/>
  </r>
  <r>
    <x v="1218"/>
    <s v="No"/>
    <x v="1"/>
    <s v="Sales Executive"/>
    <x v="0"/>
    <x v="1"/>
    <n v="9"/>
    <n v="106164"/>
    <n v="17"/>
    <n v="37.5"/>
    <s v="Yes"/>
    <n v="43"/>
    <s v="Man"/>
    <s v="Married"/>
    <x v="0"/>
    <n v="2"/>
    <s v="Bachelor's Degree"/>
    <s v="Medical"/>
    <n v="3"/>
    <n v="1"/>
    <n v="10"/>
    <n v="3"/>
    <n v="10"/>
    <n v="9"/>
    <n v="8"/>
    <n v="8"/>
    <x v="2"/>
    <d v="2025-07-28T00:00:00"/>
    <x v="1"/>
    <s v="Involuntary"/>
    <x v="0"/>
    <x v="1"/>
    <x v="3"/>
    <x v="0"/>
    <x v="4"/>
  </r>
  <r>
    <x v="1219"/>
    <s v="No"/>
    <x v="1"/>
    <s v="Sales Executive"/>
    <x v="0"/>
    <x v="1"/>
    <n v="9"/>
    <n v="131772"/>
    <n v="14"/>
    <n v="37.5"/>
    <s v="No"/>
    <n v="27"/>
    <s v="Woman"/>
    <s v="Single"/>
    <x v="1"/>
    <n v="20"/>
    <s v="Bachelor's Degree"/>
    <s v="Life Sciences"/>
    <n v="3"/>
    <n v="0"/>
    <n v="7"/>
    <n v="2"/>
    <n v="7"/>
    <n v="7"/>
    <n v="0"/>
    <n v="7"/>
    <x v="1"/>
    <d v="2023-06-18T00:00:00"/>
    <x v="0"/>
    <s v="Involuntary"/>
    <x v="0"/>
    <x v="0"/>
    <x v="0"/>
    <x v="0"/>
    <x v="0"/>
  </r>
  <r>
    <x v="1220"/>
    <s v="No"/>
    <x v="1"/>
    <s v="Healthcare Representative"/>
    <x v="0"/>
    <x v="0"/>
    <n v="9"/>
    <n v="131820"/>
    <n v="16"/>
    <n v="37.5"/>
    <s v="No"/>
    <n v="43"/>
    <s v="Woman"/>
    <s v="Married"/>
    <x v="0"/>
    <n v="7"/>
    <s v="Bachelor's Degree"/>
    <s v="Life Sciences"/>
    <n v="3"/>
    <n v="1"/>
    <n v="10"/>
    <n v="1"/>
    <n v="1"/>
    <n v="0"/>
    <n v="0"/>
    <n v="0"/>
    <x v="0"/>
    <d v="2025-05-16T00:00:00"/>
    <x v="1"/>
    <s v="Involuntary"/>
    <x v="2"/>
    <x v="2"/>
    <x v="3"/>
    <x v="1"/>
    <x v="3"/>
  </r>
  <r>
    <x v="1221"/>
    <s v="No"/>
    <x v="1"/>
    <s v="Research Scientist"/>
    <x v="0"/>
    <x v="0"/>
    <n v="6"/>
    <n v="64812"/>
    <n v="16"/>
    <n v="37.5"/>
    <s v="No"/>
    <n v="24"/>
    <s v="Man"/>
    <s v="Married"/>
    <x v="0"/>
    <n v="9"/>
    <s v="Bachelor's Degree"/>
    <s v="Medical"/>
    <n v="3"/>
    <n v="1"/>
    <n v="5"/>
    <n v="1"/>
    <n v="5"/>
    <n v="3"/>
    <n v="0"/>
    <n v="4"/>
    <x v="1"/>
    <d v="2025-12-23T00:00:00"/>
    <x v="1"/>
    <s v="Voluntary"/>
    <x v="2"/>
    <x v="0"/>
    <x v="0"/>
    <x v="0"/>
    <x v="5"/>
  </r>
  <r>
    <x v="1222"/>
    <s v="No"/>
    <x v="1"/>
    <s v="Sales Executive"/>
    <x v="0"/>
    <x v="1"/>
    <n v="9"/>
    <n v="122892"/>
    <n v="12"/>
    <n v="37.5"/>
    <s v="No"/>
    <n v="41"/>
    <s v="Man"/>
    <s v="Single"/>
    <x v="0"/>
    <n v="6"/>
    <s v="Bachelor's Degree"/>
    <s v="Marketing"/>
    <n v="3"/>
    <n v="0"/>
    <n v="10"/>
    <n v="3"/>
    <n v="10"/>
    <n v="8"/>
    <n v="8"/>
    <n v="7"/>
    <x v="2"/>
    <d v="2025-05-31T00:00:00"/>
    <x v="1"/>
    <s v="Involuntary"/>
    <x v="0"/>
    <x v="0"/>
    <x v="2"/>
    <x v="0"/>
    <x v="4"/>
  </r>
  <r>
    <x v="1223"/>
    <s v="No"/>
    <x v="1"/>
    <s v="Healthcare Representative"/>
    <x v="0"/>
    <x v="0"/>
    <n v="10"/>
    <n v="140976"/>
    <n v="23"/>
    <n v="37.5"/>
    <s v="No"/>
    <n v="45"/>
    <s v="Man"/>
    <s v="Married"/>
    <x v="2"/>
    <n v="1"/>
    <s v="Trades Apprenticeship"/>
    <s v="Life Sciences"/>
    <n v="4"/>
    <n v="1"/>
    <n v="25"/>
    <n v="3"/>
    <n v="23"/>
    <n v="15"/>
    <n v="14"/>
    <n v="4"/>
    <x v="2"/>
    <d v="2023-08-05T00:00:00"/>
    <x v="0"/>
    <s v="Involuntary"/>
    <x v="2"/>
    <x v="0"/>
    <x v="0"/>
    <x v="1"/>
    <x v="4"/>
  </r>
  <r>
    <x v="1224"/>
    <s v="No"/>
    <x v="1"/>
    <s v="Healthcare Representative"/>
    <x v="0"/>
    <x v="0"/>
    <n v="9"/>
    <n v="133152"/>
    <n v="13"/>
    <n v="37.5"/>
    <s v="No"/>
    <n v="36"/>
    <s v="Woman"/>
    <s v="Divorced"/>
    <x v="0"/>
    <n v="8"/>
    <s v="Bachelor's Degree"/>
    <s v="Technical Degree"/>
    <n v="3"/>
    <n v="3"/>
    <n v="17"/>
    <n v="2"/>
    <n v="17"/>
    <n v="14"/>
    <n v="12"/>
    <n v="8"/>
    <x v="2"/>
    <d v="2022-09-05T00:00:00"/>
    <x v="0"/>
    <s v="Voluntary"/>
    <x v="2"/>
    <x v="0"/>
    <x v="2"/>
    <x v="0"/>
    <x v="1"/>
  </r>
  <r>
    <x v="1225"/>
    <s v="No"/>
    <x v="1"/>
    <s v="Laboratory Technician"/>
    <x v="0"/>
    <x v="0"/>
    <n v="4"/>
    <n v="51660"/>
    <n v="15"/>
    <n v="37.5"/>
    <s v="No"/>
    <n v="26"/>
    <s v="Man"/>
    <s v="Married"/>
    <x v="0"/>
    <n v="17"/>
    <s v="Master's Degree"/>
    <s v="Medical"/>
    <n v="3"/>
    <n v="3"/>
    <n v="3"/>
    <n v="3"/>
    <n v="3"/>
    <n v="2"/>
    <n v="0"/>
    <n v="2"/>
    <x v="1"/>
    <d v="2022-04-20T00:00:00"/>
    <x v="0"/>
    <s v="Involuntary"/>
    <x v="0"/>
    <x v="0"/>
    <x v="1"/>
    <x v="2"/>
    <x v="0"/>
  </r>
  <r>
    <x v="1226"/>
    <s v="No"/>
    <x v="1"/>
    <s v="Research Scientist"/>
    <x v="0"/>
    <x v="0"/>
    <n v="6"/>
    <n v="65196"/>
    <n v="13"/>
    <n v="37.5"/>
    <s v="No"/>
    <n v="32"/>
    <s v="Man"/>
    <s v="Married"/>
    <x v="1"/>
    <n v="10"/>
    <s v="Bachelor's Degree"/>
    <s v="Life Sciences"/>
    <n v="3"/>
    <n v="1"/>
    <n v="10"/>
    <n v="3"/>
    <n v="5"/>
    <n v="2"/>
    <n v="1"/>
    <n v="3"/>
    <x v="1"/>
    <d v="2025-12-14T00:00:00"/>
    <x v="1"/>
    <s v="Involuntary"/>
    <x v="3"/>
    <x v="0"/>
    <x v="3"/>
    <x v="1"/>
    <x v="3"/>
  </r>
  <r>
    <x v="1227"/>
    <s v="No"/>
    <x v="1"/>
    <s v="Sales Executive"/>
    <x v="0"/>
    <x v="1"/>
    <n v="9"/>
    <n v="134772"/>
    <n v="14"/>
    <n v="37.5"/>
    <s v="No"/>
    <n v="43"/>
    <s v="Woman"/>
    <s v="Single"/>
    <x v="0"/>
    <n v="4"/>
    <s v="Master's Degree"/>
    <s v="Marketing"/>
    <n v="3"/>
    <n v="0"/>
    <n v="23"/>
    <n v="3"/>
    <n v="21"/>
    <n v="7"/>
    <n v="15"/>
    <n v="17"/>
    <x v="2"/>
    <d v="2023-04-13T00:00:00"/>
    <x v="0"/>
    <s v="Voluntary"/>
    <x v="0"/>
    <x v="1"/>
    <x v="0"/>
    <x v="2"/>
    <x v="12"/>
  </r>
  <r>
    <x v="1228"/>
    <s v="No"/>
    <x v="1"/>
    <s v="Laboratory Technician"/>
    <x v="0"/>
    <x v="0"/>
    <n v="6"/>
    <n v="65724"/>
    <n v="14"/>
    <n v="37.5"/>
    <s v="No"/>
    <n v="31"/>
    <s v="Man"/>
    <s v="Married"/>
    <x v="0"/>
    <n v="2"/>
    <s v="Master's Degree"/>
    <s v="Life Sciences"/>
    <n v="3"/>
    <n v="1"/>
    <n v="6"/>
    <n v="2"/>
    <n v="5"/>
    <n v="2"/>
    <n v="0"/>
    <n v="3"/>
    <x v="1"/>
    <d v="2025-05-05T00:00:00"/>
    <x v="1"/>
    <s v="Voluntary"/>
    <x v="1"/>
    <x v="0"/>
    <x v="0"/>
    <x v="2"/>
    <x v="5"/>
  </r>
  <r>
    <x v="1229"/>
    <s v="No"/>
    <x v="1"/>
    <s v="Healthcare Representative"/>
    <x v="0"/>
    <x v="0"/>
    <n v="9"/>
    <n v="134976"/>
    <n v="14"/>
    <n v="37.5"/>
    <s v="No"/>
    <n v="44"/>
    <s v="Woman"/>
    <s v="Married"/>
    <x v="0"/>
    <n v="7"/>
    <s v="Master's Degree"/>
    <s v="Medical"/>
    <n v="3"/>
    <n v="1"/>
    <n v="24"/>
    <n v="4"/>
    <n v="22"/>
    <n v="6"/>
    <n v="5"/>
    <n v="17"/>
    <x v="2"/>
    <d v="2024-09-28T00:00:00"/>
    <x v="1"/>
    <s v="Involuntary"/>
    <x v="3"/>
    <x v="1"/>
    <x v="0"/>
    <x v="0"/>
    <x v="4"/>
  </r>
  <r>
    <x v="1230"/>
    <s v="No"/>
    <x v="1"/>
    <s v="Manufacturing Director"/>
    <x v="1"/>
    <x v="0"/>
    <n v="9"/>
    <n v="135024"/>
    <n v="21"/>
    <n v="37.5"/>
    <s v="Yes"/>
    <n v="36"/>
    <s v="Woman"/>
    <s v="Divorced"/>
    <x v="0"/>
    <n v="1"/>
    <s v="Bachelor's Degree"/>
    <s v="Technical Degree"/>
    <n v="4"/>
    <n v="1"/>
    <n v="17"/>
    <n v="2"/>
    <n v="7"/>
    <n v="7"/>
    <n v="7"/>
    <n v="7"/>
    <x v="1"/>
    <d v="2023-06-25T00:00:00"/>
    <x v="0"/>
    <s v="Voluntary"/>
    <x v="2"/>
    <x v="2"/>
    <x v="1"/>
    <x v="0"/>
    <x v="2"/>
  </r>
  <r>
    <x v="1231"/>
    <s v="No"/>
    <x v="1"/>
    <s v="Sales Executive"/>
    <x v="0"/>
    <x v="1"/>
    <n v="9"/>
    <n v="135192"/>
    <n v="19"/>
    <n v="37.5"/>
    <s v="No"/>
    <n v="60"/>
    <s v="Woman"/>
    <s v="Married"/>
    <x v="1"/>
    <n v="28"/>
    <s v="Bachelor's Degree"/>
    <s v="Marketing"/>
    <n v="3"/>
    <n v="0"/>
    <n v="22"/>
    <n v="5"/>
    <n v="18"/>
    <n v="13"/>
    <n v="13"/>
    <n v="11"/>
    <x v="2"/>
    <d v="2024-01-24T00:00:00"/>
    <x v="1"/>
    <s v="Involuntary"/>
    <x v="2"/>
    <x v="2"/>
    <x v="0"/>
    <x v="2"/>
    <x v="4"/>
  </r>
  <r>
    <x v="1232"/>
    <s v="No"/>
    <x v="1"/>
    <s v="HR Business Partner"/>
    <x v="0"/>
    <x v="2"/>
    <n v="8"/>
    <n v="89160"/>
    <n v="19"/>
    <n v="37.5"/>
    <s v="No"/>
    <n v="41"/>
    <s v="Man"/>
    <s v="Married"/>
    <x v="2"/>
    <n v="4"/>
    <s v="Bachelor's Degree"/>
    <s v="Human Resources"/>
    <n v="3"/>
    <n v="1"/>
    <n v="10"/>
    <n v="4"/>
    <n v="3"/>
    <n v="2"/>
    <n v="1"/>
    <n v="2"/>
    <x v="1"/>
    <d v="2025-08-14T00:00:00"/>
    <x v="1"/>
    <s v="Voluntary"/>
    <x v="2"/>
    <x v="3"/>
    <x v="2"/>
    <x v="0"/>
    <x v="2"/>
  </r>
  <r>
    <x v="1233"/>
    <s v="No"/>
    <x v="1"/>
    <s v="Laboratory Technician"/>
    <x v="0"/>
    <x v="0"/>
    <n v="7"/>
    <n v="70884"/>
    <n v="13"/>
    <n v="37.5"/>
    <s v="No"/>
    <n v="24"/>
    <s v="Man"/>
    <s v="Divorced"/>
    <x v="0"/>
    <n v="29"/>
    <s v="Trades Apprenticeship"/>
    <s v="Medical"/>
    <n v="3"/>
    <n v="3"/>
    <n v="6"/>
    <n v="2"/>
    <n v="6"/>
    <n v="2"/>
    <n v="1"/>
    <n v="2"/>
    <x v="1"/>
    <d v="2025-07-30T00:00:00"/>
    <x v="1"/>
    <s v="Voluntary"/>
    <x v="1"/>
    <x v="2"/>
    <x v="2"/>
    <x v="2"/>
    <x v="6"/>
  </r>
  <r>
    <x v="1234"/>
    <s v="No"/>
    <x v="1"/>
    <s v="Healthcare Representative"/>
    <x v="0"/>
    <x v="0"/>
    <n v="7"/>
    <n v="78744"/>
    <n v="14"/>
    <n v="37.5"/>
    <s v="No"/>
    <n v="46"/>
    <s v="Man"/>
    <s v="Single"/>
    <x v="0"/>
    <n v="13"/>
    <s v="Master's Degree"/>
    <s v="Life Sciences"/>
    <n v="3"/>
    <n v="0"/>
    <n v="19"/>
    <n v="3"/>
    <n v="10"/>
    <n v="7"/>
    <n v="0"/>
    <n v="9"/>
    <x v="2"/>
    <d v="2024-11-01T00:00:00"/>
    <x v="1"/>
    <s v="Voluntary"/>
    <x v="2"/>
    <x v="3"/>
    <x v="0"/>
    <x v="0"/>
    <x v="4"/>
  </r>
  <r>
    <x v="1235"/>
    <s v="No"/>
    <x v="1"/>
    <s v="Manufacturing Director"/>
    <x v="1"/>
    <x v="0"/>
    <n v="8"/>
    <n v="94596"/>
    <n v="16"/>
    <n v="37.5"/>
    <s v="No"/>
    <n v="35"/>
    <s v="Man"/>
    <s v="Married"/>
    <x v="0"/>
    <n v="27"/>
    <s v="Master's Degree"/>
    <s v="Life Sciences"/>
    <n v="3"/>
    <n v="1"/>
    <n v="17"/>
    <n v="3"/>
    <n v="7"/>
    <n v="7"/>
    <n v="0"/>
    <n v="7"/>
    <x v="1"/>
    <d v="2024-03-30T00:00:00"/>
    <x v="1"/>
    <s v="Involuntary"/>
    <x v="0"/>
    <x v="0"/>
    <x v="2"/>
    <x v="0"/>
    <x v="4"/>
  </r>
  <r>
    <x v="1236"/>
    <s v="No"/>
    <x v="1"/>
    <s v="Manufacturing Director"/>
    <x v="1"/>
    <x v="0"/>
    <n v="9"/>
    <n v="135996"/>
    <n v="12"/>
    <n v="37.5"/>
    <s v="Yes"/>
    <n v="47"/>
    <s v="Woman"/>
    <s v="Divorced"/>
    <x v="0"/>
    <n v="4"/>
    <s v="Bachelor's Degree"/>
    <s v="Life Sciences"/>
    <n v="3"/>
    <n v="1"/>
    <n v="28"/>
    <n v="4"/>
    <n v="22"/>
    <n v="11"/>
    <n v="14"/>
    <n v="10"/>
    <x v="2"/>
    <d v="2025-06-04T00:00:00"/>
    <x v="1"/>
    <s v="Voluntary"/>
    <x v="2"/>
    <x v="3"/>
    <x v="1"/>
    <x v="0"/>
    <x v="1"/>
  </r>
  <r>
    <x v="1237"/>
    <s v="No"/>
    <x v="1"/>
    <s v="Research Scientist"/>
    <x v="0"/>
    <x v="0"/>
    <n v="5"/>
    <n v="58344"/>
    <n v="12"/>
    <n v="37.5"/>
    <s v="No"/>
    <n v="30"/>
    <s v="Man"/>
    <s v="Married"/>
    <x v="0"/>
    <n v="16"/>
    <s v="Trades Apprenticeship"/>
    <s v="Life Sciences"/>
    <n v="3"/>
    <n v="1"/>
    <n v="10"/>
    <n v="2"/>
    <n v="10"/>
    <n v="0"/>
    <n v="0"/>
    <n v="8"/>
    <x v="2"/>
    <d v="2024-06-04T00:00:00"/>
    <x v="1"/>
    <s v="Involuntary"/>
    <x v="1"/>
    <x v="1"/>
    <x v="2"/>
    <x v="1"/>
    <x v="2"/>
  </r>
  <r>
    <x v="1238"/>
    <s v="No"/>
    <x v="1"/>
    <s v="Sales Executive"/>
    <x v="0"/>
    <x v="1"/>
    <n v="9"/>
    <n v="136524"/>
    <n v="11"/>
    <n v="37.5"/>
    <s v="Yes"/>
    <n v="35"/>
    <s v="Woman"/>
    <s v="Married"/>
    <x v="2"/>
    <n v="8"/>
    <s v="Certificate or Diploma"/>
    <s v="Marketing"/>
    <n v="3"/>
    <n v="1"/>
    <n v="16"/>
    <n v="6"/>
    <n v="13"/>
    <n v="2"/>
    <n v="4"/>
    <n v="12"/>
    <x v="2"/>
    <d v="2024-03-29T00:00:00"/>
    <x v="1"/>
    <s v="Voluntary"/>
    <x v="2"/>
    <x v="1"/>
    <x v="2"/>
    <x v="1"/>
    <x v="1"/>
  </r>
  <r>
    <x v="1239"/>
    <s v="No"/>
    <x v="1"/>
    <s v="Healthcare Representative"/>
    <x v="0"/>
    <x v="0"/>
    <n v="9"/>
    <n v="136656"/>
    <n v="11"/>
    <n v="37.5"/>
    <s v="Yes"/>
    <n v="35"/>
    <s v="Woman"/>
    <s v="Divorced"/>
    <x v="0"/>
    <n v="25"/>
    <s v="Master's Degree"/>
    <s v="Medical"/>
    <n v="3"/>
    <n v="1"/>
    <n v="16"/>
    <n v="3"/>
    <n v="16"/>
    <n v="10"/>
    <n v="10"/>
    <n v="1"/>
    <x v="2"/>
    <d v="2022-04-19T00:00:00"/>
    <x v="0"/>
    <s v="Voluntary"/>
    <x v="2"/>
    <x v="0"/>
    <x v="1"/>
    <x v="1"/>
    <x v="1"/>
  </r>
  <r>
    <x v="1240"/>
    <s v="No"/>
    <x v="1"/>
    <s v="Sales Executive"/>
    <x v="0"/>
    <x v="1"/>
    <n v="7"/>
    <n v="71736"/>
    <n v="11"/>
    <n v="37.5"/>
    <s v="No"/>
    <n v="47"/>
    <s v="Man"/>
    <s v="Married"/>
    <x v="2"/>
    <n v="2"/>
    <s v="Master's Degree"/>
    <s v="Marketing"/>
    <n v="3"/>
    <n v="1"/>
    <n v="4"/>
    <n v="3"/>
    <n v="1"/>
    <n v="0"/>
    <n v="0"/>
    <n v="0"/>
    <x v="0"/>
    <d v="2025-11-06T00:00:00"/>
    <x v="1"/>
    <s v="Voluntary"/>
    <x v="2"/>
    <x v="3"/>
    <x v="0"/>
    <x v="3"/>
    <x v="2"/>
  </r>
  <r>
    <x v="1241"/>
    <s v="No"/>
    <x v="1"/>
    <s v="Sales Executive"/>
    <x v="0"/>
    <x v="1"/>
    <n v="9"/>
    <n v="137064"/>
    <n v="19"/>
    <n v="37.5"/>
    <s v="No"/>
    <n v="32"/>
    <s v="Woman"/>
    <s v="Married"/>
    <x v="0"/>
    <n v="1"/>
    <s v="Master's Degree"/>
    <s v="Marketing"/>
    <n v="3"/>
    <n v="2"/>
    <n v="14"/>
    <n v="3"/>
    <n v="14"/>
    <n v="10"/>
    <n v="5"/>
    <n v="7"/>
    <x v="2"/>
    <d v="2023-07-29T00:00:00"/>
    <x v="0"/>
    <s v="Voluntary"/>
    <x v="2"/>
    <x v="1"/>
    <x v="1"/>
    <x v="0"/>
    <x v="5"/>
  </r>
  <r>
    <x v="1242"/>
    <s v="No"/>
    <x v="1"/>
    <s v="Manufacturing Director"/>
    <x v="1"/>
    <x v="0"/>
    <n v="9"/>
    <n v="137220"/>
    <n v="13"/>
    <n v="37.5"/>
    <s v="No"/>
    <n v="40"/>
    <s v="Woman"/>
    <s v="Married"/>
    <x v="0"/>
    <n v="15"/>
    <s v="Bachelor's Degree"/>
    <s v="Life Sciences"/>
    <n v="3"/>
    <n v="2"/>
    <n v="18"/>
    <n v="2"/>
    <n v="18"/>
    <n v="15"/>
    <n v="14"/>
    <n v="12"/>
    <x v="2"/>
    <d v="2025-12-25T00:00:00"/>
    <x v="1"/>
    <s v="Involuntary"/>
    <x v="3"/>
    <x v="0"/>
    <x v="0"/>
    <x v="0"/>
    <x v="1"/>
  </r>
  <r>
    <x v="1243"/>
    <s v="No"/>
    <x v="1"/>
    <s v="Sales Executive"/>
    <x v="0"/>
    <x v="1"/>
    <n v="9"/>
    <n v="136416"/>
    <n v="12"/>
    <n v="37.5"/>
    <s v="Yes"/>
    <n v="46"/>
    <s v="Man"/>
    <s v="Divorced"/>
    <x v="0"/>
    <n v="2"/>
    <s v="Bachelor's Degree"/>
    <s v="Life Sciences"/>
    <n v="3"/>
    <n v="1"/>
    <n v="13"/>
    <n v="5"/>
    <n v="10"/>
    <n v="6"/>
    <n v="0"/>
    <n v="3"/>
    <x v="2"/>
    <d v="2023-09-03T00:00:00"/>
    <x v="0"/>
    <s v="Voluntary"/>
    <x v="2"/>
    <x v="1"/>
    <x v="2"/>
    <x v="1"/>
    <x v="1"/>
  </r>
  <r>
    <x v="1244"/>
    <s v="No"/>
    <x v="1"/>
    <s v="Sales Executive"/>
    <x v="0"/>
    <x v="1"/>
    <n v="9"/>
    <n v="137364"/>
    <n v="13"/>
    <n v="37.5"/>
    <s v="Yes"/>
    <n v="41"/>
    <s v="Woman"/>
    <s v="Divorced"/>
    <x v="0"/>
    <n v="4"/>
    <s v="Trades Apprenticeship"/>
    <s v="Marketing"/>
    <n v="3"/>
    <n v="1"/>
    <n v="23"/>
    <n v="3"/>
    <n v="22"/>
    <n v="14"/>
    <n v="13"/>
    <n v="5"/>
    <x v="2"/>
    <d v="2025-10-27T00:00:00"/>
    <x v="1"/>
    <s v="Voluntary"/>
    <x v="2"/>
    <x v="0"/>
    <x v="0"/>
    <x v="2"/>
    <x v="0"/>
  </r>
  <r>
    <x v="1245"/>
    <s v="No"/>
    <x v="1"/>
    <s v="Sales Executive"/>
    <x v="0"/>
    <x v="1"/>
    <n v="9"/>
    <n v="137436"/>
    <n v="25"/>
    <n v="37.5"/>
    <s v="No"/>
    <n v="46"/>
    <s v="Woman"/>
    <s v="Divorced"/>
    <x v="0"/>
    <n v="1"/>
    <s v="Certificate or Diploma"/>
    <s v="Marketing"/>
    <n v="4"/>
    <n v="3"/>
    <n v="24"/>
    <n v="2"/>
    <n v="24"/>
    <n v="13"/>
    <n v="15"/>
    <n v="7"/>
    <x v="2"/>
    <d v="2025-11-16T00:00:00"/>
    <x v="1"/>
    <s v="Voluntary"/>
    <x v="1"/>
    <x v="2"/>
    <x v="1"/>
    <x v="0"/>
    <x v="6"/>
  </r>
  <r>
    <x v="1246"/>
    <s v="No"/>
    <x v="1"/>
    <s v="Laboratory Technician"/>
    <x v="0"/>
    <x v="0"/>
    <n v="8"/>
    <n v="89664"/>
    <n v="15"/>
    <n v="37.5"/>
    <s v="Yes"/>
    <n v="39"/>
    <s v="Man"/>
    <s v="Married"/>
    <x v="2"/>
    <n v="1"/>
    <s v="Bachelor's Degree"/>
    <s v="Life Sciences"/>
    <n v="3"/>
    <n v="1"/>
    <n v="9"/>
    <n v="2"/>
    <n v="9"/>
    <n v="8"/>
    <n v="5"/>
    <n v="8"/>
    <x v="1"/>
    <d v="2022-03-13T00:00:00"/>
    <x v="0"/>
    <s v="Involuntary"/>
    <x v="0"/>
    <x v="1"/>
    <x v="0"/>
    <x v="0"/>
    <x v="7"/>
  </r>
  <r>
    <x v="1247"/>
    <s v="No"/>
    <x v="1"/>
    <s v="Sales Executive"/>
    <x v="0"/>
    <x v="1"/>
    <n v="9"/>
    <n v="127320"/>
    <n v="13"/>
    <n v="37.5"/>
    <s v="No"/>
    <n v="32"/>
    <s v="Man"/>
    <s v="Married"/>
    <x v="0"/>
    <n v="19"/>
    <s v="Bachelor's Degree"/>
    <s v="Life Sciences"/>
    <n v="3"/>
    <n v="1"/>
    <n v="10"/>
    <n v="2"/>
    <n v="4"/>
    <n v="3"/>
    <n v="0"/>
    <n v="2"/>
    <x v="1"/>
    <d v="2022-09-27T00:00:00"/>
    <x v="0"/>
    <s v="Voluntary"/>
    <x v="0"/>
    <x v="0"/>
    <x v="1"/>
    <x v="3"/>
    <x v="1"/>
  </r>
  <r>
    <x v="1248"/>
    <s v="No"/>
    <x v="1"/>
    <s v="Manager, Sales"/>
    <x v="1"/>
    <x v="1"/>
    <n v="5"/>
    <n v="249996"/>
    <n v="14"/>
    <n v="37.5"/>
    <s v="No"/>
    <n v="40"/>
    <s v="Man"/>
    <s v="Single"/>
    <x v="0"/>
    <n v="7"/>
    <s v="Master's Degree"/>
    <s v="Medical"/>
    <n v="3"/>
    <n v="0"/>
    <n v="21"/>
    <n v="3"/>
    <n v="21"/>
    <n v="8"/>
    <n v="12"/>
    <n v="8"/>
    <x v="2"/>
    <d v="2024-10-23T00:00:00"/>
    <x v="1"/>
    <s v="Involuntary"/>
    <x v="1"/>
    <x v="3"/>
    <x v="2"/>
    <x v="1"/>
    <x v="8"/>
  </r>
  <r>
    <x v="1249"/>
    <s v="No"/>
    <x v="1"/>
    <s v="Manufacturing Director"/>
    <x v="1"/>
    <x v="0"/>
    <n v="9"/>
    <n v="138024"/>
    <n v="17"/>
    <n v="37.5"/>
    <s v="No"/>
    <n v="54"/>
    <s v="Woman"/>
    <s v="Divorced"/>
    <x v="1"/>
    <n v="1"/>
    <s v="Master's Degree"/>
    <s v="Life Sciences"/>
    <n v="3"/>
    <n v="1"/>
    <n v="33"/>
    <n v="2"/>
    <n v="5"/>
    <n v="4"/>
    <n v="1"/>
    <n v="4"/>
    <x v="1"/>
    <d v="2023-09-16T00:00:00"/>
    <x v="0"/>
    <s v="Involuntary"/>
    <x v="0"/>
    <x v="0"/>
    <x v="3"/>
    <x v="3"/>
    <x v="6"/>
  </r>
  <r>
    <x v="1250"/>
    <s v="No"/>
    <x v="1"/>
    <s v="HR Business Partner"/>
    <x v="0"/>
    <x v="2"/>
    <n v="3"/>
    <n v="49740"/>
    <n v="14"/>
    <n v="37.5"/>
    <s v="No"/>
    <n v="24"/>
    <s v="Man"/>
    <s v="Married"/>
    <x v="1"/>
    <n v="10"/>
    <s v="Bachelor's Degree"/>
    <s v="Medical"/>
    <n v="3"/>
    <n v="1"/>
    <n v="3"/>
    <n v="2"/>
    <n v="2"/>
    <n v="2"/>
    <n v="2"/>
    <n v="1"/>
    <x v="0"/>
    <d v="2025-08-12T00:00:00"/>
    <x v="1"/>
    <s v="Voluntary"/>
    <x v="3"/>
    <x v="1"/>
    <x v="0"/>
    <x v="0"/>
    <x v="4"/>
  </r>
  <r>
    <x v="1251"/>
    <s v="No"/>
    <x v="1"/>
    <s v="Healthcare Representative"/>
    <x v="0"/>
    <x v="0"/>
    <n v="9"/>
    <n v="138324"/>
    <n v="11"/>
    <n v="37.5"/>
    <s v="No"/>
    <n v="46"/>
    <s v="Woman"/>
    <s v="Married"/>
    <x v="1"/>
    <n v="18"/>
    <s v="Trades Apprenticeship"/>
    <s v="Medical"/>
    <n v="3"/>
    <n v="0"/>
    <n v="28"/>
    <n v="3"/>
    <n v="2"/>
    <n v="2"/>
    <n v="1"/>
    <n v="2"/>
    <x v="0"/>
    <d v="2022-08-14T00:00:00"/>
    <x v="0"/>
    <s v="Involuntary"/>
    <x v="3"/>
    <x v="0"/>
    <x v="0"/>
    <x v="1"/>
    <x v="2"/>
  </r>
  <r>
    <x v="1252"/>
    <s v="No"/>
    <x v="1"/>
    <s v="Healthcare Representative"/>
    <x v="0"/>
    <x v="0"/>
    <n v="9"/>
    <n v="138624"/>
    <n v="13"/>
    <n v="37.5"/>
    <s v="Yes"/>
    <n v="58"/>
    <s v="Woman"/>
    <s v="Divorced"/>
    <x v="0"/>
    <n v="5"/>
    <s v="Bachelor's Degree"/>
    <s v="Technical Degree"/>
    <n v="3"/>
    <n v="1"/>
    <n v="24"/>
    <n v="3"/>
    <n v="6"/>
    <n v="0"/>
    <n v="0"/>
    <n v="4"/>
    <x v="1"/>
    <d v="2025-04-14T00:00:00"/>
    <x v="1"/>
    <s v="Involuntary"/>
    <x v="2"/>
    <x v="3"/>
    <x v="0"/>
    <x v="0"/>
    <x v="4"/>
  </r>
  <r>
    <x v="1253"/>
    <s v="No"/>
    <x v="1"/>
    <s v="Sales Executive"/>
    <x v="0"/>
    <x v="1"/>
    <n v="9"/>
    <n v="112152"/>
    <n v="19"/>
    <n v="37.5"/>
    <s v="No"/>
    <n v="31"/>
    <s v="Man"/>
    <s v="Married"/>
    <x v="0"/>
    <n v="5"/>
    <s v="Bachelor's Degree"/>
    <s v="Technical Degree"/>
    <n v="3"/>
    <n v="1"/>
    <n v="6"/>
    <n v="3"/>
    <n v="5"/>
    <n v="2"/>
    <n v="0"/>
    <n v="2"/>
    <x v="1"/>
    <d v="2025-11-08T00:00:00"/>
    <x v="1"/>
    <s v="Involuntary"/>
    <x v="3"/>
    <x v="0"/>
    <x v="1"/>
    <x v="0"/>
    <x v="2"/>
  </r>
  <r>
    <x v="1254"/>
    <s v="No"/>
    <x v="1"/>
    <s v="Healthcare Representative"/>
    <x v="0"/>
    <x v="0"/>
    <n v="8"/>
    <n v="87528"/>
    <n v="12"/>
    <n v="37.5"/>
    <s v="Yes"/>
    <n v="29"/>
    <s v="Man"/>
    <s v="Single"/>
    <x v="1"/>
    <n v="1"/>
    <s v="Bachelor's Degree"/>
    <s v="Life Sciences"/>
    <n v="3"/>
    <n v="0"/>
    <n v="10"/>
    <n v="5"/>
    <n v="3"/>
    <n v="2"/>
    <n v="0"/>
    <n v="2"/>
    <x v="1"/>
    <d v="2022-04-02T00:00:00"/>
    <x v="0"/>
    <s v="Voluntary"/>
    <x v="0"/>
    <x v="0"/>
    <x v="0"/>
    <x v="2"/>
    <x v="7"/>
  </r>
  <r>
    <x v="1255"/>
    <s v="No"/>
    <x v="1"/>
    <s v="Sales Executive"/>
    <x v="0"/>
    <x v="1"/>
    <n v="8"/>
    <n v="97680"/>
    <n v="11"/>
    <n v="37.5"/>
    <s v="No"/>
    <n v="30"/>
    <s v="Man"/>
    <s v="Divorced"/>
    <x v="0"/>
    <n v="15"/>
    <s v="Certificate or Diploma"/>
    <s v="Marketing"/>
    <n v="3"/>
    <n v="1"/>
    <n v="12"/>
    <n v="2"/>
    <n v="7"/>
    <n v="7"/>
    <n v="1"/>
    <n v="7"/>
    <x v="1"/>
    <d v="2023-11-24T00:00:00"/>
    <x v="0"/>
    <s v="Voluntary"/>
    <x v="2"/>
    <x v="2"/>
    <x v="3"/>
    <x v="0"/>
    <x v="8"/>
  </r>
  <r>
    <x v="1256"/>
    <s v="No"/>
    <x v="1"/>
    <s v="Research Scientist"/>
    <x v="0"/>
    <x v="0"/>
    <n v="5"/>
    <n v="59184"/>
    <n v="14"/>
    <n v="37.5"/>
    <s v="Yes"/>
    <n v="34"/>
    <s v="Man"/>
    <s v="Married"/>
    <x v="0"/>
    <n v="2"/>
    <s v="Master's Degree"/>
    <s v="Medical"/>
    <n v="3"/>
    <n v="3"/>
    <n v="6"/>
    <n v="3"/>
    <n v="5"/>
    <n v="0"/>
    <n v="1"/>
    <n v="2"/>
    <x v="1"/>
    <d v="2022-07-05T00:00:00"/>
    <x v="0"/>
    <s v="Involuntary"/>
    <x v="0"/>
    <x v="1"/>
    <x v="3"/>
    <x v="0"/>
    <x v="4"/>
  </r>
  <r>
    <x v="1257"/>
    <s v="No"/>
    <x v="1"/>
    <s v="Healthcare Representative"/>
    <x v="0"/>
    <x v="0"/>
    <n v="7"/>
    <n v="75528"/>
    <n v="16"/>
    <n v="37.5"/>
    <s v="No"/>
    <n v="30"/>
    <s v="Man"/>
    <s v="Married"/>
    <x v="0"/>
    <n v="16"/>
    <s v="Bachelor's Degree"/>
    <s v="Life Sciences"/>
    <n v="3"/>
    <n v="1"/>
    <n v="10"/>
    <n v="3"/>
    <n v="7"/>
    <n v="0"/>
    <n v="1"/>
    <n v="7"/>
    <x v="1"/>
    <d v="2023-12-03T00:00:00"/>
    <x v="0"/>
    <s v="Involuntary"/>
    <x v="2"/>
    <x v="0"/>
    <x v="1"/>
    <x v="0"/>
    <x v="4"/>
  </r>
  <r>
    <x v="1258"/>
    <s v="No"/>
    <x v="1"/>
    <s v="Manufacturing Director"/>
    <x v="1"/>
    <x v="0"/>
    <n v="10"/>
    <n v="140220"/>
    <n v="20"/>
    <n v="37.5"/>
    <s v="Yes"/>
    <n v="35"/>
    <s v="Woman"/>
    <s v="Married"/>
    <x v="0"/>
    <n v="9"/>
    <s v="Bachelor's Degree"/>
    <s v="Life Sciences"/>
    <n v="4"/>
    <n v="1"/>
    <n v="17"/>
    <n v="2"/>
    <n v="17"/>
    <n v="14"/>
    <n v="5"/>
    <n v="15"/>
    <x v="2"/>
    <d v="2022-07-21T00:00:00"/>
    <x v="0"/>
    <s v="Involuntary"/>
    <x v="0"/>
    <x v="0"/>
    <x v="2"/>
    <x v="0"/>
    <x v="4"/>
  </r>
  <r>
    <x v="1259"/>
    <s v="No"/>
    <x v="1"/>
    <s v="Sales Executive"/>
    <x v="0"/>
    <x v="1"/>
    <n v="10"/>
    <n v="140232"/>
    <n v="11"/>
    <n v="37.5"/>
    <s v="No"/>
    <n v="54"/>
    <s v="Woman"/>
    <s v="Married"/>
    <x v="0"/>
    <n v="2"/>
    <s v="Master's Degree"/>
    <s v="Life Sciences"/>
    <n v="3"/>
    <n v="1"/>
    <n v="13"/>
    <n v="4"/>
    <n v="9"/>
    <n v="4"/>
    <n v="7"/>
    <n v="0"/>
    <x v="1"/>
    <d v="2023-06-15T00:00:00"/>
    <x v="0"/>
    <s v="Involuntary"/>
    <x v="2"/>
    <x v="0"/>
    <x v="2"/>
    <x v="0"/>
    <x v="1"/>
  </r>
  <r>
    <x v="1260"/>
    <s v="No"/>
    <x v="1"/>
    <s v="Research Scientist"/>
    <x v="0"/>
    <x v="0"/>
    <n v="5"/>
    <n v="56616"/>
    <n v="14"/>
    <n v="37.5"/>
    <s v="No"/>
    <n v="32"/>
    <s v="Man"/>
    <s v="Single"/>
    <x v="2"/>
    <n v="5"/>
    <s v="Master's Degree"/>
    <s v="Technical Degree"/>
    <n v="3"/>
    <n v="0"/>
    <n v="12"/>
    <n v="3"/>
    <n v="7"/>
    <n v="7"/>
    <n v="0"/>
    <n v="7"/>
    <x v="1"/>
    <d v="2022-02-27T00:00:00"/>
    <x v="0"/>
    <s v="Voluntary"/>
    <x v="1"/>
    <x v="3"/>
    <x v="2"/>
    <x v="0"/>
    <x v="6"/>
  </r>
  <r>
    <x v="1261"/>
    <s v="No"/>
    <x v="1"/>
    <s v="Manufacturing Director"/>
    <x v="1"/>
    <x v="0"/>
    <n v="10"/>
    <n v="140868"/>
    <n v="11"/>
    <n v="37.5"/>
    <s v="No"/>
    <n v="54"/>
    <s v="Woman"/>
    <s v="Married"/>
    <x v="0"/>
    <n v="17"/>
    <s v="Bachelor's Degree"/>
    <s v="Technical Degree"/>
    <n v="3"/>
    <n v="1"/>
    <n v="22"/>
    <n v="2"/>
    <n v="10"/>
    <n v="7"/>
    <n v="0"/>
    <n v="8"/>
    <x v="2"/>
    <d v="2022-11-01T00:00:00"/>
    <x v="0"/>
    <s v="Voluntary"/>
    <x v="2"/>
    <x v="0"/>
    <x v="1"/>
    <x v="0"/>
    <x v="4"/>
  </r>
  <r>
    <x v="1262"/>
    <s v="No"/>
    <x v="1"/>
    <s v="Healthcare Representative"/>
    <x v="0"/>
    <x v="0"/>
    <n v="7"/>
    <n v="81732"/>
    <n v="16"/>
    <n v="37.5"/>
    <s v="Yes"/>
    <n v="38"/>
    <s v="Man"/>
    <s v="Married"/>
    <x v="0"/>
    <n v="18"/>
    <s v="Bachelor's Degree"/>
    <s v="Medical"/>
    <n v="3"/>
    <n v="1"/>
    <n v="15"/>
    <n v="2"/>
    <n v="1"/>
    <n v="0"/>
    <n v="1"/>
    <n v="0"/>
    <x v="0"/>
    <d v="2024-10-08T00:00:00"/>
    <x v="1"/>
    <s v="Voluntary"/>
    <x v="1"/>
    <x v="1"/>
    <x v="1"/>
    <x v="0"/>
    <x v="4"/>
  </r>
  <r>
    <x v="1263"/>
    <s v="No"/>
    <x v="1"/>
    <s v="Laboratory Technician"/>
    <x v="0"/>
    <x v="0"/>
    <n v="5"/>
    <n v="57192"/>
    <n v="22"/>
    <n v="37.5"/>
    <s v="No"/>
    <n v="42"/>
    <s v="Man"/>
    <s v="Divorced"/>
    <x v="0"/>
    <n v="12"/>
    <s v="Bachelor's Degree"/>
    <s v="Medical"/>
    <n v="4"/>
    <n v="3"/>
    <n v="7"/>
    <n v="6"/>
    <n v="5"/>
    <n v="3"/>
    <n v="0"/>
    <n v="4"/>
    <x v="1"/>
    <d v="2025-04-20T00:00:00"/>
    <x v="1"/>
    <s v="Voluntary"/>
    <x v="1"/>
    <x v="3"/>
    <x v="2"/>
    <x v="1"/>
    <x v="8"/>
  </r>
  <r>
    <x v="1264"/>
    <s v="No"/>
    <x v="1"/>
    <s v="Research Director"/>
    <x v="1"/>
    <x v="0"/>
    <n v="5"/>
    <n v="240456"/>
    <n v="12"/>
    <n v="37.5"/>
    <s v="No"/>
    <n v="55"/>
    <s v="Man"/>
    <s v="Married"/>
    <x v="0"/>
    <n v="2"/>
    <s v="Bachelor's Degree"/>
    <s v="Medical"/>
    <n v="3"/>
    <n v="3"/>
    <n v="34"/>
    <n v="2"/>
    <n v="1"/>
    <n v="0"/>
    <n v="0"/>
    <n v="0"/>
    <x v="0"/>
    <d v="2024-07-03T00:00:00"/>
    <x v="1"/>
    <s v="Involuntary"/>
    <x v="2"/>
    <x v="2"/>
    <x v="2"/>
    <x v="0"/>
    <x v="6"/>
  </r>
  <r>
    <x v="1265"/>
    <s v="No"/>
    <x v="1"/>
    <s v="Manufacturing Director"/>
    <x v="1"/>
    <x v="0"/>
    <n v="10"/>
    <n v="141840"/>
    <n v="11"/>
    <n v="37.5"/>
    <s v="No"/>
    <n v="43"/>
    <s v="Woman"/>
    <s v="Married"/>
    <x v="1"/>
    <n v="27"/>
    <s v="Bachelor's Degree"/>
    <s v="Life Sciences"/>
    <n v="3"/>
    <n v="1"/>
    <n v="18"/>
    <n v="1"/>
    <n v="8"/>
    <n v="7"/>
    <n v="0"/>
    <n v="1"/>
    <x v="1"/>
    <d v="2024-03-01T00:00:00"/>
    <x v="1"/>
    <s v="Involuntary"/>
    <x v="2"/>
    <x v="2"/>
    <x v="1"/>
    <x v="0"/>
    <x v="2"/>
  </r>
  <r>
    <x v="1266"/>
    <s v="No"/>
    <x v="1"/>
    <s v="Research Scientist"/>
    <x v="0"/>
    <x v="0"/>
    <n v="6"/>
    <n v="60660"/>
    <n v="15"/>
    <n v="37.5"/>
    <s v="No"/>
    <n v="33"/>
    <s v="Man"/>
    <s v="Divorced"/>
    <x v="2"/>
    <n v="4"/>
    <s v="Bachelor's Degree"/>
    <s v="Technical Degree"/>
    <n v="3"/>
    <n v="2"/>
    <n v="11"/>
    <n v="2"/>
    <n v="9"/>
    <n v="8"/>
    <n v="1"/>
    <n v="7"/>
    <x v="1"/>
    <d v="2024-12-28T00:00:00"/>
    <x v="1"/>
    <s v="Voluntary"/>
    <x v="0"/>
    <x v="3"/>
    <x v="0"/>
    <x v="1"/>
    <x v="4"/>
  </r>
  <r>
    <x v="1267"/>
    <s v="No"/>
    <x v="1"/>
    <s v="Laboratory Technician"/>
    <x v="0"/>
    <x v="0"/>
    <n v="4"/>
    <n v="51468"/>
    <n v="20"/>
    <n v="37.5"/>
    <s v="No"/>
    <n v="41"/>
    <s v="Man"/>
    <s v="Divorced"/>
    <x v="0"/>
    <n v="9"/>
    <s v="Master's Degree"/>
    <s v="Life Sciences"/>
    <n v="4"/>
    <n v="2"/>
    <n v="5"/>
    <n v="2"/>
    <n v="5"/>
    <n v="3"/>
    <n v="0"/>
    <n v="4"/>
    <x v="1"/>
    <d v="2023-08-21T00:00:00"/>
    <x v="0"/>
    <s v="Involuntary"/>
    <x v="2"/>
    <x v="2"/>
    <x v="2"/>
    <x v="0"/>
    <x v="6"/>
  </r>
  <r>
    <x v="1268"/>
    <s v="No"/>
    <x v="1"/>
    <s v="Sales Executive"/>
    <x v="0"/>
    <x v="1"/>
    <n v="6"/>
    <n v="60012"/>
    <n v="14"/>
    <n v="37.5"/>
    <s v="Yes"/>
    <n v="34"/>
    <s v="Man"/>
    <s v="Divorced"/>
    <x v="2"/>
    <n v="10"/>
    <s v="Bachelor's Degree"/>
    <s v="Life Sciences"/>
    <n v="3"/>
    <n v="1"/>
    <n v="15"/>
    <n v="3"/>
    <n v="15"/>
    <n v="14"/>
    <n v="0"/>
    <n v="7"/>
    <x v="2"/>
    <d v="2025-01-09T00:00:00"/>
    <x v="1"/>
    <s v="Involuntary"/>
    <x v="0"/>
    <x v="0"/>
    <x v="1"/>
    <x v="0"/>
    <x v="5"/>
  </r>
  <r>
    <x v="1269"/>
    <s v="No"/>
    <x v="1"/>
    <s v="HR Business Partner"/>
    <x v="0"/>
    <x v="2"/>
    <n v="6"/>
    <n v="66468"/>
    <n v="13"/>
    <n v="37.5"/>
    <s v="No"/>
    <n v="43"/>
    <s v="Man"/>
    <s v="Single"/>
    <x v="0"/>
    <n v="2"/>
    <s v="Bachelor's Degree"/>
    <s v="Life Sciences"/>
    <n v="3"/>
    <n v="0"/>
    <n v="10"/>
    <n v="5"/>
    <n v="9"/>
    <n v="7"/>
    <n v="1"/>
    <n v="8"/>
    <x v="1"/>
    <d v="2025-12-24T00:00:00"/>
    <x v="1"/>
    <s v="Voluntary"/>
    <x v="1"/>
    <x v="1"/>
    <x v="2"/>
    <x v="0"/>
    <x v="1"/>
  </r>
  <r>
    <x v="1270"/>
    <s v="No"/>
    <x v="1"/>
    <s v="Manufacturing Director"/>
    <x v="1"/>
    <x v="0"/>
    <n v="10"/>
    <n v="142560"/>
    <n v="13"/>
    <n v="37.5"/>
    <s v="Yes"/>
    <n v="39"/>
    <s v="Woman"/>
    <s v="Single"/>
    <x v="1"/>
    <n v="22"/>
    <s v="Bachelor's Degree"/>
    <s v="Medical"/>
    <n v="3"/>
    <n v="0"/>
    <n v="21"/>
    <n v="2"/>
    <n v="21"/>
    <n v="6"/>
    <n v="2"/>
    <n v="8"/>
    <x v="2"/>
    <d v="2022-03-09T00:00:00"/>
    <x v="0"/>
    <s v="Involuntary"/>
    <x v="0"/>
    <x v="2"/>
    <x v="1"/>
    <x v="0"/>
    <x v="1"/>
  </r>
  <r>
    <x v="1271"/>
    <s v="No"/>
    <x v="1"/>
    <s v="Sales Executive"/>
    <x v="0"/>
    <x v="1"/>
    <n v="6"/>
    <n v="62268"/>
    <n v="14"/>
    <n v="37.5"/>
    <s v="No"/>
    <n v="37"/>
    <s v="Man"/>
    <s v="Married"/>
    <x v="0"/>
    <n v="9"/>
    <s v="Certificate or Diploma"/>
    <s v="Marketing"/>
    <n v="3"/>
    <n v="2"/>
    <n v="5"/>
    <n v="2"/>
    <n v="5"/>
    <n v="2"/>
    <n v="0"/>
    <n v="3"/>
    <x v="1"/>
    <d v="2025-08-12T00:00:00"/>
    <x v="1"/>
    <s v="Voluntary"/>
    <x v="1"/>
    <x v="3"/>
    <x v="3"/>
    <x v="0"/>
    <x v="8"/>
  </r>
  <r>
    <x v="1272"/>
    <s v="No"/>
    <x v="1"/>
    <s v="Research Director"/>
    <x v="1"/>
    <x v="0"/>
    <n v="5"/>
    <n v="243936"/>
    <n v="17"/>
    <n v="37.5"/>
    <s v="Yes"/>
    <n v="46"/>
    <s v="Man"/>
    <s v="Divorced"/>
    <x v="0"/>
    <n v="2"/>
    <s v="Master's Degree"/>
    <s v="Medical"/>
    <n v="3"/>
    <n v="1"/>
    <n v="24"/>
    <n v="3"/>
    <n v="2"/>
    <n v="1"/>
    <n v="2"/>
    <n v="2"/>
    <x v="0"/>
    <d v="2023-03-14T00:00:00"/>
    <x v="0"/>
    <s v="Voluntary"/>
    <x v="2"/>
    <x v="1"/>
    <x v="1"/>
    <x v="0"/>
    <x v="5"/>
  </r>
  <r>
    <x v="1273"/>
    <s v="No"/>
    <x v="1"/>
    <s v="Healthcare Representative"/>
    <x v="0"/>
    <x v="0"/>
    <n v="9"/>
    <n v="111852"/>
    <n v="13"/>
    <n v="37.5"/>
    <s v="Yes"/>
    <n v="36"/>
    <s v="Man"/>
    <s v="Married"/>
    <x v="0"/>
    <n v="10"/>
    <s v="Bachelor's Degree"/>
    <s v="Life Sciences"/>
    <n v="3"/>
    <n v="1"/>
    <n v="15"/>
    <n v="1"/>
    <n v="12"/>
    <n v="8"/>
    <n v="5"/>
    <n v="7"/>
    <x v="2"/>
    <d v="2022-09-07T00:00:00"/>
    <x v="0"/>
    <s v="Involuntary"/>
    <x v="0"/>
    <x v="2"/>
    <x v="0"/>
    <x v="0"/>
    <x v="4"/>
  </r>
  <r>
    <x v="1274"/>
    <s v="No"/>
    <x v="1"/>
    <s v="Sales Executive"/>
    <x v="0"/>
    <x v="1"/>
    <n v="10"/>
    <n v="143208"/>
    <n v="18"/>
    <n v="37.5"/>
    <s v="Yes"/>
    <n v="53"/>
    <s v="Woman"/>
    <s v="Married"/>
    <x v="0"/>
    <n v="7"/>
    <s v="Certificate or Diploma"/>
    <s v="Marketing"/>
    <n v="3"/>
    <n v="1"/>
    <n v="35"/>
    <n v="3"/>
    <n v="5"/>
    <n v="2"/>
    <n v="0"/>
    <n v="4"/>
    <x v="1"/>
    <d v="2023-03-19T00:00:00"/>
    <x v="0"/>
    <s v="Voluntary"/>
    <x v="3"/>
    <x v="1"/>
    <x v="0"/>
    <x v="0"/>
    <x v="4"/>
  </r>
  <r>
    <x v="1275"/>
    <s v="No"/>
    <x v="1"/>
    <s v="Healthcare Representative"/>
    <x v="0"/>
    <x v="0"/>
    <n v="10"/>
    <n v="143256"/>
    <n v="25"/>
    <n v="37.5"/>
    <s v="No"/>
    <n v="39"/>
    <s v="Woman"/>
    <s v="Single"/>
    <x v="1"/>
    <n v="2"/>
    <s v="Master's Degree"/>
    <s v="Technical Degree"/>
    <n v="4"/>
    <n v="0"/>
    <n v="20"/>
    <n v="1"/>
    <n v="19"/>
    <n v="6"/>
    <n v="11"/>
    <n v="8"/>
    <x v="2"/>
    <d v="2025-10-02T00:00:00"/>
    <x v="1"/>
    <s v="Involuntary"/>
    <x v="2"/>
    <x v="0"/>
    <x v="0"/>
    <x v="0"/>
    <x v="5"/>
  </r>
  <r>
    <x v="1276"/>
    <s v="No"/>
    <x v="1"/>
    <s v="HR Operations Specialist"/>
    <x v="0"/>
    <x v="2"/>
    <n v="6"/>
    <n v="60852"/>
    <n v="13"/>
    <n v="37.5"/>
    <s v="No"/>
    <n v="37"/>
    <s v="Man"/>
    <s v="Divorced"/>
    <x v="0"/>
    <n v="8"/>
    <s v="Certificate or Diploma"/>
    <s v="Other"/>
    <n v="3"/>
    <n v="0"/>
    <n v="19"/>
    <n v="4"/>
    <n v="10"/>
    <n v="0"/>
    <n v="4"/>
    <n v="7"/>
    <x v="2"/>
    <d v="2022-12-06T00:00:00"/>
    <x v="0"/>
    <s v="Voluntary"/>
    <x v="2"/>
    <x v="3"/>
    <x v="1"/>
    <x v="1"/>
    <x v="2"/>
  </r>
  <r>
    <x v="1277"/>
    <s v="No"/>
    <x v="1"/>
    <s v="Research Director"/>
    <x v="1"/>
    <x v="0"/>
    <n v="10"/>
    <n v="144372"/>
    <n v="20"/>
    <n v="37.5"/>
    <s v="No"/>
    <n v="31"/>
    <s v="Woman"/>
    <s v="Married"/>
    <x v="2"/>
    <n v="10"/>
    <s v="Bachelor's Degree"/>
    <s v="Medical"/>
    <n v="4"/>
    <n v="1"/>
    <n v="13"/>
    <n v="2"/>
    <n v="11"/>
    <n v="7"/>
    <n v="4"/>
    <n v="8"/>
    <x v="2"/>
    <d v="2022-08-09T00:00:00"/>
    <x v="0"/>
    <s v="Involuntary"/>
    <x v="2"/>
    <x v="0"/>
    <x v="1"/>
    <x v="2"/>
    <x v="5"/>
  </r>
  <r>
    <x v="1278"/>
    <s v="No"/>
    <x v="1"/>
    <s v="Research Scientist"/>
    <x v="0"/>
    <x v="0"/>
    <n v="6"/>
    <n v="61716"/>
    <n v="19"/>
    <n v="37.5"/>
    <s v="No"/>
    <n v="33"/>
    <s v="Man"/>
    <s v="Married"/>
    <x v="0"/>
    <n v="8"/>
    <s v="Master's Degree"/>
    <s v="Life Sciences"/>
    <n v="3"/>
    <n v="1"/>
    <n v="14"/>
    <n v="1"/>
    <n v="10"/>
    <n v="8"/>
    <n v="7"/>
    <n v="6"/>
    <x v="2"/>
    <d v="2024-05-30T00:00:00"/>
    <x v="1"/>
    <s v="Involuntary"/>
    <x v="0"/>
    <x v="2"/>
    <x v="2"/>
    <x v="0"/>
    <x v="2"/>
  </r>
  <r>
    <x v="1279"/>
    <s v="No"/>
    <x v="1"/>
    <s v="Research Director"/>
    <x v="1"/>
    <x v="0"/>
    <n v="10"/>
    <n v="145908"/>
    <n v="15"/>
    <n v="37.5"/>
    <s v="No"/>
    <n v="32"/>
    <s v="Woman"/>
    <s v="Single"/>
    <x v="0"/>
    <n v="3"/>
    <s v="Certificate or Diploma"/>
    <s v="Life Sciences"/>
    <n v="3"/>
    <n v="0"/>
    <n v="10"/>
    <n v="6"/>
    <n v="7"/>
    <n v="7"/>
    <n v="7"/>
    <n v="7"/>
    <x v="1"/>
    <d v="2025-07-15T00:00:00"/>
    <x v="1"/>
    <s v="Involuntary"/>
    <x v="2"/>
    <x v="1"/>
    <x v="0"/>
    <x v="0"/>
    <x v="0"/>
  </r>
  <r>
    <x v="1280"/>
    <s v="No"/>
    <x v="1"/>
    <s v="Research Scientist"/>
    <x v="0"/>
    <x v="0"/>
    <n v="3"/>
    <n v="48528"/>
    <n v="11"/>
    <n v="37.5"/>
    <s v="No"/>
    <n v="28"/>
    <s v="Man"/>
    <s v="Married"/>
    <x v="0"/>
    <n v="1"/>
    <s v="Bachelor's Degree"/>
    <s v="Life Sciences"/>
    <n v="3"/>
    <n v="1"/>
    <n v="5"/>
    <n v="6"/>
    <n v="5"/>
    <n v="3"/>
    <n v="0"/>
    <n v="3"/>
    <x v="1"/>
    <d v="2025-01-14T00:00:00"/>
    <x v="1"/>
    <s v="Voluntary"/>
    <x v="2"/>
    <x v="1"/>
    <x v="1"/>
    <x v="2"/>
    <x v="0"/>
  </r>
  <r>
    <x v="1281"/>
    <s v="No"/>
    <x v="1"/>
    <s v="Research Director"/>
    <x v="1"/>
    <x v="0"/>
    <n v="10"/>
    <n v="173568"/>
    <n v="21"/>
    <n v="37.5"/>
    <s v="No"/>
    <n v="39"/>
    <s v="Man"/>
    <s v="Single"/>
    <x v="0"/>
    <n v="10"/>
    <s v="Trades Apprenticeship"/>
    <s v="Medical"/>
    <n v="4"/>
    <n v="0"/>
    <n v="9"/>
    <n v="3"/>
    <n v="4"/>
    <n v="3"/>
    <n v="2"/>
    <n v="2"/>
    <x v="1"/>
    <d v="2023-01-28T00:00:00"/>
    <x v="0"/>
    <s v="Involuntary"/>
    <x v="2"/>
    <x v="0"/>
    <x v="1"/>
    <x v="0"/>
    <x v="4"/>
  </r>
  <r>
    <x v="1282"/>
    <s v="No"/>
    <x v="1"/>
    <s v="Research Director"/>
    <x v="1"/>
    <x v="0"/>
    <n v="10"/>
    <n v="148992"/>
    <n v="12"/>
    <n v="37.5"/>
    <s v="Yes"/>
    <n v="30"/>
    <s v="Woman"/>
    <s v="Married"/>
    <x v="0"/>
    <n v="8"/>
    <s v="Certificate or Diploma"/>
    <s v="Life Sciences"/>
    <n v="3"/>
    <n v="3"/>
    <n v="9"/>
    <n v="4"/>
    <n v="8"/>
    <n v="7"/>
    <n v="1"/>
    <n v="7"/>
    <x v="1"/>
    <d v="2023-09-12T00:00:00"/>
    <x v="0"/>
    <s v="Involuntary"/>
    <x v="1"/>
    <x v="2"/>
    <x v="1"/>
    <x v="1"/>
    <x v="8"/>
  </r>
  <r>
    <x v="1283"/>
    <s v="No"/>
    <x v="1"/>
    <s v="Sales Executive"/>
    <x v="0"/>
    <x v="1"/>
    <n v="9"/>
    <n v="107892"/>
    <n v="15"/>
    <n v="37.5"/>
    <s v="No"/>
    <n v="46"/>
    <s v="Man"/>
    <s v="Single"/>
    <x v="2"/>
    <n v="26"/>
    <s v="Certificate or Diploma"/>
    <s v="Life Sciences"/>
    <n v="3"/>
    <n v="0"/>
    <n v="6"/>
    <n v="3"/>
    <n v="2"/>
    <n v="2"/>
    <n v="2"/>
    <n v="2"/>
    <x v="0"/>
    <d v="2022-10-15T00:00:00"/>
    <x v="0"/>
    <s v="Voluntary"/>
    <x v="1"/>
    <x v="3"/>
    <x v="1"/>
    <x v="0"/>
    <x v="2"/>
  </r>
  <r>
    <x v="1284"/>
    <s v="No"/>
    <x v="1"/>
    <s v="Healthcare Representative"/>
    <x v="0"/>
    <x v="0"/>
    <n v="7"/>
    <n v="78456"/>
    <n v="18"/>
    <n v="37.5"/>
    <s v="No"/>
    <n v="42"/>
    <s v="Man"/>
    <s v="Married"/>
    <x v="0"/>
    <n v="13"/>
    <s v="Bachelor's Degree"/>
    <s v="Medical"/>
    <n v="3"/>
    <n v="2"/>
    <n v="10"/>
    <n v="2"/>
    <n v="0"/>
    <n v="0"/>
    <n v="0"/>
    <n v="0"/>
    <x v="0"/>
    <d v="2023-07-16T00:00:00"/>
    <x v="0"/>
    <s v="Voluntary"/>
    <x v="1"/>
    <x v="2"/>
    <x v="1"/>
    <x v="1"/>
    <x v="8"/>
  </r>
  <r>
    <x v="1285"/>
    <s v="No"/>
    <x v="1"/>
    <s v="Manager, R&amp;D"/>
    <x v="1"/>
    <x v="0"/>
    <n v="10"/>
    <n v="151572"/>
    <n v="12"/>
    <n v="37.5"/>
    <s v="No"/>
    <n v="34"/>
    <s v="Woman"/>
    <s v="Single"/>
    <x v="0"/>
    <n v="5"/>
    <s v="Bachelor's Degree"/>
    <s v="Medical"/>
    <n v="3"/>
    <n v="0"/>
    <n v="14"/>
    <n v="6"/>
    <n v="11"/>
    <n v="10"/>
    <n v="5"/>
    <n v="8"/>
    <x v="2"/>
    <d v="2024-11-28T00:00:00"/>
    <x v="1"/>
    <s v="Voluntary"/>
    <x v="2"/>
    <x v="2"/>
    <x v="0"/>
    <x v="0"/>
    <x v="1"/>
  </r>
  <r>
    <x v="1286"/>
    <s v="No"/>
    <x v="1"/>
    <s v="Manufacturing Director"/>
    <x v="1"/>
    <x v="0"/>
    <n v="7"/>
    <n v="81144"/>
    <n v="14"/>
    <n v="37.5"/>
    <s v="No"/>
    <n v="35"/>
    <s v="Man"/>
    <s v="Divorced"/>
    <x v="2"/>
    <n v="2"/>
    <s v="Certificate or Diploma"/>
    <s v="Medical"/>
    <n v="3"/>
    <n v="1"/>
    <n v="15"/>
    <n v="6"/>
    <n v="7"/>
    <n v="7"/>
    <n v="1"/>
    <n v="7"/>
    <x v="1"/>
    <d v="2022-07-02T00:00:00"/>
    <x v="0"/>
    <s v="Voluntary"/>
    <x v="1"/>
    <x v="1"/>
    <x v="1"/>
    <x v="0"/>
    <x v="4"/>
  </r>
  <r>
    <x v="1287"/>
    <s v="No"/>
    <x v="1"/>
    <s v="Research Director"/>
    <x v="1"/>
    <x v="0"/>
    <n v="10"/>
    <n v="152556"/>
    <n v="14"/>
    <n v="37.5"/>
    <s v="No"/>
    <n v="36"/>
    <s v="Woman"/>
    <s v="Married"/>
    <x v="2"/>
    <n v="8"/>
    <s v="Bachelor's Degree"/>
    <s v="Life Sciences"/>
    <n v="3"/>
    <n v="1"/>
    <n v="10"/>
    <n v="2"/>
    <n v="8"/>
    <n v="7"/>
    <n v="0"/>
    <n v="5"/>
    <x v="1"/>
    <d v="2024-06-17T00:00:00"/>
    <x v="1"/>
    <s v="Involuntary"/>
    <x v="3"/>
    <x v="2"/>
    <x v="3"/>
    <x v="0"/>
    <x v="9"/>
  </r>
  <r>
    <x v="1288"/>
    <s v="No"/>
    <x v="1"/>
    <s v="HR Operations Specialist"/>
    <x v="0"/>
    <x v="2"/>
    <n v="5"/>
    <n v="55104"/>
    <n v="13"/>
    <n v="37.5"/>
    <s v="No"/>
    <n v="38"/>
    <s v="Man"/>
    <s v="Divorced"/>
    <x v="2"/>
    <n v="2"/>
    <s v="Bachelor's Degree"/>
    <s v="Human Resources"/>
    <n v="3"/>
    <n v="3"/>
    <n v="13"/>
    <n v="3"/>
    <n v="11"/>
    <n v="10"/>
    <n v="3"/>
    <n v="8"/>
    <x v="2"/>
    <d v="2023-07-19T00:00:00"/>
    <x v="0"/>
    <s v="Involuntary"/>
    <x v="3"/>
    <x v="3"/>
    <x v="0"/>
    <x v="0"/>
    <x v="2"/>
  </r>
  <r>
    <x v="1289"/>
    <s v="No"/>
    <x v="1"/>
    <s v="Manager, R&amp;D"/>
    <x v="1"/>
    <x v="0"/>
    <n v="10"/>
    <n v="154536"/>
    <n v="11"/>
    <n v="37.5"/>
    <s v="No"/>
    <n v="33"/>
    <s v="Woman"/>
    <s v="Married"/>
    <x v="1"/>
    <n v="5"/>
    <s v="Master's Degree"/>
    <s v="Life Sciences"/>
    <n v="3"/>
    <n v="2"/>
    <n v="12"/>
    <n v="2"/>
    <n v="10"/>
    <n v="6"/>
    <n v="8"/>
    <n v="8"/>
    <x v="2"/>
    <d v="2024-07-31T00:00:00"/>
    <x v="1"/>
    <s v="Involuntary"/>
    <x v="0"/>
    <x v="3"/>
    <x v="2"/>
    <x v="0"/>
    <x v="1"/>
  </r>
  <r>
    <x v="1290"/>
    <s v="No"/>
    <x v="1"/>
    <s v="Manager, R&amp;D"/>
    <x v="1"/>
    <x v="0"/>
    <n v="10"/>
    <n v="154992"/>
    <n v="23"/>
    <n v="37.5"/>
    <s v="Yes"/>
    <n v="30"/>
    <s v="Woman"/>
    <s v="Married"/>
    <x v="0"/>
    <n v="17"/>
    <s v="Master's Degree"/>
    <s v="Medical"/>
    <n v="4"/>
    <n v="2"/>
    <n v="9"/>
    <n v="2"/>
    <n v="9"/>
    <n v="1"/>
    <n v="0"/>
    <n v="8"/>
    <x v="1"/>
    <d v="2025-08-28T00:00:00"/>
    <x v="1"/>
    <s v="Voluntary"/>
    <x v="1"/>
    <x v="2"/>
    <x v="0"/>
    <x v="0"/>
    <x v="2"/>
  </r>
  <r>
    <x v="1291"/>
    <s v="No"/>
    <x v="1"/>
    <s v="Sales Executive"/>
    <x v="0"/>
    <x v="1"/>
    <n v="6"/>
    <n v="61524"/>
    <n v="18"/>
    <n v="37.5"/>
    <s v="No"/>
    <n v="39"/>
    <s v="Man"/>
    <s v="Divorced"/>
    <x v="1"/>
    <n v="20"/>
    <s v="Bachelor's Degree"/>
    <s v="Life Sciences"/>
    <n v="3"/>
    <n v="1"/>
    <n v="7"/>
    <n v="6"/>
    <n v="2"/>
    <n v="1"/>
    <n v="2"/>
    <n v="2"/>
    <x v="0"/>
    <d v="2022-01-07T00:00:00"/>
    <x v="0"/>
    <s v="Voluntary"/>
    <x v="2"/>
    <x v="1"/>
    <x v="0"/>
    <x v="0"/>
    <x v="0"/>
  </r>
  <r>
    <x v="1292"/>
    <s v="No"/>
    <x v="1"/>
    <s v="Research Director"/>
    <x v="1"/>
    <x v="0"/>
    <n v="10"/>
    <n v="155484"/>
    <n v="18"/>
    <n v="37.5"/>
    <s v="No"/>
    <n v="47"/>
    <s v="Woman"/>
    <s v="Married"/>
    <x v="2"/>
    <n v="1"/>
    <s v="Trades Apprenticeship"/>
    <s v="Medical"/>
    <n v="3"/>
    <n v="2"/>
    <n v="14"/>
    <n v="3"/>
    <n v="13"/>
    <n v="8"/>
    <n v="5"/>
    <n v="12"/>
    <x v="2"/>
    <d v="2025-01-23T00:00:00"/>
    <x v="1"/>
    <s v="Voluntary"/>
    <x v="2"/>
    <x v="3"/>
    <x v="3"/>
    <x v="3"/>
    <x v="3"/>
  </r>
  <r>
    <x v="1293"/>
    <s v="No"/>
    <x v="1"/>
    <s v="Research Director"/>
    <x v="1"/>
    <x v="0"/>
    <n v="10"/>
    <n v="155928"/>
    <n v="11"/>
    <n v="37.5"/>
    <s v="No"/>
    <n v="34"/>
    <s v="Woman"/>
    <s v="Single"/>
    <x v="0"/>
    <n v="7"/>
    <s v="Master's Degree"/>
    <s v="Life Sciences"/>
    <n v="3"/>
    <n v="0"/>
    <n v="13"/>
    <n v="4"/>
    <n v="12"/>
    <n v="6"/>
    <n v="2"/>
    <n v="11"/>
    <x v="2"/>
    <d v="2023-11-29T00:00:00"/>
    <x v="0"/>
    <s v="Involuntary"/>
    <x v="3"/>
    <x v="3"/>
    <x v="1"/>
    <x v="0"/>
    <x v="6"/>
  </r>
  <r>
    <x v="1294"/>
    <s v="No"/>
    <x v="1"/>
    <s v="Manager, R&amp;D"/>
    <x v="1"/>
    <x v="0"/>
    <n v="10"/>
    <n v="155952"/>
    <n v="18"/>
    <n v="37.5"/>
    <s v="No"/>
    <n v="35"/>
    <s v="Woman"/>
    <s v="Divorced"/>
    <x v="0"/>
    <n v="22"/>
    <s v="Bachelor's Degree"/>
    <s v="Life Sciences"/>
    <n v="3"/>
    <n v="1"/>
    <n v="10"/>
    <n v="6"/>
    <n v="7"/>
    <n v="7"/>
    <n v="6"/>
    <n v="2"/>
    <x v="1"/>
    <d v="2024-12-02T00:00:00"/>
    <x v="1"/>
    <s v="Voluntary"/>
    <x v="1"/>
    <x v="3"/>
    <x v="2"/>
    <x v="1"/>
    <x v="8"/>
  </r>
  <r>
    <x v="1295"/>
    <s v="No"/>
    <x v="1"/>
    <s v="Sales Executive"/>
    <x v="0"/>
    <x v="1"/>
    <n v="10"/>
    <n v="156372"/>
    <n v="11"/>
    <n v="37.5"/>
    <s v="No"/>
    <n v="39"/>
    <s v="Woman"/>
    <s v="Married"/>
    <x v="0"/>
    <n v="24"/>
    <s v="Trades Apprenticeship"/>
    <s v="Marketing"/>
    <n v="3"/>
    <n v="1"/>
    <n v="21"/>
    <n v="2"/>
    <n v="20"/>
    <n v="9"/>
    <n v="9"/>
    <n v="6"/>
    <x v="2"/>
    <d v="2025-08-04T00:00:00"/>
    <x v="1"/>
    <s v="Voluntary"/>
    <x v="1"/>
    <x v="1"/>
    <x v="3"/>
    <x v="1"/>
    <x v="6"/>
  </r>
  <r>
    <x v="1296"/>
    <s v="No"/>
    <x v="1"/>
    <s v="Research Director"/>
    <x v="1"/>
    <x v="0"/>
    <n v="10"/>
    <n v="156732"/>
    <n v="17"/>
    <n v="37.5"/>
    <s v="No"/>
    <n v="38"/>
    <s v="Woman"/>
    <s v="Married"/>
    <x v="0"/>
    <n v="25"/>
    <s v="Certificate or Diploma"/>
    <s v="Life Sciences"/>
    <n v="3"/>
    <n v="1"/>
    <n v="19"/>
    <n v="2"/>
    <n v="10"/>
    <n v="8"/>
    <n v="0"/>
    <n v="1"/>
    <x v="2"/>
    <d v="2023-10-30T00:00:00"/>
    <x v="0"/>
    <s v="Involuntary"/>
    <x v="3"/>
    <x v="3"/>
    <x v="1"/>
    <x v="0"/>
    <x v="6"/>
  </r>
  <r>
    <x v="1297"/>
    <s v="No"/>
    <x v="1"/>
    <s v="Research Scientist"/>
    <x v="0"/>
    <x v="0"/>
    <n v="4"/>
    <n v="53256"/>
    <n v="13"/>
    <n v="37.5"/>
    <s v="No"/>
    <n v="43"/>
    <s v="Man"/>
    <s v="Single"/>
    <x v="2"/>
    <n v="9"/>
    <s v="Bachelor's Degree"/>
    <s v="Life Sciences"/>
    <n v="3"/>
    <n v="0"/>
    <n v="7"/>
    <n v="2"/>
    <n v="3"/>
    <n v="2"/>
    <n v="1"/>
    <n v="2"/>
    <x v="1"/>
    <d v="2022-09-24T00:00:00"/>
    <x v="0"/>
    <s v="Voluntary"/>
    <x v="3"/>
    <x v="0"/>
    <x v="1"/>
    <x v="1"/>
    <x v="6"/>
  </r>
  <r>
    <x v="1298"/>
    <s v="No"/>
    <x v="1"/>
    <s v="Healthcare Representative"/>
    <x v="0"/>
    <x v="0"/>
    <n v="8"/>
    <n v="94440"/>
    <n v="12"/>
    <n v="37.5"/>
    <s v="No"/>
    <n v="41"/>
    <s v="Man"/>
    <s v="Single"/>
    <x v="0"/>
    <n v="5"/>
    <s v="Bachelor's Degree"/>
    <s v="Life Sciences"/>
    <n v="3"/>
    <n v="0"/>
    <n v="11"/>
    <n v="3"/>
    <n v="3"/>
    <n v="2"/>
    <n v="1"/>
    <n v="2"/>
    <x v="1"/>
    <d v="2023-08-26T00:00:00"/>
    <x v="0"/>
    <s v="Involuntary"/>
    <x v="1"/>
    <x v="3"/>
    <x v="3"/>
    <x v="3"/>
    <x v="9"/>
  </r>
  <r>
    <x v="1299"/>
    <s v="No"/>
    <x v="1"/>
    <s v="Sales Executive"/>
    <x v="0"/>
    <x v="1"/>
    <n v="8"/>
    <n v="93588"/>
    <n v="21"/>
    <n v="37.5"/>
    <s v="No"/>
    <n v="34"/>
    <s v="Man"/>
    <s v="Married"/>
    <x v="0"/>
    <n v="8"/>
    <s v="Certificate or Diploma"/>
    <s v="Technical Degree"/>
    <n v="4"/>
    <n v="2"/>
    <n v="10"/>
    <n v="5"/>
    <n v="10"/>
    <n v="8"/>
    <n v="4"/>
    <n v="8"/>
    <x v="2"/>
    <d v="2023-10-08T00:00:00"/>
    <x v="0"/>
    <s v="Voluntary"/>
    <x v="1"/>
    <x v="0"/>
    <x v="1"/>
    <x v="0"/>
    <x v="1"/>
  </r>
  <r>
    <x v="1300"/>
    <s v="No"/>
    <x v="1"/>
    <s v="Manager, Sales"/>
    <x v="1"/>
    <x v="1"/>
    <n v="10"/>
    <n v="162048"/>
    <n v="21"/>
    <n v="37.5"/>
    <s v="No"/>
    <n v="48"/>
    <s v="Woman"/>
    <s v="Married"/>
    <x v="0"/>
    <n v="29"/>
    <s v="Trades Apprenticeship"/>
    <s v="Medical"/>
    <n v="4"/>
    <n v="1"/>
    <n v="15"/>
    <n v="3"/>
    <n v="0"/>
    <n v="0"/>
    <n v="0"/>
    <n v="0"/>
    <x v="0"/>
    <d v="2024-07-12T00:00:00"/>
    <x v="1"/>
    <s v="Voluntary"/>
    <x v="3"/>
    <x v="0"/>
    <x v="2"/>
    <x v="3"/>
    <x v="3"/>
  </r>
  <r>
    <x v="1301"/>
    <s v="No"/>
    <x v="1"/>
    <s v="Manufacturing Director"/>
    <x v="1"/>
    <x v="0"/>
    <n v="10"/>
    <n v="164904"/>
    <n v="16"/>
    <n v="37.5"/>
    <s v="No"/>
    <n v="39"/>
    <s v="Woman"/>
    <s v="Married"/>
    <x v="0"/>
    <n v="1"/>
    <s v="Trades Apprenticeship"/>
    <s v="Life Sciences"/>
    <n v="3"/>
    <n v="1"/>
    <n v="21"/>
    <n v="3"/>
    <n v="21"/>
    <n v="6"/>
    <n v="11"/>
    <n v="8"/>
    <x v="2"/>
    <d v="2023-02-22T00:00:00"/>
    <x v="0"/>
    <s v="Voluntary"/>
    <x v="0"/>
    <x v="1"/>
    <x v="1"/>
    <x v="0"/>
    <x v="0"/>
  </r>
  <r>
    <x v="1302"/>
    <s v="No"/>
    <x v="1"/>
    <s v="Manager, Sales"/>
    <x v="1"/>
    <x v="1"/>
    <n v="4"/>
    <n v="207492"/>
    <n v="22"/>
    <n v="37.5"/>
    <s v="No"/>
    <n v="58"/>
    <s v="Man"/>
    <s v="Divorced"/>
    <x v="2"/>
    <n v="2"/>
    <s v="Bachelor's Degree"/>
    <s v="Medical"/>
    <n v="4"/>
    <n v="1"/>
    <n v="37"/>
    <n v="0"/>
    <n v="16"/>
    <n v="9"/>
    <n v="14"/>
    <n v="14"/>
    <x v="2"/>
    <d v="2025-09-12T00:00:00"/>
    <x v="1"/>
    <s v="Involuntary"/>
    <x v="1"/>
    <x v="3"/>
    <x v="0"/>
    <x v="1"/>
    <x v="2"/>
  </r>
  <r>
    <x v="1303"/>
    <s v="No"/>
    <x v="1"/>
    <s v="Laboratory Technician"/>
    <x v="0"/>
    <x v="0"/>
    <n v="5"/>
    <n v="56460"/>
    <n v="16"/>
    <n v="37.5"/>
    <s v="No"/>
    <n v="35"/>
    <s v="Man"/>
    <s v="Married"/>
    <x v="0"/>
    <n v="23"/>
    <s v="Master's Degree"/>
    <s v="Medical"/>
    <n v="3"/>
    <n v="1"/>
    <n v="6"/>
    <n v="2"/>
    <n v="5"/>
    <n v="4"/>
    <n v="0"/>
    <n v="3"/>
    <x v="1"/>
    <d v="2024-04-15T00:00:00"/>
    <x v="1"/>
    <s v="Voluntary"/>
    <x v="1"/>
    <x v="0"/>
    <x v="2"/>
    <x v="2"/>
    <x v="1"/>
  </r>
  <r>
    <x v="1304"/>
    <s v="No"/>
    <x v="1"/>
    <s v="Manufacturing Director"/>
    <x v="1"/>
    <x v="0"/>
    <n v="10"/>
    <n v="167580"/>
    <n v="20"/>
    <n v="37.5"/>
    <s v="Yes"/>
    <n v="53"/>
    <s v="Woman"/>
    <s v="Married"/>
    <x v="2"/>
    <n v="1"/>
    <s v="Master's Degree"/>
    <s v="Medical"/>
    <n v="4"/>
    <n v="3"/>
    <n v="27"/>
    <n v="2"/>
    <n v="3"/>
    <n v="2"/>
    <n v="0"/>
    <n v="2"/>
    <x v="1"/>
    <d v="2025-02-14T00:00:00"/>
    <x v="1"/>
    <s v="Involuntary"/>
    <x v="3"/>
    <x v="0"/>
    <x v="0"/>
    <x v="1"/>
    <x v="2"/>
  </r>
  <r>
    <x v="1305"/>
    <s v="No"/>
    <x v="1"/>
    <s v="Manager, R&amp;D"/>
    <x v="1"/>
    <x v="0"/>
    <n v="10"/>
    <n v="169392"/>
    <n v="11"/>
    <n v="37.5"/>
    <s v="No"/>
    <n v="51"/>
    <s v="Woman"/>
    <s v="Married"/>
    <x v="0"/>
    <n v="3"/>
    <s v="Bachelor's Degree"/>
    <s v="Technical Degree"/>
    <n v="3"/>
    <n v="0"/>
    <n v="15"/>
    <n v="2"/>
    <n v="2"/>
    <n v="2"/>
    <n v="2"/>
    <n v="2"/>
    <x v="0"/>
    <d v="2022-11-20T00:00:00"/>
    <x v="0"/>
    <s v="Involuntary"/>
    <x v="3"/>
    <x v="0"/>
    <x v="0"/>
    <x v="0"/>
    <x v="1"/>
  </r>
  <r>
    <x v="1306"/>
    <s v="No"/>
    <x v="1"/>
    <s v="Sales Executive"/>
    <x v="0"/>
    <x v="1"/>
    <n v="6"/>
    <n v="68208"/>
    <n v="13"/>
    <n v="37.5"/>
    <s v="No"/>
    <n v="26"/>
    <s v="Man"/>
    <s v="Single"/>
    <x v="0"/>
    <n v="10"/>
    <s v="Bachelor's Degree"/>
    <s v="Medical"/>
    <n v="3"/>
    <n v="0"/>
    <n v="5"/>
    <n v="4"/>
    <n v="5"/>
    <n v="3"/>
    <n v="1"/>
    <n v="2"/>
    <x v="1"/>
    <d v="2023-11-21T00:00:00"/>
    <x v="0"/>
    <s v="Voluntary"/>
    <x v="2"/>
    <x v="1"/>
    <x v="3"/>
    <x v="0"/>
    <x v="1"/>
  </r>
  <r>
    <x v="1307"/>
    <s v="No"/>
    <x v="1"/>
    <s v="Manufacturing Director"/>
    <x v="1"/>
    <x v="0"/>
    <n v="10"/>
    <n v="169704"/>
    <n v="16"/>
    <n v="37.5"/>
    <s v="No"/>
    <n v="51"/>
    <s v="Woman"/>
    <s v="Single"/>
    <x v="0"/>
    <n v="11"/>
    <s v="Certificate or Diploma"/>
    <s v="Technical Degree"/>
    <n v="3"/>
    <n v="0"/>
    <n v="29"/>
    <n v="1"/>
    <n v="5"/>
    <n v="2"/>
    <n v="0"/>
    <n v="3"/>
    <x v="1"/>
    <d v="2022-11-03T00:00:00"/>
    <x v="0"/>
    <s v="Voluntary"/>
    <x v="0"/>
    <x v="3"/>
    <x v="2"/>
    <x v="1"/>
    <x v="2"/>
  </r>
  <r>
    <x v="1308"/>
    <s v="No"/>
    <x v="1"/>
    <s v="Research Director"/>
    <x v="1"/>
    <x v="0"/>
    <n v="10"/>
    <n v="170292"/>
    <n v="17"/>
    <n v="37.5"/>
    <s v="Yes"/>
    <n v="42"/>
    <s v="Woman"/>
    <s v="Married"/>
    <x v="1"/>
    <n v="26"/>
    <s v="Doctorate"/>
    <s v="Medical"/>
    <n v="3"/>
    <n v="0"/>
    <n v="20"/>
    <n v="6"/>
    <n v="1"/>
    <n v="0"/>
    <n v="0"/>
    <n v="0"/>
    <x v="0"/>
    <d v="2023-01-08T00:00:00"/>
    <x v="0"/>
    <s v="Involuntary"/>
    <x v="3"/>
    <x v="2"/>
    <x v="1"/>
    <x v="0"/>
    <x v="8"/>
  </r>
  <r>
    <x v="1309"/>
    <s v="No"/>
    <x v="1"/>
    <s v="Research Director"/>
    <x v="1"/>
    <x v="0"/>
    <n v="10"/>
    <n v="170472"/>
    <n v="12"/>
    <n v="37.5"/>
    <s v="No"/>
    <n v="38"/>
    <s v="Woman"/>
    <s v="Married"/>
    <x v="0"/>
    <n v="10"/>
    <s v="Bachelor's Degree"/>
    <s v="Medical"/>
    <n v="3"/>
    <n v="1"/>
    <n v="20"/>
    <n v="3"/>
    <n v="18"/>
    <n v="16"/>
    <n v="1"/>
    <n v="11"/>
    <x v="2"/>
    <d v="2023-04-27T00:00:00"/>
    <x v="0"/>
    <s v="Voluntary"/>
    <x v="1"/>
    <x v="0"/>
    <x v="3"/>
    <x v="0"/>
    <x v="6"/>
  </r>
  <r>
    <x v="1310"/>
    <s v="No"/>
    <x v="1"/>
    <s v="Sales Executive"/>
    <x v="0"/>
    <x v="1"/>
    <n v="10"/>
    <n v="170544"/>
    <n v="11"/>
    <n v="37.5"/>
    <s v="No"/>
    <n v="56"/>
    <s v="Woman"/>
    <s v="Married"/>
    <x v="1"/>
    <n v="6"/>
    <s v="Bachelor's Degree"/>
    <s v="Life Sciences"/>
    <n v="3"/>
    <n v="3"/>
    <n v="36"/>
    <n v="0"/>
    <n v="7"/>
    <n v="7"/>
    <n v="7"/>
    <n v="7"/>
    <x v="1"/>
    <d v="2024-07-01T00:00:00"/>
    <x v="1"/>
    <s v="Involuntary"/>
    <x v="2"/>
    <x v="2"/>
    <x v="0"/>
    <x v="1"/>
    <x v="2"/>
  </r>
  <r>
    <x v="1311"/>
    <s v="No"/>
    <x v="1"/>
    <s v="Sales Executive"/>
    <x v="0"/>
    <x v="1"/>
    <n v="10"/>
    <n v="170700"/>
    <n v="12"/>
    <n v="37.5"/>
    <s v="No"/>
    <n v="46"/>
    <s v="Woman"/>
    <s v="Divorced"/>
    <x v="0"/>
    <n v="3"/>
    <s v="Bachelor's Degree"/>
    <s v="Technical Degree"/>
    <n v="3"/>
    <n v="1"/>
    <n v="25"/>
    <n v="5"/>
    <n v="19"/>
    <n v="17"/>
    <n v="2"/>
    <n v="8"/>
    <x v="2"/>
    <d v="2024-07-10T00:00:00"/>
    <x v="1"/>
    <s v="Involuntary"/>
    <x v="3"/>
    <x v="2"/>
    <x v="0"/>
    <x v="0"/>
    <x v="6"/>
  </r>
  <r>
    <x v="1312"/>
    <s v="No"/>
    <x v="1"/>
    <s v="Manufacturing Director"/>
    <x v="1"/>
    <x v="0"/>
    <n v="10"/>
    <n v="170844"/>
    <n v="15"/>
    <n v="37.5"/>
    <s v="No"/>
    <n v="40"/>
    <s v="Woman"/>
    <s v="Single"/>
    <x v="0"/>
    <n v="6"/>
    <s v="Bachelor's Degree"/>
    <s v="Life Sciences"/>
    <n v="3"/>
    <n v="0"/>
    <n v="22"/>
    <n v="3"/>
    <n v="20"/>
    <n v="6"/>
    <n v="5"/>
    <n v="13"/>
    <x v="2"/>
    <d v="2025-01-28T00:00:00"/>
    <x v="1"/>
    <s v="Voluntary"/>
    <x v="1"/>
    <x v="0"/>
    <x v="1"/>
    <x v="0"/>
    <x v="1"/>
  </r>
  <r>
    <x v="1313"/>
    <s v="No"/>
    <x v="1"/>
    <s v="Research Director"/>
    <x v="1"/>
    <x v="0"/>
    <n v="4"/>
    <n v="201444"/>
    <n v="14"/>
    <n v="37.5"/>
    <s v="Yes"/>
    <n v="58"/>
    <s v="Man"/>
    <s v="Married"/>
    <x v="1"/>
    <n v="15"/>
    <s v="Master's Degree"/>
    <s v="Life Sciences"/>
    <n v="3"/>
    <n v="0"/>
    <n v="23"/>
    <n v="3"/>
    <n v="2"/>
    <n v="2"/>
    <n v="2"/>
    <n v="2"/>
    <x v="0"/>
    <d v="2022-05-31T00:00:00"/>
    <x v="0"/>
    <s v="Voluntary"/>
    <x v="3"/>
    <x v="0"/>
    <x v="2"/>
    <x v="0"/>
    <x v="6"/>
  </r>
  <r>
    <x v="1314"/>
    <s v="No"/>
    <x v="1"/>
    <s v="Manufacturing Director"/>
    <x v="1"/>
    <x v="0"/>
    <n v="10"/>
    <n v="170964"/>
    <n v="11"/>
    <n v="37.5"/>
    <s v="Yes"/>
    <n v="52"/>
    <s v="Woman"/>
    <s v="Married"/>
    <x v="1"/>
    <n v="28"/>
    <s v="Certificate or Diploma"/>
    <s v="Medical"/>
    <n v="3"/>
    <n v="1"/>
    <n v="24"/>
    <n v="3"/>
    <n v="5"/>
    <n v="3"/>
    <n v="0"/>
    <n v="2"/>
    <x v="1"/>
    <d v="2023-12-03T00:00:00"/>
    <x v="0"/>
    <s v="Voluntary"/>
    <x v="0"/>
    <x v="0"/>
    <x v="2"/>
    <x v="1"/>
    <x v="1"/>
  </r>
  <r>
    <x v="1315"/>
    <s v="No"/>
    <x v="1"/>
    <s v="Research Director"/>
    <x v="1"/>
    <x v="0"/>
    <n v="10"/>
    <n v="171228"/>
    <n v="15"/>
    <n v="37.5"/>
    <s v="No"/>
    <n v="50"/>
    <s v="Woman"/>
    <s v="Divorced"/>
    <x v="0"/>
    <n v="17"/>
    <s v="Doctorate"/>
    <s v="Life Sciences"/>
    <n v="3"/>
    <n v="3"/>
    <n v="19"/>
    <n v="3"/>
    <n v="14"/>
    <n v="11"/>
    <n v="1"/>
    <n v="11"/>
    <x v="2"/>
    <d v="2022-06-21T00:00:00"/>
    <x v="0"/>
    <s v="Voluntary"/>
    <x v="0"/>
    <x v="2"/>
    <x v="1"/>
    <x v="0"/>
    <x v="1"/>
  </r>
  <r>
    <x v="1316"/>
    <s v="No"/>
    <x v="1"/>
    <s v="Sales Executive"/>
    <x v="0"/>
    <x v="1"/>
    <n v="10"/>
    <n v="171840"/>
    <n v="18"/>
    <n v="37.5"/>
    <s v="Yes"/>
    <n v="44"/>
    <s v="Woman"/>
    <s v="Married"/>
    <x v="0"/>
    <n v="28"/>
    <s v="Bachelor's Degree"/>
    <s v="Medical"/>
    <n v="3"/>
    <n v="1"/>
    <n v="23"/>
    <n v="2"/>
    <n v="12"/>
    <n v="11"/>
    <n v="11"/>
    <n v="11"/>
    <x v="2"/>
    <d v="2024-11-03T00:00:00"/>
    <x v="1"/>
    <s v="Voluntary"/>
    <x v="0"/>
    <x v="1"/>
    <x v="1"/>
    <x v="0"/>
    <x v="0"/>
  </r>
  <r>
    <x v="1317"/>
    <s v="No"/>
    <x v="1"/>
    <s v="Sales Executive"/>
    <x v="0"/>
    <x v="1"/>
    <n v="7"/>
    <n v="80100"/>
    <n v="20"/>
    <n v="37.5"/>
    <s v="No"/>
    <n v="43"/>
    <s v="Man"/>
    <s v="Married"/>
    <x v="1"/>
    <n v="2"/>
    <s v="Master's Degree"/>
    <s v="Life Sciences"/>
    <n v="4"/>
    <n v="1"/>
    <n v="7"/>
    <n v="5"/>
    <n v="7"/>
    <n v="7"/>
    <n v="7"/>
    <n v="7"/>
    <x v="1"/>
    <d v="2024-09-20T00:00:00"/>
    <x v="1"/>
    <s v="Voluntary"/>
    <x v="3"/>
    <x v="1"/>
    <x v="1"/>
    <x v="0"/>
    <x v="1"/>
  </r>
  <r>
    <x v="1318"/>
    <s v="No"/>
    <x v="1"/>
    <s v="Research Director"/>
    <x v="1"/>
    <x v="0"/>
    <n v="10"/>
    <n v="173496"/>
    <n v="12"/>
    <n v="37.5"/>
    <s v="Yes"/>
    <n v="33"/>
    <s v="Woman"/>
    <s v="Single"/>
    <x v="1"/>
    <n v="1"/>
    <s v="Certificate or Diploma"/>
    <s v="Life Sciences"/>
    <n v="3"/>
    <n v="0"/>
    <n v="15"/>
    <n v="1"/>
    <n v="15"/>
    <n v="14"/>
    <n v="8"/>
    <n v="12"/>
    <x v="2"/>
    <d v="2024-12-31T00:00:00"/>
    <x v="1"/>
    <s v="Involuntary"/>
    <x v="3"/>
    <x v="1"/>
    <x v="1"/>
    <x v="0"/>
    <x v="1"/>
  </r>
  <r>
    <x v="1319"/>
    <s v="No"/>
    <x v="1"/>
    <s v="Laboratory Technician"/>
    <x v="0"/>
    <x v="0"/>
    <n v="6"/>
    <n v="69744"/>
    <n v="13"/>
    <n v="37.5"/>
    <s v="No"/>
    <n v="29"/>
    <s v="Man"/>
    <s v="Married"/>
    <x v="1"/>
    <n v="20"/>
    <s v="Trades Apprenticeship"/>
    <s v="Medical"/>
    <n v="3"/>
    <n v="0"/>
    <n v="11"/>
    <n v="3"/>
    <n v="11"/>
    <n v="8"/>
    <n v="3"/>
    <n v="10"/>
    <x v="2"/>
    <d v="2022-11-07T00:00:00"/>
    <x v="0"/>
    <s v="Voluntary"/>
    <x v="0"/>
    <x v="1"/>
    <x v="2"/>
    <x v="2"/>
    <x v="0"/>
  </r>
  <r>
    <x v="1320"/>
    <s v="No"/>
    <x v="1"/>
    <s v="Sales Executive"/>
    <x v="0"/>
    <x v="1"/>
    <n v="6"/>
    <n v="67776"/>
    <n v="13"/>
    <n v="37.5"/>
    <s v="No"/>
    <n v="32"/>
    <s v="Man"/>
    <s v="Single"/>
    <x v="1"/>
    <n v="10"/>
    <s v="Master's Degree"/>
    <s v="Marketing"/>
    <n v="3"/>
    <n v="0"/>
    <n v="4"/>
    <n v="2"/>
    <n v="0"/>
    <n v="0"/>
    <n v="0"/>
    <n v="0"/>
    <x v="0"/>
    <d v="2022-10-26T00:00:00"/>
    <x v="0"/>
    <s v="Voluntary"/>
    <x v="0"/>
    <x v="1"/>
    <x v="1"/>
    <x v="2"/>
    <x v="7"/>
  </r>
  <r>
    <x v="1321"/>
    <s v="No"/>
    <x v="1"/>
    <s v="Research Director"/>
    <x v="1"/>
    <x v="0"/>
    <n v="10"/>
    <n v="173988"/>
    <n v="17"/>
    <n v="37.5"/>
    <s v="No"/>
    <n v="40"/>
    <s v="Woman"/>
    <s v="Single"/>
    <x v="1"/>
    <n v="9"/>
    <s v="Master's Degree"/>
    <s v="Medical"/>
    <n v="3"/>
    <n v="0"/>
    <n v="20"/>
    <n v="3"/>
    <n v="18"/>
    <n v="7"/>
    <n v="2"/>
    <n v="13"/>
    <x v="2"/>
    <d v="2023-10-06T00:00:00"/>
    <x v="0"/>
    <s v="Voluntary"/>
    <x v="1"/>
    <x v="0"/>
    <x v="1"/>
    <x v="1"/>
    <x v="2"/>
  </r>
  <r>
    <x v="1322"/>
    <s v="No"/>
    <x v="1"/>
    <s v="Research Scientist"/>
    <x v="0"/>
    <x v="0"/>
    <n v="5"/>
    <n v="59232"/>
    <n v="22"/>
    <n v="37.5"/>
    <s v="No"/>
    <n v="42"/>
    <s v="Man"/>
    <s v="Married"/>
    <x v="2"/>
    <n v="10"/>
    <s v="Master's Degree"/>
    <s v="Technical Degree"/>
    <n v="4"/>
    <n v="2"/>
    <n v="10"/>
    <n v="1"/>
    <n v="6"/>
    <n v="3"/>
    <n v="3"/>
    <n v="3"/>
    <x v="1"/>
    <d v="2024-06-16T00:00:00"/>
    <x v="1"/>
    <s v="Voluntary"/>
    <x v="2"/>
    <x v="0"/>
    <x v="2"/>
    <x v="1"/>
    <x v="2"/>
  </r>
  <r>
    <x v="1323"/>
    <s v="No"/>
    <x v="1"/>
    <s v="Sales Executive"/>
    <x v="0"/>
    <x v="1"/>
    <n v="10"/>
    <n v="174300"/>
    <n v="14"/>
    <n v="37.5"/>
    <s v="No"/>
    <n v="42"/>
    <s v="Woman"/>
    <s v="Married"/>
    <x v="1"/>
    <n v="26"/>
    <s v="Bachelor's Degree"/>
    <s v="Marketing"/>
    <n v="3"/>
    <n v="1"/>
    <n v="23"/>
    <n v="2"/>
    <n v="20"/>
    <n v="4"/>
    <n v="4"/>
    <n v="8"/>
    <x v="2"/>
    <d v="2025-08-03T00:00:00"/>
    <x v="1"/>
    <s v="Involuntary"/>
    <x v="2"/>
    <x v="3"/>
    <x v="0"/>
    <x v="2"/>
    <x v="5"/>
  </r>
  <r>
    <x v="1324"/>
    <s v="No"/>
    <x v="1"/>
    <s v="Research Director"/>
    <x v="1"/>
    <x v="0"/>
    <n v="10"/>
    <n v="174588"/>
    <n v="12"/>
    <n v="37.5"/>
    <s v="No"/>
    <n v="54"/>
    <s v="Woman"/>
    <s v="Married"/>
    <x v="0"/>
    <n v="2"/>
    <s v="Master's Degree"/>
    <s v="Technical Degree"/>
    <n v="3"/>
    <n v="1"/>
    <n v="16"/>
    <n v="5"/>
    <n v="4"/>
    <n v="3"/>
    <n v="0"/>
    <n v="3"/>
    <x v="1"/>
    <d v="2023-07-17T00:00:00"/>
    <x v="0"/>
    <s v="Voluntary"/>
    <x v="3"/>
    <x v="0"/>
    <x v="3"/>
    <x v="3"/>
    <x v="9"/>
  </r>
  <r>
    <x v="1325"/>
    <s v="No"/>
    <x v="1"/>
    <s v="Manufacturing Director"/>
    <x v="1"/>
    <x v="0"/>
    <n v="10"/>
    <n v="174840"/>
    <n v="23"/>
    <n v="37.5"/>
    <s v="No"/>
    <n v="41"/>
    <s v="Woman"/>
    <s v="Married"/>
    <x v="0"/>
    <n v="28"/>
    <s v="Master's Degree"/>
    <s v="Life Sciences"/>
    <n v="4"/>
    <n v="1"/>
    <n v="21"/>
    <n v="3"/>
    <n v="20"/>
    <n v="7"/>
    <n v="0"/>
    <n v="10"/>
    <x v="2"/>
    <d v="2024-04-04T00:00:00"/>
    <x v="1"/>
    <s v="Involuntary"/>
    <x v="3"/>
    <x v="3"/>
    <x v="1"/>
    <x v="0"/>
    <x v="6"/>
  </r>
  <r>
    <x v="1326"/>
    <s v="No"/>
    <x v="1"/>
    <s v="Manufacturing Director"/>
    <x v="1"/>
    <x v="0"/>
    <n v="9"/>
    <n v="114936"/>
    <n v="14"/>
    <n v="37.5"/>
    <s v="No"/>
    <n v="46"/>
    <s v="Man"/>
    <s v="Divorced"/>
    <x v="0"/>
    <n v="2"/>
    <s v="Certificate or Diploma"/>
    <s v="Life Sciences"/>
    <n v="3"/>
    <n v="1"/>
    <n v="12"/>
    <n v="4"/>
    <n v="9"/>
    <n v="8"/>
    <n v="4"/>
    <n v="7"/>
    <x v="1"/>
    <d v="2024-07-24T00:00:00"/>
    <x v="1"/>
    <s v="Voluntary"/>
    <x v="0"/>
    <x v="1"/>
    <x v="1"/>
    <x v="1"/>
    <x v="5"/>
  </r>
  <r>
    <x v="1327"/>
    <s v="No"/>
    <x v="1"/>
    <s v="Research Director"/>
    <x v="1"/>
    <x v="0"/>
    <n v="10"/>
    <n v="174984"/>
    <n v="13"/>
    <n v="37.5"/>
    <s v="No"/>
    <n v="38"/>
    <s v="Woman"/>
    <s v="Married"/>
    <x v="0"/>
    <n v="1"/>
    <s v="Bachelor's Degree"/>
    <s v="Technical Degree"/>
    <n v="3"/>
    <n v="1"/>
    <n v="15"/>
    <n v="3"/>
    <n v="15"/>
    <n v="12"/>
    <n v="5"/>
    <n v="11"/>
    <x v="2"/>
    <d v="2022-02-20T00:00:00"/>
    <x v="0"/>
    <s v="Involuntary"/>
    <x v="0"/>
    <x v="2"/>
    <x v="2"/>
    <x v="0"/>
    <x v="2"/>
  </r>
  <r>
    <x v="1328"/>
    <s v="No"/>
    <x v="1"/>
    <s v="Manager, Sales"/>
    <x v="1"/>
    <x v="1"/>
    <n v="3"/>
    <n v="175092"/>
    <n v="18"/>
    <n v="37.5"/>
    <s v="Yes"/>
    <n v="41"/>
    <s v="Woman"/>
    <s v="Single"/>
    <x v="0"/>
    <n v="6"/>
    <s v="Bachelor's Degree"/>
    <s v="Life Sciences"/>
    <n v="3"/>
    <n v="0"/>
    <n v="16"/>
    <n v="3"/>
    <n v="1"/>
    <n v="0"/>
    <n v="0"/>
    <n v="0"/>
    <x v="0"/>
    <d v="2025-09-05T00:00:00"/>
    <x v="1"/>
    <s v="Voluntary"/>
    <x v="0"/>
    <x v="1"/>
    <x v="1"/>
    <x v="0"/>
    <x v="0"/>
  </r>
  <r>
    <x v="1329"/>
    <s v="No"/>
    <x v="1"/>
    <s v="Research Director"/>
    <x v="1"/>
    <x v="0"/>
    <n v="3"/>
    <n v="175236"/>
    <n v="18"/>
    <n v="37.5"/>
    <s v="Yes"/>
    <n v="37"/>
    <s v="Woman"/>
    <s v="Divorced"/>
    <x v="2"/>
    <n v="1"/>
    <s v="Master's Degree"/>
    <s v="Medical"/>
    <n v="3"/>
    <n v="2"/>
    <n v="15"/>
    <n v="2"/>
    <n v="5"/>
    <n v="2"/>
    <n v="0"/>
    <n v="2"/>
    <x v="1"/>
    <d v="2024-07-17T00:00:00"/>
    <x v="1"/>
    <s v="Voluntary"/>
    <x v="3"/>
    <x v="1"/>
    <x v="3"/>
    <x v="0"/>
    <x v="6"/>
  </r>
  <r>
    <x v="1330"/>
    <s v="No"/>
    <x v="1"/>
    <s v="Compensation Analyst"/>
    <x v="0"/>
    <x v="2"/>
    <n v="5"/>
    <n v="56472"/>
    <n v="15"/>
    <n v="37.5"/>
    <s v="No"/>
    <n v="28"/>
    <s v="Man"/>
    <s v="Divorced"/>
    <x v="2"/>
    <n v="1"/>
    <s v="Certificate or Diploma"/>
    <s v="Life Sciences"/>
    <n v="3"/>
    <n v="1"/>
    <n v="3"/>
    <n v="2"/>
    <n v="3"/>
    <n v="2"/>
    <n v="2"/>
    <n v="2"/>
    <x v="1"/>
    <d v="2025-06-26T00:00:00"/>
    <x v="1"/>
    <s v="Voluntary"/>
    <x v="2"/>
    <x v="1"/>
    <x v="2"/>
    <x v="0"/>
    <x v="4"/>
  </r>
  <r>
    <x v="1331"/>
    <s v="No"/>
    <x v="1"/>
    <s v="Healthcare Representative"/>
    <x v="0"/>
    <x v="0"/>
    <n v="8"/>
    <n v="88608"/>
    <n v="17"/>
    <n v="37.5"/>
    <s v="No"/>
    <n v="29"/>
    <s v="Man"/>
    <s v="Divorced"/>
    <x v="0"/>
    <n v="29"/>
    <s v="Trades Apprenticeship"/>
    <s v="Life Sciences"/>
    <n v="3"/>
    <n v="2"/>
    <n v="11"/>
    <n v="3"/>
    <n v="7"/>
    <n v="0"/>
    <n v="1"/>
    <n v="6"/>
    <x v="1"/>
    <d v="2023-11-26T00:00:00"/>
    <x v="0"/>
    <s v="Voluntary"/>
    <x v="0"/>
    <x v="0"/>
    <x v="0"/>
    <x v="0"/>
    <x v="0"/>
  </r>
  <r>
    <x v="1332"/>
    <s v="No"/>
    <x v="1"/>
    <s v="Laboratory Technician"/>
    <x v="0"/>
    <x v="0"/>
    <n v="7"/>
    <n v="71616"/>
    <n v="13"/>
    <n v="37.5"/>
    <s v="No"/>
    <n v="42"/>
    <s v="Man"/>
    <s v="Single"/>
    <x v="0"/>
    <n v="8"/>
    <s v="Bachelor's Degree"/>
    <s v="Life Sciences"/>
    <n v="3"/>
    <n v="0"/>
    <n v="8"/>
    <n v="3"/>
    <n v="0"/>
    <n v="0"/>
    <n v="0"/>
    <n v="0"/>
    <x v="0"/>
    <d v="2024-07-25T00:00:00"/>
    <x v="1"/>
    <s v="Voluntary"/>
    <x v="0"/>
    <x v="0"/>
    <x v="0"/>
    <x v="0"/>
    <x v="0"/>
  </r>
  <r>
    <x v="1333"/>
    <s v="No"/>
    <x v="1"/>
    <s v="Manufacturing Director"/>
    <x v="1"/>
    <x v="0"/>
    <n v="4"/>
    <n v="176712"/>
    <n v="13"/>
    <n v="37.5"/>
    <s v="Yes"/>
    <n v="59"/>
    <s v="Woman"/>
    <s v="Single"/>
    <x v="0"/>
    <n v="2"/>
    <s v="Bachelor's Degree"/>
    <s v="Life Sciences"/>
    <n v="3"/>
    <n v="0"/>
    <n v="30"/>
    <n v="4"/>
    <n v="5"/>
    <n v="3"/>
    <n v="4"/>
    <n v="3"/>
    <x v="1"/>
    <d v="2022-04-30T00:00:00"/>
    <x v="0"/>
    <s v="Involuntary"/>
    <x v="2"/>
    <x v="1"/>
    <x v="3"/>
    <x v="0"/>
    <x v="1"/>
  </r>
  <r>
    <x v="1334"/>
    <s v="No"/>
    <x v="1"/>
    <s v="Healthcare Representative"/>
    <x v="0"/>
    <x v="0"/>
    <n v="4"/>
    <n v="176808"/>
    <n v="18"/>
    <n v="37.5"/>
    <s v="No"/>
    <n v="51"/>
    <s v="Woman"/>
    <s v="Single"/>
    <x v="0"/>
    <n v="3"/>
    <s v="Bachelor's Degree"/>
    <s v="Medical"/>
    <n v="3"/>
    <n v="0"/>
    <n v="21"/>
    <n v="6"/>
    <n v="7"/>
    <n v="7"/>
    <n v="1"/>
    <n v="0"/>
    <x v="1"/>
    <d v="2022-08-28T00:00:00"/>
    <x v="0"/>
    <s v="Involuntary"/>
    <x v="0"/>
    <x v="3"/>
    <x v="1"/>
    <x v="0"/>
    <x v="4"/>
  </r>
  <r>
    <x v="1335"/>
    <s v="No"/>
    <x v="1"/>
    <s v="Research Director"/>
    <x v="1"/>
    <x v="0"/>
    <n v="3"/>
    <n v="176928"/>
    <n v="25"/>
    <n v="37.5"/>
    <s v="Yes"/>
    <n v="37"/>
    <s v="Woman"/>
    <s v="Married"/>
    <x v="0"/>
    <n v="10"/>
    <s v="Bachelor's Degree"/>
    <s v="Life Sciences"/>
    <n v="4"/>
    <n v="1"/>
    <n v="16"/>
    <n v="2"/>
    <n v="16"/>
    <n v="11"/>
    <n v="6"/>
    <n v="8"/>
    <x v="2"/>
    <d v="2024-07-28T00:00:00"/>
    <x v="1"/>
    <s v="Voluntary"/>
    <x v="2"/>
    <x v="1"/>
    <x v="3"/>
    <x v="0"/>
    <x v="1"/>
  </r>
  <r>
    <x v="1336"/>
    <s v="No"/>
    <x v="1"/>
    <s v="HR Business Partner"/>
    <x v="0"/>
    <x v="2"/>
    <n v="5"/>
    <n v="57648"/>
    <n v="11"/>
    <n v="37.5"/>
    <s v="No"/>
    <n v="29"/>
    <s v="Man"/>
    <s v="Married"/>
    <x v="0"/>
    <n v="6"/>
    <s v="Trades Apprenticeship"/>
    <s v="Medical"/>
    <n v="3"/>
    <n v="0"/>
    <n v="1"/>
    <n v="3"/>
    <n v="1"/>
    <n v="0"/>
    <n v="0"/>
    <n v="0"/>
    <x v="0"/>
    <d v="2024-01-18T00:00:00"/>
    <x v="1"/>
    <s v="Voluntary"/>
    <x v="0"/>
    <x v="3"/>
    <x v="0"/>
    <x v="0"/>
    <x v="5"/>
  </r>
  <r>
    <x v="1337"/>
    <s v="No"/>
    <x v="1"/>
    <s v="Research Director"/>
    <x v="1"/>
    <x v="0"/>
    <n v="5"/>
    <n v="247980"/>
    <n v="12"/>
    <n v="37.5"/>
    <s v="No"/>
    <n v="48"/>
    <s v="Man"/>
    <s v="Married"/>
    <x v="0"/>
    <n v="10"/>
    <s v="Bachelor's Degree"/>
    <s v="Life Sciences"/>
    <n v="3"/>
    <n v="0"/>
    <n v="29"/>
    <n v="3"/>
    <n v="22"/>
    <n v="10"/>
    <n v="12"/>
    <n v="9"/>
    <x v="2"/>
    <d v="2024-12-04T00:00:00"/>
    <x v="1"/>
    <s v="Voluntary"/>
    <x v="0"/>
    <x v="3"/>
    <x v="0"/>
    <x v="0"/>
    <x v="5"/>
  </r>
  <r>
    <x v="1338"/>
    <s v="No"/>
    <x v="1"/>
    <s v="Sales Executive"/>
    <x v="0"/>
    <x v="1"/>
    <n v="4"/>
    <n v="177240"/>
    <n v="12"/>
    <n v="37.5"/>
    <s v="Yes"/>
    <n v="47"/>
    <s v="Woman"/>
    <s v="Divorced"/>
    <x v="1"/>
    <n v="3"/>
    <s v="Bachelor's Degree"/>
    <s v="Medical"/>
    <n v="3"/>
    <n v="2"/>
    <n v="28"/>
    <n v="2"/>
    <n v="22"/>
    <n v="2"/>
    <n v="11"/>
    <n v="13"/>
    <x v="2"/>
    <d v="2024-05-29T00:00:00"/>
    <x v="1"/>
    <s v="Voluntary"/>
    <x v="0"/>
    <x v="0"/>
    <x v="0"/>
    <x v="1"/>
    <x v="5"/>
  </r>
  <r>
    <x v="1339"/>
    <s v="No"/>
    <x v="1"/>
    <s v="Manufacturing Director"/>
    <x v="1"/>
    <x v="0"/>
    <n v="4"/>
    <n v="177912"/>
    <n v="22"/>
    <n v="37.5"/>
    <s v="No"/>
    <n v="52"/>
    <s v="Woman"/>
    <s v="Married"/>
    <x v="1"/>
    <n v="25"/>
    <s v="Master's Degree"/>
    <s v="Medical"/>
    <n v="4"/>
    <n v="0"/>
    <n v="31"/>
    <n v="3"/>
    <n v="9"/>
    <n v="8"/>
    <n v="0"/>
    <n v="0"/>
    <x v="1"/>
    <d v="2023-04-14T00:00:00"/>
    <x v="0"/>
    <s v="Involuntary"/>
    <x v="2"/>
    <x v="1"/>
    <x v="1"/>
    <x v="0"/>
    <x v="5"/>
  </r>
  <r>
    <x v="1340"/>
    <s v="No"/>
    <x v="1"/>
    <s v="Healthcare Representative"/>
    <x v="0"/>
    <x v="0"/>
    <n v="4"/>
    <n v="179568"/>
    <n v="12"/>
    <n v="37.5"/>
    <s v="Yes"/>
    <n v="49"/>
    <s v="Woman"/>
    <s v="Single"/>
    <x v="0"/>
    <n v="1"/>
    <s v="Certificate or Diploma"/>
    <s v="Technical Degree"/>
    <n v="3"/>
    <n v="0"/>
    <n v="25"/>
    <n v="2"/>
    <n v="7"/>
    <n v="1"/>
    <n v="0"/>
    <n v="7"/>
    <x v="1"/>
    <d v="2022-04-16T00:00:00"/>
    <x v="0"/>
    <s v="Voluntary"/>
    <x v="2"/>
    <x v="0"/>
    <x v="0"/>
    <x v="0"/>
    <x v="5"/>
  </r>
  <r>
    <x v="1341"/>
    <s v="No"/>
    <x v="1"/>
    <s v="Healthcare Representative"/>
    <x v="0"/>
    <x v="0"/>
    <n v="4"/>
    <n v="179592"/>
    <n v="19"/>
    <n v="37.5"/>
    <s v="Yes"/>
    <n v="49"/>
    <s v="Woman"/>
    <s v="Married"/>
    <x v="0"/>
    <n v="6"/>
    <s v="Trades Apprenticeship"/>
    <s v="Life Sciences"/>
    <n v="3"/>
    <n v="1"/>
    <n v="30"/>
    <n v="3"/>
    <n v="15"/>
    <n v="11"/>
    <n v="2"/>
    <n v="12"/>
    <x v="2"/>
    <d v="2024-10-03T00:00:00"/>
    <x v="1"/>
    <s v="Voluntary"/>
    <x v="2"/>
    <x v="0"/>
    <x v="2"/>
    <x v="0"/>
    <x v="1"/>
  </r>
  <r>
    <x v="1342"/>
    <s v="No"/>
    <x v="1"/>
    <s v="Research Scientist"/>
    <x v="0"/>
    <x v="0"/>
    <n v="7"/>
    <n v="70824"/>
    <n v="14"/>
    <n v="37.5"/>
    <s v="No"/>
    <n v="39"/>
    <s v="Man"/>
    <s v="Divorced"/>
    <x v="0"/>
    <n v="19"/>
    <s v="Master's Degree"/>
    <s v="Other"/>
    <n v="3"/>
    <n v="3"/>
    <n v="7"/>
    <n v="2"/>
    <n v="2"/>
    <n v="2"/>
    <n v="2"/>
    <n v="2"/>
    <x v="0"/>
    <d v="2025-12-24T00:00:00"/>
    <x v="1"/>
    <s v="Voluntary"/>
    <x v="0"/>
    <x v="1"/>
    <x v="2"/>
    <x v="0"/>
    <x v="5"/>
  </r>
  <r>
    <x v="1343"/>
    <s v="No"/>
    <x v="1"/>
    <s v="Research Scientist"/>
    <x v="0"/>
    <x v="0"/>
    <n v="5"/>
    <n v="55944"/>
    <n v="20"/>
    <n v="37.5"/>
    <s v="No"/>
    <n v="55"/>
    <s v="Man"/>
    <s v="Married"/>
    <x v="0"/>
    <n v="2"/>
    <s v="Master's Degree"/>
    <s v="Technical Degree"/>
    <n v="4"/>
    <n v="1"/>
    <n v="19"/>
    <n v="2"/>
    <n v="5"/>
    <n v="2"/>
    <n v="0"/>
    <n v="4"/>
    <x v="1"/>
    <d v="2025-12-03T00:00:00"/>
    <x v="1"/>
    <s v="Involuntary"/>
    <x v="1"/>
    <x v="1"/>
    <x v="2"/>
    <x v="2"/>
    <x v="4"/>
  </r>
  <r>
    <x v="1344"/>
    <s v="No"/>
    <x v="1"/>
    <s v="Research Director"/>
    <x v="1"/>
    <x v="0"/>
    <n v="4"/>
    <n v="183300"/>
    <n v="18"/>
    <n v="37.5"/>
    <s v="No"/>
    <n v="53"/>
    <s v="Woman"/>
    <s v="Single"/>
    <x v="0"/>
    <n v="23"/>
    <s v="Master's Degree"/>
    <s v="Life Sciences"/>
    <n v="3"/>
    <n v="0"/>
    <n v="33"/>
    <n v="0"/>
    <n v="12"/>
    <n v="9"/>
    <n v="3"/>
    <n v="8"/>
    <x v="2"/>
    <d v="2025-09-02T00:00:00"/>
    <x v="1"/>
    <s v="Voluntary"/>
    <x v="0"/>
    <x v="1"/>
    <x v="1"/>
    <x v="0"/>
    <x v="0"/>
  </r>
  <r>
    <x v="1345"/>
    <s v="No"/>
    <x v="1"/>
    <s v="Laboratory Technician"/>
    <x v="0"/>
    <x v="0"/>
    <n v="6"/>
    <n v="62364"/>
    <n v="11"/>
    <n v="37.5"/>
    <s v="No"/>
    <n v="31"/>
    <s v="Man"/>
    <s v="Divorced"/>
    <x v="0"/>
    <n v="20"/>
    <s v="Bachelor's Degree"/>
    <s v="Life Sciences"/>
    <n v="3"/>
    <n v="1"/>
    <n v="10"/>
    <n v="2"/>
    <n v="10"/>
    <n v="8"/>
    <n v="0"/>
    <n v="2"/>
    <x v="2"/>
    <d v="2023-06-03T00:00:00"/>
    <x v="0"/>
    <s v="Voluntary"/>
    <x v="1"/>
    <x v="0"/>
    <x v="3"/>
    <x v="0"/>
    <x v="6"/>
  </r>
  <r>
    <x v="1346"/>
    <s v="No"/>
    <x v="1"/>
    <s v="Sales Executive"/>
    <x v="0"/>
    <x v="1"/>
    <n v="9"/>
    <n v="128556"/>
    <n v="13"/>
    <n v="37.5"/>
    <s v="Yes"/>
    <n v="34"/>
    <s v="Man"/>
    <s v="Married"/>
    <x v="0"/>
    <n v="4"/>
    <s v="Bachelor's Degree"/>
    <s v="Life Sciences"/>
    <n v="3"/>
    <n v="3"/>
    <n v="9"/>
    <n v="3"/>
    <n v="5"/>
    <n v="3"/>
    <n v="1"/>
    <n v="0"/>
    <x v="1"/>
    <d v="2024-12-16T00:00:00"/>
    <x v="1"/>
    <s v="Voluntary"/>
    <x v="2"/>
    <x v="1"/>
    <x v="0"/>
    <x v="0"/>
    <x v="0"/>
  </r>
  <r>
    <x v="1347"/>
    <s v="No"/>
    <x v="1"/>
    <s v="Laboratory Technician"/>
    <x v="0"/>
    <x v="0"/>
    <n v="3"/>
    <n v="48744"/>
    <n v="14"/>
    <n v="37.5"/>
    <s v="No"/>
    <n v="29"/>
    <s v="Man"/>
    <s v="Single"/>
    <x v="0"/>
    <n v="7"/>
    <s v="Bachelor's Degree"/>
    <s v="Life Sciences"/>
    <n v="3"/>
    <n v="0"/>
    <n v="11"/>
    <n v="2"/>
    <n v="3"/>
    <n v="2"/>
    <n v="1"/>
    <n v="2"/>
    <x v="1"/>
    <d v="2023-12-06T00:00:00"/>
    <x v="0"/>
    <s v="Involuntary"/>
    <x v="0"/>
    <x v="2"/>
    <x v="2"/>
    <x v="0"/>
    <x v="2"/>
  </r>
  <r>
    <x v="1348"/>
    <s v="No"/>
    <x v="1"/>
    <s v="Manager, R&amp;D"/>
    <x v="1"/>
    <x v="0"/>
    <n v="4"/>
    <n v="189072"/>
    <n v="14"/>
    <n v="37.5"/>
    <s v="Yes"/>
    <n v="55"/>
    <s v="Woman"/>
    <s v="Divorced"/>
    <x v="0"/>
    <n v="8"/>
    <s v="Bachelor's Degree"/>
    <s v="Medical"/>
    <n v="3"/>
    <n v="3"/>
    <n v="21"/>
    <n v="2"/>
    <n v="5"/>
    <n v="0"/>
    <n v="0"/>
    <n v="2"/>
    <x v="1"/>
    <d v="2025-02-20T00:00:00"/>
    <x v="1"/>
    <s v="Voluntary"/>
    <x v="0"/>
    <x v="0"/>
    <x v="1"/>
    <x v="0"/>
    <x v="5"/>
  </r>
  <r>
    <x v="1349"/>
    <s v="No"/>
    <x v="1"/>
    <s v="Research Scientist"/>
    <x v="0"/>
    <x v="0"/>
    <n v="6"/>
    <n v="63408"/>
    <n v="22"/>
    <n v="37.5"/>
    <s v="Yes"/>
    <n v="37"/>
    <s v="Man"/>
    <s v="Married"/>
    <x v="0"/>
    <n v="7"/>
    <s v="Master's Degree"/>
    <s v="Medical"/>
    <n v="4"/>
    <n v="1"/>
    <n v="16"/>
    <n v="2"/>
    <n v="5"/>
    <n v="3"/>
    <n v="0"/>
    <n v="4"/>
    <x v="1"/>
    <d v="2024-12-20T00:00:00"/>
    <x v="1"/>
    <s v="Voluntary"/>
    <x v="0"/>
    <x v="2"/>
    <x v="1"/>
    <x v="0"/>
    <x v="1"/>
  </r>
  <r>
    <x v="1350"/>
    <s v="No"/>
    <x v="1"/>
    <s v="HR Business Partner"/>
    <x v="0"/>
    <x v="2"/>
    <n v="7"/>
    <n v="70632"/>
    <n v="21"/>
    <n v="37.5"/>
    <s v="No"/>
    <n v="36"/>
    <s v="Man"/>
    <s v="Single"/>
    <x v="1"/>
    <n v="2"/>
    <s v="Trades Apprenticeship"/>
    <s v="Human Resources"/>
    <n v="4"/>
    <n v="0"/>
    <n v="10"/>
    <n v="2"/>
    <n v="10"/>
    <n v="1"/>
    <n v="0"/>
    <n v="8"/>
    <x v="2"/>
    <d v="2025-02-06T00:00:00"/>
    <x v="1"/>
    <s v="Involuntary"/>
    <x v="1"/>
    <x v="1"/>
    <x v="0"/>
    <x v="1"/>
    <x v="4"/>
  </r>
  <r>
    <x v="1351"/>
    <s v="No"/>
    <x v="1"/>
    <s v="Manager, R&amp;D"/>
    <x v="1"/>
    <x v="0"/>
    <n v="4"/>
    <n v="213876"/>
    <n v="11"/>
    <n v="37.5"/>
    <s v="No"/>
    <n v="40"/>
    <s v="Man"/>
    <s v="Divorced"/>
    <x v="0"/>
    <n v="1"/>
    <s v="Master's Degree"/>
    <s v="Life Sciences"/>
    <n v="3"/>
    <n v="1"/>
    <n v="22"/>
    <n v="3"/>
    <n v="19"/>
    <n v="7"/>
    <n v="11"/>
    <n v="16"/>
    <x v="2"/>
    <d v="2022-05-15T00:00:00"/>
    <x v="0"/>
    <s v="Involuntary"/>
    <x v="3"/>
    <x v="2"/>
    <x v="3"/>
    <x v="0"/>
    <x v="9"/>
  </r>
  <r>
    <x v="1352"/>
    <s v="No"/>
    <x v="1"/>
    <s v="Healthcare Representative"/>
    <x v="0"/>
    <x v="0"/>
    <n v="7"/>
    <n v="72396"/>
    <n v="15"/>
    <n v="37.5"/>
    <s v="No"/>
    <n v="44"/>
    <s v="Man"/>
    <s v="Married"/>
    <x v="0"/>
    <n v="1"/>
    <s v="Master's Degree"/>
    <s v="Life Sciences"/>
    <n v="3"/>
    <n v="1"/>
    <n v="10"/>
    <n v="5"/>
    <n v="2"/>
    <n v="0"/>
    <n v="2"/>
    <n v="2"/>
    <x v="0"/>
    <d v="2024-02-14T00:00:00"/>
    <x v="1"/>
    <s v="Involuntary"/>
    <x v="1"/>
    <x v="2"/>
    <x v="0"/>
    <x v="0"/>
    <x v="2"/>
  </r>
  <r>
    <x v="1353"/>
    <s v="No"/>
    <x v="1"/>
    <s v="Manager, R&amp;D"/>
    <x v="1"/>
    <x v="0"/>
    <n v="4"/>
    <n v="196824"/>
    <n v="11"/>
    <n v="37.5"/>
    <s v="No"/>
    <n v="48"/>
    <s v="Woman"/>
    <s v="Married"/>
    <x v="0"/>
    <n v="1"/>
    <s v="Master's Degree"/>
    <s v="Life Sciences"/>
    <n v="3"/>
    <n v="1"/>
    <n v="21"/>
    <n v="3"/>
    <n v="3"/>
    <n v="2"/>
    <n v="0"/>
    <n v="2"/>
    <x v="1"/>
    <d v="2024-03-02T00:00:00"/>
    <x v="1"/>
    <s v="Voluntary"/>
    <x v="0"/>
    <x v="2"/>
    <x v="3"/>
    <x v="3"/>
    <x v="3"/>
  </r>
  <r>
    <x v="1354"/>
    <s v="No"/>
    <x v="1"/>
    <s v="Manager, Sales"/>
    <x v="1"/>
    <x v="1"/>
    <n v="4"/>
    <n v="197124"/>
    <n v="16"/>
    <n v="37.5"/>
    <s v="No"/>
    <n v="53"/>
    <s v="Woman"/>
    <s v="Married"/>
    <x v="0"/>
    <n v="2"/>
    <s v="Master's Degree"/>
    <s v="Life Sciences"/>
    <n v="3"/>
    <n v="0"/>
    <n v="31"/>
    <n v="3"/>
    <n v="25"/>
    <n v="8"/>
    <n v="3"/>
    <n v="7"/>
    <x v="2"/>
    <d v="2024-07-28T00:00:00"/>
    <x v="1"/>
    <s v="Voluntary"/>
    <x v="3"/>
    <x v="1"/>
    <x v="1"/>
    <x v="0"/>
    <x v="1"/>
  </r>
  <r>
    <x v="1355"/>
    <s v="No"/>
    <x v="1"/>
    <s v="Manager, Sales"/>
    <x v="1"/>
    <x v="1"/>
    <n v="4"/>
    <n v="203664"/>
    <n v="14"/>
    <n v="37.5"/>
    <s v="No"/>
    <n v="47"/>
    <s v="Woman"/>
    <s v="Divorced"/>
    <x v="0"/>
    <n v="2"/>
    <s v="Master's Degree"/>
    <s v="Life Sciences"/>
    <n v="3"/>
    <n v="3"/>
    <n v="29"/>
    <n v="2"/>
    <n v="3"/>
    <n v="2"/>
    <n v="1"/>
    <n v="2"/>
    <x v="1"/>
    <d v="2022-05-04T00:00:00"/>
    <x v="0"/>
    <s v="Voluntary"/>
    <x v="1"/>
    <x v="3"/>
    <x v="1"/>
    <x v="0"/>
    <x v="2"/>
  </r>
  <r>
    <x v="1356"/>
    <s v="No"/>
    <x v="1"/>
    <s v="Research Director"/>
    <x v="1"/>
    <x v="0"/>
    <n v="4"/>
    <n v="203904"/>
    <n v="14"/>
    <n v="37.5"/>
    <s v="No"/>
    <n v="42"/>
    <s v="Woman"/>
    <s v="Single"/>
    <x v="0"/>
    <n v="23"/>
    <s v="Doctorate"/>
    <s v="Life Sciences"/>
    <n v="3"/>
    <n v="0"/>
    <n v="16"/>
    <n v="2"/>
    <n v="1"/>
    <n v="0"/>
    <n v="0"/>
    <n v="0"/>
    <x v="0"/>
    <d v="2022-02-16T00:00:00"/>
    <x v="0"/>
    <s v="Involuntary"/>
    <x v="3"/>
    <x v="1"/>
    <x v="2"/>
    <x v="0"/>
    <x v="2"/>
  </r>
  <r>
    <x v="1357"/>
    <s v="No"/>
    <x v="1"/>
    <s v="Manager, R&amp;D"/>
    <x v="1"/>
    <x v="0"/>
    <n v="4"/>
    <n v="204384"/>
    <n v="20"/>
    <n v="37.5"/>
    <s v="No"/>
    <n v="54"/>
    <s v="Woman"/>
    <s v="Divorced"/>
    <x v="1"/>
    <n v="11"/>
    <s v="Master's Degree"/>
    <s v="Medical"/>
    <n v="4"/>
    <n v="1"/>
    <n v="26"/>
    <n v="2"/>
    <n v="14"/>
    <n v="9"/>
    <n v="1"/>
    <n v="12"/>
    <x v="2"/>
    <d v="2022-05-07T00:00:00"/>
    <x v="0"/>
    <s v="Voluntary"/>
    <x v="1"/>
    <x v="1"/>
    <x v="3"/>
    <x v="0"/>
    <x v="2"/>
  </r>
  <r>
    <x v="1358"/>
    <s v="No"/>
    <x v="1"/>
    <s v="Manager, Sales"/>
    <x v="1"/>
    <x v="1"/>
    <n v="4"/>
    <n v="204768"/>
    <n v="22"/>
    <n v="37.5"/>
    <s v="Yes"/>
    <n v="43"/>
    <s v="Woman"/>
    <s v="Married"/>
    <x v="0"/>
    <n v="16"/>
    <s v="Bachelor's Degree"/>
    <s v="Marketing"/>
    <n v="4"/>
    <n v="1"/>
    <n v="22"/>
    <n v="3"/>
    <n v="17"/>
    <n v="13"/>
    <n v="1"/>
    <n v="9"/>
    <x v="2"/>
    <d v="2023-03-30T00:00:00"/>
    <x v="0"/>
    <s v="Voluntary"/>
    <x v="0"/>
    <x v="1"/>
    <x v="1"/>
    <x v="0"/>
    <x v="0"/>
  </r>
  <r>
    <x v="1359"/>
    <s v="No"/>
    <x v="1"/>
    <s v="Research Director"/>
    <x v="1"/>
    <x v="0"/>
    <n v="4"/>
    <n v="205488"/>
    <n v="14"/>
    <n v="37.5"/>
    <s v="No"/>
    <n v="29"/>
    <s v="Woman"/>
    <s v="Divorced"/>
    <x v="0"/>
    <n v="1"/>
    <s v="Bachelor's Degree"/>
    <s v="Life Sciences"/>
    <n v="3"/>
    <n v="2"/>
    <n v="9"/>
    <n v="2"/>
    <n v="7"/>
    <n v="7"/>
    <n v="1"/>
    <n v="7"/>
    <x v="1"/>
    <d v="2025-02-06T00:00:00"/>
    <x v="1"/>
    <s v="Voluntary"/>
    <x v="0"/>
    <x v="1"/>
    <x v="2"/>
    <x v="1"/>
    <x v="4"/>
  </r>
  <r>
    <x v="1360"/>
    <s v="No"/>
    <x v="1"/>
    <s v="Research Director"/>
    <x v="1"/>
    <x v="0"/>
    <n v="4"/>
    <n v="206208"/>
    <n v="19"/>
    <n v="37.5"/>
    <s v="No"/>
    <n v="33"/>
    <s v="Woman"/>
    <s v="Divorced"/>
    <x v="0"/>
    <n v="1"/>
    <s v="Doctorate"/>
    <s v="Medical"/>
    <n v="3"/>
    <n v="1"/>
    <n v="10"/>
    <n v="2"/>
    <n v="6"/>
    <n v="1"/>
    <n v="0"/>
    <n v="5"/>
    <x v="1"/>
    <d v="2025-02-06T00:00:00"/>
    <x v="1"/>
    <s v="Involuntary"/>
    <x v="3"/>
    <x v="0"/>
    <x v="1"/>
    <x v="0"/>
    <x v="2"/>
  </r>
  <r>
    <x v="1361"/>
    <s v="No"/>
    <x v="1"/>
    <s v="Sales Executive"/>
    <x v="0"/>
    <x v="1"/>
    <n v="7"/>
    <n v="78084"/>
    <n v="16"/>
    <n v="37.5"/>
    <s v="No"/>
    <n v="36"/>
    <s v="Man"/>
    <s v="Married"/>
    <x v="0"/>
    <n v="17"/>
    <s v="Certificate or Diploma"/>
    <s v="Marketing"/>
    <n v="3"/>
    <n v="2"/>
    <n v="12"/>
    <n v="1"/>
    <n v="4"/>
    <n v="2"/>
    <n v="1"/>
    <n v="3"/>
    <x v="1"/>
    <d v="2022-07-28T00:00:00"/>
    <x v="0"/>
    <s v="Involuntary"/>
    <x v="2"/>
    <x v="3"/>
    <x v="1"/>
    <x v="3"/>
    <x v="6"/>
  </r>
  <r>
    <x v="1362"/>
    <s v="No"/>
    <x v="1"/>
    <s v="Manager, Sales"/>
    <x v="1"/>
    <x v="1"/>
    <n v="4"/>
    <n v="207684"/>
    <n v="14"/>
    <n v="37.5"/>
    <s v="No"/>
    <n v="51"/>
    <s v="Woman"/>
    <s v="Married"/>
    <x v="0"/>
    <n v="26"/>
    <s v="Master's Degree"/>
    <s v="Marketing"/>
    <n v="3"/>
    <n v="1"/>
    <n v="29"/>
    <n v="2"/>
    <n v="20"/>
    <n v="6"/>
    <n v="4"/>
    <n v="17"/>
    <x v="2"/>
    <d v="2023-12-18T00:00:00"/>
    <x v="0"/>
    <s v="Voluntary"/>
    <x v="3"/>
    <x v="0"/>
    <x v="1"/>
    <x v="1"/>
    <x v="6"/>
  </r>
  <r>
    <x v="1363"/>
    <s v="No"/>
    <x v="1"/>
    <s v="Research Director"/>
    <x v="1"/>
    <x v="0"/>
    <n v="10"/>
    <n v="172176"/>
    <n v="13"/>
    <n v="37.5"/>
    <s v="No"/>
    <n v="42"/>
    <s v="Man"/>
    <s v="Married"/>
    <x v="0"/>
    <n v="6"/>
    <s v="Bachelor's Degree"/>
    <s v="Medical"/>
    <n v="3"/>
    <n v="1"/>
    <n v="18"/>
    <n v="3"/>
    <n v="13"/>
    <n v="7"/>
    <n v="5"/>
    <n v="7"/>
    <x v="2"/>
    <d v="2022-06-23T00:00:00"/>
    <x v="0"/>
    <s v="Voluntary"/>
    <x v="2"/>
    <x v="2"/>
    <x v="2"/>
    <x v="2"/>
    <x v="2"/>
  </r>
  <r>
    <x v="1364"/>
    <s v="No"/>
    <x v="1"/>
    <s v="Research Director"/>
    <x v="1"/>
    <x v="0"/>
    <n v="4"/>
    <n v="208956"/>
    <n v="16"/>
    <n v="37.5"/>
    <s v="No"/>
    <n v="49"/>
    <s v="Woman"/>
    <s v="Married"/>
    <x v="0"/>
    <n v="22"/>
    <s v="Master's Degree"/>
    <s v="Other"/>
    <n v="3"/>
    <n v="2"/>
    <n v="27"/>
    <n v="2"/>
    <n v="4"/>
    <n v="2"/>
    <n v="1"/>
    <n v="2"/>
    <x v="1"/>
    <d v="2025-02-24T00:00:00"/>
    <x v="1"/>
    <s v="Voluntary"/>
    <x v="3"/>
    <x v="3"/>
    <x v="2"/>
    <x v="0"/>
    <x v="8"/>
  </r>
  <r>
    <x v="1365"/>
    <s v="No"/>
    <x v="1"/>
    <s v="Research Director"/>
    <x v="1"/>
    <x v="0"/>
    <n v="4"/>
    <n v="209064"/>
    <n v="11"/>
    <n v="37.5"/>
    <s v="No"/>
    <n v="31"/>
    <s v="Woman"/>
    <s v="Single"/>
    <x v="0"/>
    <n v="8"/>
    <s v="Doctorate"/>
    <s v="Life Sciences"/>
    <n v="3"/>
    <n v="0"/>
    <n v="9"/>
    <n v="3"/>
    <n v="3"/>
    <n v="2"/>
    <n v="1"/>
    <n v="0"/>
    <x v="1"/>
    <d v="2023-01-27T00:00:00"/>
    <x v="0"/>
    <s v="Involuntary"/>
    <x v="3"/>
    <x v="3"/>
    <x v="1"/>
    <x v="2"/>
    <x v="2"/>
  </r>
  <r>
    <x v="1366"/>
    <s v="No"/>
    <x v="1"/>
    <s v="Laboratory Technician"/>
    <x v="0"/>
    <x v="0"/>
    <n v="4"/>
    <n v="54528"/>
    <n v="18"/>
    <n v="37.5"/>
    <s v="No"/>
    <n v="26"/>
    <s v="Man"/>
    <s v="Married"/>
    <x v="1"/>
    <n v="6"/>
    <s v="Bachelor's Degree"/>
    <s v="Other"/>
    <n v="3"/>
    <n v="1"/>
    <n v="8"/>
    <n v="3"/>
    <n v="7"/>
    <n v="7"/>
    <n v="7"/>
    <n v="7"/>
    <x v="1"/>
    <d v="2022-12-04T00:00:00"/>
    <x v="0"/>
    <s v="Voluntary"/>
    <x v="2"/>
    <x v="1"/>
    <x v="3"/>
    <x v="0"/>
    <x v="1"/>
  </r>
  <r>
    <x v="1367"/>
    <s v="No"/>
    <x v="1"/>
    <s v="Manager, R&amp;D"/>
    <x v="1"/>
    <x v="0"/>
    <n v="4"/>
    <n v="210660"/>
    <n v="13"/>
    <n v="37.5"/>
    <s v="No"/>
    <n v="52"/>
    <s v="Woman"/>
    <s v="Married"/>
    <x v="0"/>
    <n v="4"/>
    <s v="Certificate or Diploma"/>
    <s v="Life Sciences"/>
    <n v="3"/>
    <n v="0"/>
    <n v="31"/>
    <n v="2"/>
    <n v="5"/>
    <n v="2"/>
    <n v="1"/>
    <n v="4"/>
    <x v="1"/>
    <d v="2022-07-30T00:00:00"/>
    <x v="0"/>
    <s v="Involuntary"/>
    <x v="0"/>
    <x v="1"/>
    <x v="0"/>
    <x v="3"/>
    <x v="5"/>
  </r>
  <r>
    <x v="1368"/>
    <s v="No"/>
    <x v="1"/>
    <s v="Manager, Sales"/>
    <x v="1"/>
    <x v="1"/>
    <n v="4"/>
    <n v="211140"/>
    <n v="16"/>
    <n v="37.5"/>
    <s v="No"/>
    <n v="41"/>
    <s v="Woman"/>
    <s v="Married"/>
    <x v="0"/>
    <n v="2"/>
    <s v="Doctorate"/>
    <s v="Life Sciences"/>
    <n v="3"/>
    <n v="1"/>
    <n v="22"/>
    <n v="2"/>
    <n v="18"/>
    <n v="16"/>
    <n v="11"/>
    <n v="8"/>
    <x v="2"/>
    <d v="2023-10-26T00:00:00"/>
    <x v="0"/>
    <s v="Involuntary"/>
    <x v="1"/>
    <x v="2"/>
    <x v="2"/>
    <x v="0"/>
    <x v="8"/>
  </r>
  <r>
    <x v="1369"/>
    <s v="No"/>
    <x v="1"/>
    <s v="Healthcare Representative"/>
    <x v="0"/>
    <x v="0"/>
    <n v="7"/>
    <n v="76788"/>
    <n v="12"/>
    <n v="37.5"/>
    <s v="No"/>
    <n v="45"/>
    <s v="Man"/>
    <s v="Single"/>
    <x v="1"/>
    <n v="1"/>
    <s v="Master's Degree"/>
    <s v="Medical"/>
    <n v="3"/>
    <n v="0"/>
    <n v="12"/>
    <n v="3"/>
    <n v="4"/>
    <n v="2"/>
    <n v="0"/>
    <n v="3"/>
    <x v="1"/>
    <d v="2024-12-26T00:00:00"/>
    <x v="1"/>
    <s v="Involuntary"/>
    <x v="1"/>
    <x v="0"/>
    <x v="1"/>
    <x v="0"/>
    <x v="1"/>
  </r>
  <r>
    <x v="1370"/>
    <s v="No"/>
    <x v="1"/>
    <s v="Manager, Sales"/>
    <x v="1"/>
    <x v="1"/>
    <n v="4"/>
    <n v="211272"/>
    <n v="12"/>
    <n v="37.5"/>
    <s v="No"/>
    <n v="46"/>
    <s v="Woman"/>
    <s v="Married"/>
    <x v="0"/>
    <n v="3"/>
    <s v="Bachelor's Degree"/>
    <s v="Life Sciences"/>
    <n v="3"/>
    <n v="1"/>
    <n v="23"/>
    <n v="2"/>
    <n v="13"/>
    <n v="12"/>
    <n v="5"/>
    <n v="1"/>
    <x v="2"/>
    <d v="2023-04-15T00:00:00"/>
    <x v="0"/>
    <s v="Voluntary"/>
    <x v="2"/>
    <x v="3"/>
    <x v="0"/>
    <x v="2"/>
    <x v="5"/>
  </r>
  <r>
    <x v="1371"/>
    <s v="No"/>
    <x v="1"/>
    <s v="Sales Executive"/>
    <x v="0"/>
    <x v="1"/>
    <n v="7"/>
    <n v="77844"/>
    <n v="14"/>
    <n v="37.5"/>
    <s v="No"/>
    <n v="33"/>
    <s v="Man"/>
    <s v="Single"/>
    <x v="0"/>
    <n v="10"/>
    <s v="Master's Degree"/>
    <s v="Marketing"/>
    <n v="3"/>
    <n v="0"/>
    <n v="10"/>
    <n v="2"/>
    <n v="10"/>
    <n v="4"/>
    <n v="0"/>
    <n v="9"/>
    <x v="2"/>
    <d v="2023-07-26T00:00:00"/>
    <x v="0"/>
    <s v="Voluntary"/>
    <x v="1"/>
    <x v="0"/>
    <x v="2"/>
    <x v="1"/>
    <x v="6"/>
  </r>
  <r>
    <x v="1372"/>
    <s v="No"/>
    <x v="1"/>
    <s v="Manager, R&amp;D"/>
    <x v="1"/>
    <x v="0"/>
    <n v="4"/>
    <n v="211908"/>
    <n v="13"/>
    <n v="37.5"/>
    <s v="Yes"/>
    <n v="55"/>
    <s v="Woman"/>
    <s v="Single"/>
    <x v="0"/>
    <n v="2"/>
    <s v="Bachelor's Degree"/>
    <s v="Life Sciences"/>
    <n v="3"/>
    <n v="0"/>
    <n v="30"/>
    <n v="2"/>
    <n v="5"/>
    <n v="4"/>
    <n v="1"/>
    <n v="2"/>
    <x v="1"/>
    <d v="2024-05-28T00:00:00"/>
    <x v="1"/>
    <s v="Voluntary"/>
    <x v="2"/>
    <x v="1"/>
    <x v="1"/>
    <x v="0"/>
    <x v="5"/>
  </r>
  <r>
    <x v="1373"/>
    <s v="No"/>
    <x v="1"/>
    <s v="Research Director"/>
    <x v="1"/>
    <x v="0"/>
    <n v="4"/>
    <n v="212448"/>
    <n v="11"/>
    <n v="37.5"/>
    <s v="No"/>
    <n v="45"/>
    <s v="Woman"/>
    <s v="Single"/>
    <x v="0"/>
    <n v="28"/>
    <s v="Certificate or Diploma"/>
    <s v="Technical Degree"/>
    <n v="3"/>
    <n v="0"/>
    <n v="21"/>
    <n v="2"/>
    <n v="21"/>
    <n v="6"/>
    <n v="8"/>
    <n v="6"/>
    <x v="2"/>
    <d v="2024-08-14T00:00:00"/>
    <x v="1"/>
    <s v="Involuntary"/>
    <x v="0"/>
    <x v="3"/>
    <x v="1"/>
    <x v="0"/>
    <x v="4"/>
  </r>
  <r>
    <x v="1374"/>
    <s v="No"/>
    <x v="1"/>
    <s v="Manager, R&amp;D"/>
    <x v="1"/>
    <x v="0"/>
    <n v="4"/>
    <n v="213024"/>
    <n v="11"/>
    <n v="37.5"/>
    <s v="Yes"/>
    <n v="47"/>
    <s v="Woman"/>
    <s v="Married"/>
    <x v="0"/>
    <n v="2"/>
    <s v="Certificate or Diploma"/>
    <s v="Other"/>
    <n v="3"/>
    <n v="1"/>
    <n v="26"/>
    <n v="3"/>
    <n v="26"/>
    <n v="14"/>
    <n v="3"/>
    <n v="0"/>
    <x v="2"/>
    <d v="2023-11-09T00:00:00"/>
    <x v="0"/>
    <s v="Voluntary"/>
    <x v="2"/>
    <x v="1"/>
    <x v="1"/>
    <x v="1"/>
    <x v="4"/>
  </r>
  <r>
    <x v="1375"/>
    <s v="No"/>
    <x v="1"/>
    <s v="Sales Executive"/>
    <x v="0"/>
    <x v="1"/>
    <n v="8"/>
    <n v="94008"/>
    <n v="12"/>
    <n v="37.5"/>
    <s v="Yes"/>
    <n v="28"/>
    <s v="Man"/>
    <s v="Married"/>
    <x v="1"/>
    <n v="1"/>
    <s v="Certificate or Diploma"/>
    <s v="Life Sciences"/>
    <n v="3"/>
    <n v="1"/>
    <n v="7"/>
    <n v="2"/>
    <n v="7"/>
    <n v="7"/>
    <n v="0"/>
    <n v="7"/>
    <x v="1"/>
    <d v="2024-03-09T00:00:00"/>
    <x v="1"/>
    <s v="Involuntary"/>
    <x v="2"/>
    <x v="1"/>
    <x v="1"/>
    <x v="0"/>
    <x v="5"/>
  </r>
  <r>
    <x v="1376"/>
    <s v="No"/>
    <x v="1"/>
    <s v="Research Scientist"/>
    <x v="0"/>
    <x v="0"/>
    <n v="4"/>
    <n v="50712"/>
    <n v="11"/>
    <n v="37.5"/>
    <s v="No"/>
    <n v="27"/>
    <s v="Man"/>
    <s v="Married"/>
    <x v="0"/>
    <n v="2"/>
    <s v="Master's Degree"/>
    <s v="Technical Degree"/>
    <n v="3"/>
    <n v="1"/>
    <n v="6"/>
    <n v="3"/>
    <n v="5"/>
    <n v="3"/>
    <n v="1"/>
    <n v="2"/>
    <x v="1"/>
    <d v="2022-04-08T00:00:00"/>
    <x v="0"/>
    <s v="Involuntary"/>
    <x v="1"/>
    <x v="3"/>
    <x v="1"/>
    <x v="1"/>
    <x v="6"/>
  </r>
  <r>
    <x v="1377"/>
    <s v="No"/>
    <x v="1"/>
    <s v="Manager, HR"/>
    <x v="1"/>
    <x v="2"/>
    <n v="4"/>
    <n v="213588"/>
    <n v="14"/>
    <n v="37.5"/>
    <s v="No"/>
    <n v="42"/>
    <s v="Woman"/>
    <s v="Married"/>
    <x v="0"/>
    <n v="10"/>
    <s v="Bachelor's Degree"/>
    <s v="Human Resources"/>
    <n v="3"/>
    <n v="1"/>
    <n v="21"/>
    <n v="5"/>
    <n v="20"/>
    <n v="7"/>
    <n v="0"/>
    <n v="9"/>
    <x v="2"/>
    <d v="2022-07-19T00:00:00"/>
    <x v="0"/>
    <s v="Involuntary"/>
    <x v="2"/>
    <x v="2"/>
    <x v="1"/>
    <x v="0"/>
    <x v="2"/>
  </r>
  <r>
    <x v="1378"/>
    <s v="No"/>
    <x v="1"/>
    <s v="Research Scientist"/>
    <x v="0"/>
    <x v="0"/>
    <n v="7"/>
    <n v="80964"/>
    <n v="15"/>
    <n v="37.5"/>
    <s v="Yes"/>
    <n v="34"/>
    <s v="Man"/>
    <s v="Married"/>
    <x v="1"/>
    <n v="22"/>
    <s v="Master's Degree"/>
    <s v="Other"/>
    <n v="3"/>
    <n v="0"/>
    <n v="16"/>
    <n v="3"/>
    <n v="15"/>
    <n v="10"/>
    <n v="6"/>
    <n v="11"/>
    <x v="2"/>
    <d v="2023-03-21T00:00:00"/>
    <x v="0"/>
    <s v="Involuntary"/>
    <x v="2"/>
    <x v="1"/>
    <x v="2"/>
    <x v="0"/>
    <x v="4"/>
  </r>
  <r>
    <x v="1379"/>
    <s v="No"/>
    <x v="1"/>
    <s v="Manager, Sales"/>
    <x v="1"/>
    <x v="1"/>
    <n v="4"/>
    <n v="214020"/>
    <n v="23"/>
    <n v="37.5"/>
    <s v="No"/>
    <n v="55"/>
    <s v="Woman"/>
    <s v="Single"/>
    <x v="0"/>
    <n v="18"/>
    <s v="Doctorate"/>
    <s v="Life Sciences"/>
    <n v="4"/>
    <n v="0"/>
    <n v="37"/>
    <n v="2"/>
    <n v="10"/>
    <n v="9"/>
    <n v="7"/>
    <n v="7"/>
    <x v="2"/>
    <d v="2025-08-16T00:00:00"/>
    <x v="1"/>
    <s v="Involuntary"/>
    <x v="3"/>
    <x v="3"/>
    <x v="0"/>
    <x v="0"/>
    <x v="2"/>
  </r>
  <r>
    <x v="1380"/>
    <s v="No"/>
    <x v="1"/>
    <s v="Research Scientist"/>
    <x v="0"/>
    <x v="0"/>
    <n v="7"/>
    <n v="77604"/>
    <n v="18"/>
    <n v="37.5"/>
    <s v="No"/>
    <n v="47"/>
    <s v="Man"/>
    <s v="Married"/>
    <x v="2"/>
    <n v="14"/>
    <s v="Master's Degree"/>
    <s v="Technical Degree"/>
    <n v="3"/>
    <n v="1"/>
    <n v="16"/>
    <n v="4"/>
    <n v="8"/>
    <n v="7"/>
    <n v="1"/>
    <n v="7"/>
    <x v="1"/>
    <d v="2025-05-14T00:00:00"/>
    <x v="1"/>
    <s v="Involuntary"/>
    <x v="2"/>
    <x v="3"/>
    <x v="1"/>
    <x v="2"/>
    <x v="4"/>
  </r>
  <r>
    <x v="1381"/>
    <s v="No"/>
    <x v="1"/>
    <s v="Manager, Sales"/>
    <x v="1"/>
    <x v="1"/>
    <n v="4"/>
    <n v="214464"/>
    <n v="12"/>
    <n v="37.5"/>
    <s v="Yes"/>
    <n v="46"/>
    <s v="Woman"/>
    <s v="Married"/>
    <x v="0"/>
    <n v="2"/>
    <s v="Bachelor's Degree"/>
    <s v="Technical Degree"/>
    <n v="3"/>
    <n v="1"/>
    <n v="28"/>
    <n v="2"/>
    <n v="7"/>
    <n v="7"/>
    <n v="7"/>
    <n v="7"/>
    <x v="1"/>
    <d v="2023-11-21T00:00:00"/>
    <x v="0"/>
    <s v="Involuntary"/>
    <x v="2"/>
    <x v="3"/>
    <x v="2"/>
    <x v="1"/>
    <x v="6"/>
  </r>
  <r>
    <x v="1382"/>
    <s v="No"/>
    <x v="1"/>
    <s v="Research Director"/>
    <x v="1"/>
    <x v="0"/>
    <n v="4"/>
    <n v="214560"/>
    <n v="11"/>
    <n v="37.5"/>
    <s v="Yes"/>
    <n v="50"/>
    <s v="Woman"/>
    <s v="Married"/>
    <x v="0"/>
    <n v="28"/>
    <s v="Bachelor's Degree"/>
    <s v="Life Sciences"/>
    <n v="3"/>
    <n v="0"/>
    <n v="25"/>
    <n v="2"/>
    <n v="3"/>
    <n v="2"/>
    <n v="1"/>
    <n v="2"/>
    <x v="1"/>
    <d v="2024-12-05T00:00:00"/>
    <x v="1"/>
    <s v="Involuntary"/>
    <x v="0"/>
    <x v="2"/>
    <x v="2"/>
    <x v="0"/>
    <x v="2"/>
  </r>
  <r>
    <x v="1383"/>
    <s v="No"/>
    <x v="1"/>
    <s v="Manufacturing Director"/>
    <x v="1"/>
    <x v="0"/>
    <n v="7"/>
    <n v="73812"/>
    <n v="25"/>
    <n v="37.5"/>
    <s v="No"/>
    <n v="39"/>
    <s v="Man"/>
    <s v="Married"/>
    <x v="0"/>
    <n v="9"/>
    <s v="Certificate or Diploma"/>
    <s v="Medical"/>
    <n v="4"/>
    <n v="1"/>
    <n v="10"/>
    <n v="3"/>
    <n v="10"/>
    <n v="0"/>
    <n v="7"/>
    <n v="9"/>
    <x v="2"/>
    <d v="2022-07-21T00:00:00"/>
    <x v="0"/>
    <s v="Voluntary"/>
    <x v="3"/>
    <x v="2"/>
    <x v="0"/>
    <x v="0"/>
    <x v="6"/>
  </r>
  <r>
    <x v="1384"/>
    <s v="No"/>
    <x v="1"/>
    <s v="Research Scientist"/>
    <x v="0"/>
    <x v="0"/>
    <n v="6"/>
    <n v="69252"/>
    <n v="19"/>
    <n v="37.5"/>
    <s v="No"/>
    <n v="38"/>
    <s v="Man"/>
    <s v="Divorced"/>
    <x v="0"/>
    <n v="9"/>
    <s v="Certificate or Diploma"/>
    <s v="Life Sciences"/>
    <n v="3"/>
    <n v="2"/>
    <n v="10"/>
    <n v="0"/>
    <n v="5"/>
    <n v="2"/>
    <n v="0"/>
    <n v="3"/>
    <x v="1"/>
    <d v="2025-11-24T00:00:00"/>
    <x v="1"/>
    <s v="Voluntary"/>
    <x v="1"/>
    <x v="1"/>
    <x v="0"/>
    <x v="2"/>
    <x v="0"/>
  </r>
  <r>
    <x v="1385"/>
    <s v="No"/>
    <x v="1"/>
    <s v="Research Director"/>
    <x v="1"/>
    <x v="0"/>
    <n v="5"/>
    <n v="241932"/>
    <n v="15"/>
    <n v="37.5"/>
    <s v="No"/>
    <n v="49"/>
    <s v="Man"/>
    <s v="Married"/>
    <x v="1"/>
    <n v="2"/>
    <s v="Trades Apprenticeship"/>
    <s v="Life Sciences"/>
    <n v="3"/>
    <n v="0"/>
    <n v="28"/>
    <n v="3"/>
    <n v="5"/>
    <n v="4"/>
    <n v="4"/>
    <n v="3"/>
    <x v="1"/>
    <d v="2025-09-29T00:00:00"/>
    <x v="1"/>
    <s v="Voluntary"/>
    <x v="1"/>
    <x v="1"/>
    <x v="0"/>
    <x v="0"/>
    <x v="5"/>
  </r>
  <r>
    <x v="1386"/>
    <s v="No"/>
    <x v="1"/>
    <s v="Sales Executive"/>
    <x v="0"/>
    <x v="1"/>
    <n v="7"/>
    <n v="73044"/>
    <n v="12"/>
    <n v="37.5"/>
    <s v="Yes"/>
    <n v="42"/>
    <s v="Man"/>
    <s v="Divorced"/>
    <x v="0"/>
    <n v="12"/>
    <s v="Master's Degree"/>
    <s v="Marketing"/>
    <n v="3"/>
    <n v="2"/>
    <n v="14"/>
    <n v="4"/>
    <n v="0"/>
    <n v="0"/>
    <n v="0"/>
    <n v="0"/>
    <x v="0"/>
    <d v="2023-03-16T00:00:00"/>
    <x v="0"/>
    <s v="Involuntary"/>
    <x v="1"/>
    <x v="1"/>
    <x v="1"/>
    <x v="0"/>
    <x v="4"/>
  </r>
  <r>
    <x v="1387"/>
    <s v="No"/>
    <x v="1"/>
    <s v="Manager, Sales"/>
    <x v="1"/>
    <x v="1"/>
    <n v="4"/>
    <n v="216576"/>
    <n v="23"/>
    <n v="37.5"/>
    <s v="No"/>
    <n v="46"/>
    <s v="Woman"/>
    <s v="Married"/>
    <x v="0"/>
    <n v="2"/>
    <s v="Bachelor's Degree"/>
    <s v="Marketing"/>
    <n v="4"/>
    <n v="0"/>
    <n v="28"/>
    <n v="2"/>
    <n v="26"/>
    <n v="15"/>
    <n v="15"/>
    <n v="9"/>
    <x v="2"/>
    <d v="2025-12-24T00:00:00"/>
    <x v="1"/>
    <s v="Voluntary"/>
    <x v="2"/>
    <x v="2"/>
    <x v="3"/>
    <x v="0"/>
    <x v="8"/>
  </r>
  <r>
    <x v="1388"/>
    <s v="No"/>
    <x v="1"/>
    <s v="Sales Executive"/>
    <x v="0"/>
    <x v="1"/>
    <n v="7"/>
    <n v="78732"/>
    <n v="16"/>
    <n v="37.5"/>
    <s v="No"/>
    <n v="35"/>
    <s v="Man"/>
    <s v="Married"/>
    <x v="0"/>
    <n v="18"/>
    <s v="Master's Degree"/>
    <s v="Medical"/>
    <n v="3"/>
    <n v="1"/>
    <n v="6"/>
    <n v="2"/>
    <n v="5"/>
    <n v="3"/>
    <n v="0"/>
    <n v="4"/>
    <x v="1"/>
    <d v="2023-10-28T00:00:00"/>
    <x v="0"/>
    <s v="Voluntary"/>
    <x v="1"/>
    <x v="2"/>
    <x v="0"/>
    <x v="3"/>
    <x v="8"/>
  </r>
  <r>
    <x v="1389"/>
    <s v="No"/>
    <x v="1"/>
    <s v="Research Scientist"/>
    <x v="0"/>
    <x v="0"/>
    <n v="3"/>
    <n v="49728"/>
    <n v="14"/>
    <n v="37.5"/>
    <s v="No"/>
    <n v="28"/>
    <s v="Man"/>
    <s v="Single"/>
    <x v="2"/>
    <n v="16"/>
    <s v="Bachelor's Degree"/>
    <s v="Medical"/>
    <n v="3"/>
    <n v="0"/>
    <n v="5"/>
    <n v="3"/>
    <n v="5"/>
    <n v="3"/>
    <n v="1"/>
    <n v="4"/>
    <x v="1"/>
    <d v="2025-08-22T00:00:00"/>
    <x v="1"/>
    <s v="Voluntary"/>
    <x v="2"/>
    <x v="0"/>
    <x v="1"/>
    <x v="1"/>
    <x v="1"/>
  </r>
  <r>
    <x v="1390"/>
    <s v="No"/>
    <x v="1"/>
    <s v="Manager, R&amp;D"/>
    <x v="1"/>
    <x v="0"/>
    <n v="4"/>
    <n v="217476"/>
    <n v="13"/>
    <n v="37.5"/>
    <s v="Yes"/>
    <n v="39"/>
    <s v="Woman"/>
    <s v="Divorced"/>
    <x v="0"/>
    <n v="13"/>
    <s v="Master's Degree"/>
    <s v="Medical"/>
    <n v="3"/>
    <n v="2"/>
    <n v="21"/>
    <n v="4"/>
    <n v="19"/>
    <n v="9"/>
    <n v="15"/>
    <n v="2"/>
    <x v="2"/>
    <d v="2022-12-22T00:00:00"/>
    <x v="0"/>
    <s v="Voluntary"/>
    <x v="2"/>
    <x v="3"/>
    <x v="0"/>
    <x v="0"/>
    <x v="4"/>
  </r>
  <r>
    <x v="1391"/>
    <s v="No"/>
    <x v="1"/>
    <s v="Research Scientist"/>
    <x v="0"/>
    <x v="0"/>
    <n v="6"/>
    <n v="60780"/>
    <n v="13"/>
    <n v="37.5"/>
    <s v="Yes"/>
    <n v="31"/>
    <s v="Man"/>
    <s v="Divorced"/>
    <x v="2"/>
    <n v="3"/>
    <s v="Certificate or Diploma"/>
    <s v="Medical"/>
    <n v="3"/>
    <n v="1"/>
    <n v="4"/>
    <n v="3"/>
    <n v="4"/>
    <n v="2"/>
    <n v="2"/>
    <n v="3"/>
    <x v="1"/>
    <d v="2023-12-01T00:00:00"/>
    <x v="0"/>
    <s v="Involuntary"/>
    <x v="2"/>
    <x v="2"/>
    <x v="0"/>
    <x v="2"/>
    <x v="4"/>
  </r>
  <r>
    <x v="1392"/>
    <s v="No"/>
    <x v="1"/>
    <s v="Research Director"/>
    <x v="1"/>
    <x v="0"/>
    <n v="4"/>
    <n v="218028"/>
    <n v="19"/>
    <n v="37.5"/>
    <s v="No"/>
    <n v="47"/>
    <s v="Woman"/>
    <s v="Married"/>
    <x v="0"/>
    <n v="2"/>
    <s v="Master's Degree"/>
    <s v="Medical"/>
    <n v="3"/>
    <n v="2"/>
    <n v="26"/>
    <n v="2"/>
    <n v="20"/>
    <n v="17"/>
    <n v="5"/>
    <n v="6"/>
    <x v="2"/>
    <d v="2024-05-29T00:00:00"/>
    <x v="1"/>
    <s v="Voluntary"/>
    <x v="3"/>
    <x v="0"/>
    <x v="2"/>
    <x v="2"/>
    <x v="2"/>
  </r>
  <r>
    <x v="1393"/>
    <s v="No"/>
    <x v="1"/>
    <s v="Manager, R&amp;D"/>
    <x v="1"/>
    <x v="0"/>
    <n v="4"/>
    <n v="218088"/>
    <n v="11"/>
    <n v="37.5"/>
    <s v="No"/>
    <n v="48"/>
    <s v="Woman"/>
    <s v="Divorced"/>
    <x v="1"/>
    <n v="22"/>
    <s v="Bachelor's Degree"/>
    <s v="Medical"/>
    <n v="3"/>
    <n v="1"/>
    <n v="24"/>
    <n v="3"/>
    <n v="22"/>
    <n v="17"/>
    <n v="4"/>
    <n v="7"/>
    <x v="2"/>
    <d v="2023-09-03T00:00:00"/>
    <x v="0"/>
    <s v="Voluntary"/>
    <x v="0"/>
    <x v="1"/>
    <x v="2"/>
    <x v="0"/>
    <x v="5"/>
  </r>
  <r>
    <x v="1394"/>
    <s v="No"/>
    <x v="1"/>
    <s v="Laboratory Technician"/>
    <x v="0"/>
    <x v="0"/>
    <n v="5"/>
    <n v="57720"/>
    <n v="22"/>
    <n v="37.5"/>
    <s v="No"/>
    <n v="36"/>
    <s v="Man"/>
    <s v="Married"/>
    <x v="2"/>
    <n v="9"/>
    <s v="Master's Degree"/>
    <s v="Life Sciences"/>
    <n v="4"/>
    <n v="0"/>
    <n v="5"/>
    <n v="3"/>
    <n v="5"/>
    <n v="4"/>
    <n v="0"/>
    <n v="2"/>
    <x v="1"/>
    <d v="2023-07-25T00:00:00"/>
    <x v="0"/>
    <s v="Voluntary"/>
    <x v="3"/>
    <x v="3"/>
    <x v="2"/>
    <x v="0"/>
    <x v="8"/>
  </r>
  <r>
    <x v="1395"/>
    <s v="No"/>
    <x v="1"/>
    <s v="Manager, HR"/>
    <x v="1"/>
    <x v="2"/>
    <n v="4"/>
    <n v="219936"/>
    <n v="12"/>
    <n v="37.5"/>
    <s v="Yes"/>
    <n v="54"/>
    <s v="Woman"/>
    <s v="Single"/>
    <x v="2"/>
    <n v="26"/>
    <s v="Bachelor's Degree"/>
    <s v="Human Resources"/>
    <n v="3"/>
    <n v="0"/>
    <n v="23"/>
    <n v="3"/>
    <n v="5"/>
    <n v="3"/>
    <n v="4"/>
    <n v="4"/>
    <x v="1"/>
    <d v="2025-10-06T00:00:00"/>
    <x v="1"/>
    <s v="Involuntary"/>
    <x v="0"/>
    <x v="1"/>
    <x v="1"/>
    <x v="0"/>
    <x v="0"/>
  </r>
  <r>
    <x v="1396"/>
    <s v="No"/>
    <x v="1"/>
    <s v="Research Director"/>
    <x v="1"/>
    <x v="0"/>
    <n v="4"/>
    <n v="219936"/>
    <n v="19"/>
    <n v="37.5"/>
    <s v="No"/>
    <n v="54"/>
    <s v="Woman"/>
    <s v="Single"/>
    <x v="0"/>
    <n v="1"/>
    <s v="Bachelor's Degree"/>
    <s v="Medical"/>
    <n v="3"/>
    <n v="0"/>
    <n v="29"/>
    <n v="3"/>
    <n v="20"/>
    <n v="7"/>
    <n v="12"/>
    <n v="7"/>
    <x v="2"/>
    <d v="2023-09-23T00:00:00"/>
    <x v="0"/>
    <s v="Involuntary"/>
    <x v="0"/>
    <x v="1"/>
    <x v="0"/>
    <x v="1"/>
    <x v="0"/>
  </r>
  <r>
    <x v="1397"/>
    <s v="No"/>
    <x v="1"/>
    <s v="Sales Executive"/>
    <x v="0"/>
    <x v="1"/>
    <n v="9"/>
    <n v="130656"/>
    <n v="21"/>
    <n v="37.5"/>
    <s v="No"/>
    <n v="34"/>
    <s v="Man"/>
    <s v="Single"/>
    <x v="0"/>
    <n v="1"/>
    <s v="Bachelor's Degree"/>
    <s v="Marketing"/>
    <n v="4"/>
    <n v="0"/>
    <n v="14"/>
    <n v="3"/>
    <n v="14"/>
    <n v="8"/>
    <n v="2"/>
    <n v="1"/>
    <x v="2"/>
    <d v="2025-10-19T00:00:00"/>
    <x v="1"/>
    <s v="Involuntary"/>
    <x v="3"/>
    <x v="1"/>
    <x v="3"/>
    <x v="1"/>
    <x v="8"/>
  </r>
  <r>
    <x v="1398"/>
    <s v="No"/>
    <x v="1"/>
    <s v="Manager, R&amp;D"/>
    <x v="1"/>
    <x v="0"/>
    <n v="4"/>
    <n v="221112"/>
    <n v="25"/>
    <n v="37.5"/>
    <s v="No"/>
    <n v="54"/>
    <s v="Woman"/>
    <s v="Married"/>
    <x v="0"/>
    <n v="22"/>
    <s v="Doctorate"/>
    <s v="Medical"/>
    <n v="4"/>
    <n v="1"/>
    <n v="36"/>
    <n v="6"/>
    <n v="10"/>
    <n v="8"/>
    <n v="4"/>
    <n v="7"/>
    <x v="2"/>
    <d v="2022-11-13T00:00:00"/>
    <x v="0"/>
    <s v="Voluntary"/>
    <x v="1"/>
    <x v="0"/>
    <x v="1"/>
    <x v="0"/>
    <x v="1"/>
  </r>
  <r>
    <x v="1399"/>
    <s v="No"/>
    <x v="1"/>
    <s v="Sales Executive"/>
    <x v="0"/>
    <x v="1"/>
    <n v="9"/>
    <n v="115536"/>
    <n v="18"/>
    <n v="37.5"/>
    <s v="No"/>
    <n v="34"/>
    <s v="Man"/>
    <s v="Divorced"/>
    <x v="0"/>
    <n v="13"/>
    <s v="Master's Degree"/>
    <s v="Medical"/>
    <n v="3"/>
    <n v="1"/>
    <n v="9"/>
    <n v="2"/>
    <n v="8"/>
    <n v="7"/>
    <n v="1"/>
    <n v="1"/>
    <x v="1"/>
    <d v="2022-12-12T00:00:00"/>
    <x v="0"/>
    <s v="Voluntary"/>
    <x v="0"/>
    <x v="0"/>
    <x v="1"/>
    <x v="1"/>
    <x v="4"/>
  </r>
  <r>
    <x v="1400"/>
    <s v="No"/>
    <x v="1"/>
    <s v="Laboratory Technician"/>
    <x v="0"/>
    <x v="0"/>
    <n v="5"/>
    <n v="58404"/>
    <n v="13"/>
    <n v="37.5"/>
    <s v="No"/>
    <n v="26"/>
    <s v="Man"/>
    <s v="Single"/>
    <x v="0"/>
    <n v="1"/>
    <s v="Bachelor's Degree"/>
    <s v="Medical"/>
    <n v="3"/>
    <n v="0"/>
    <n v="8"/>
    <n v="6"/>
    <n v="7"/>
    <n v="7"/>
    <n v="7"/>
    <n v="6"/>
    <x v="1"/>
    <d v="2024-10-13T00:00:00"/>
    <x v="1"/>
    <s v="Voluntary"/>
    <x v="2"/>
    <x v="2"/>
    <x v="0"/>
    <x v="1"/>
    <x v="2"/>
  </r>
  <r>
    <x v="1401"/>
    <s v="No"/>
    <x v="1"/>
    <s v="Healthcare Representative"/>
    <x v="0"/>
    <x v="0"/>
    <n v="7"/>
    <n v="76476"/>
    <n v="12"/>
    <n v="37.5"/>
    <s v="No"/>
    <n v="29"/>
    <s v="Man"/>
    <s v="Married"/>
    <x v="0"/>
    <n v="1"/>
    <s v="Bachelor's Degree"/>
    <s v="Life Sciences"/>
    <n v="3"/>
    <n v="1"/>
    <n v="6"/>
    <n v="5"/>
    <n v="5"/>
    <n v="3"/>
    <n v="0"/>
    <n v="2"/>
    <x v="1"/>
    <d v="2023-10-31T00:00:00"/>
    <x v="0"/>
    <s v="Involuntary"/>
    <x v="3"/>
    <x v="2"/>
    <x v="3"/>
    <x v="1"/>
    <x v="10"/>
  </r>
  <r>
    <x v="1402"/>
    <s v="No"/>
    <x v="1"/>
    <s v="Research Scientist"/>
    <x v="0"/>
    <x v="0"/>
    <n v="7"/>
    <n v="72036"/>
    <n v="21"/>
    <n v="37.5"/>
    <s v="No"/>
    <n v="31"/>
    <s v="Man"/>
    <s v="Married"/>
    <x v="1"/>
    <n v="1"/>
    <s v="Bachelor's Degree"/>
    <s v="Life Sciences"/>
    <n v="4"/>
    <n v="0"/>
    <n v="10"/>
    <n v="6"/>
    <n v="10"/>
    <n v="8"/>
    <n v="8"/>
    <n v="7"/>
    <x v="2"/>
    <d v="2025-08-31T00:00:00"/>
    <x v="1"/>
    <s v="Voluntary"/>
    <x v="0"/>
    <x v="2"/>
    <x v="2"/>
    <x v="0"/>
    <x v="2"/>
  </r>
  <r>
    <x v="1403"/>
    <s v="No"/>
    <x v="1"/>
    <s v="Sales Representative"/>
    <x v="0"/>
    <x v="1"/>
    <n v="5"/>
    <n v="58296"/>
    <n v="14"/>
    <n v="37.5"/>
    <s v="No"/>
    <n v="38"/>
    <s v="Man"/>
    <s v="Single"/>
    <x v="0"/>
    <n v="1"/>
    <s v="Bachelor's Degree"/>
    <s v="Life Sciences"/>
    <n v="3"/>
    <n v="0"/>
    <n v="20"/>
    <n v="3"/>
    <n v="1"/>
    <n v="0"/>
    <n v="0"/>
    <n v="0"/>
    <x v="0"/>
    <d v="2024-02-23T00:00:00"/>
    <x v="1"/>
    <s v="Involuntary"/>
    <x v="3"/>
    <x v="2"/>
    <x v="3"/>
    <x v="1"/>
    <x v="10"/>
  </r>
  <r>
    <x v="1404"/>
    <s v="No"/>
    <x v="1"/>
    <s v="Manager, Sales"/>
    <x v="1"/>
    <x v="1"/>
    <n v="4"/>
    <n v="223800"/>
    <n v="13"/>
    <n v="37.5"/>
    <s v="No"/>
    <n v="45"/>
    <s v="Woman"/>
    <s v="Married"/>
    <x v="0"/>
    <n v="11"/>
    <s v="Certificate or Diploma"/>
    <s v="Life Sciences"/>
    <n v="3"/>
    <n v="1"/>
    <n v="26"/>
    <n v="4"/>
    <n v="9"/>
    <n v="3"/>
    <n v="1"/>
    <n v="1"/>
    <x v="1"/>
    <d v="2025-05-22T00:00:00"/>
    <x v="1"/>
    <s v="Involuntary"/>
    <x v="0"/>
    <x v="1"/>
    <x v="2"/>
    <x v="2"/>
    <x v="0"/>
  </r>
  <r>
    <x v="1405"/>
    <s v="No"/>
    <x v="1"/>
    <s v="Sales Executive"/>
    <x v="0"/>
    <x v="1"/>
    <n v="6"/>
    <n v="61260"/>
    <n v="14"/>
    <n v="37.5"/>
    <s v="No"/>
    <n v="27"/>
    <s v="Man"/>
    <s v="Single"/>
    <x v="0"/>
    <n v="9"/>
    <s v="Bachelor's Degree"/>
    <s v="Marketing"/>
    <n v="3"/>
    <n v="0"/>
    <n v="7"/>
    <n v="5"/>
    <n v="7"/>
    <n v="7"/>
    <n v="0"/>
    <n v="7"/>
    <x v="1"/>
    <d v="2023-03-17T00:00:00"/>
    <x v="0"/>
    <s v="Voluntary"/>
    <x v="0"/>
    <x v="1"/>
    <x v="3"/>
    <x v="0"/>
    <x v="4"/>
  </r>
  <r>
    <x v="1406"/>
    <s v="No"/>
    <x v="1"/>
    <s v="Manufacturing Director"/>
    <x v="1"/>
    <x v="0"/>
    <n v="9"/>
    <n v="128148"/>
    <n v="24"/>
    <n v="37.5"/>
    <s v="No"/>
    <n v="32"/>
    <s v="Man"/>
    <s v="Single"/>
    <x v="0"/>
    <n v="5"/>
    <s v="Master's Degree"/>
    <s v="Life Sciences"/>
    <n v="4"/>
    <n v="0"/>
    <n v="8"/>
    <n v="1"/>
    <n v="1"/>
    <n v="0"/>
    <n v="0"/>
    <n v="0"/>
    <x v="0"/>
    <d v="2022-04-17T00:00:00"/>
    <x v="0"/>
    <s v="Voluntary"/>
    <x v="0"/>
    <x v="1"/>
    <x v="2"/>
    <x v="0"/>
    <x v="5"/>
  </r>
  <r>
    <x v="1407"/>
    <s v="No"/>
    <x v="1"/>
    <s v="Manager, R&amp;D"/>
    <x v="1"/>
    <x v="0"/>
    <n v="4"/>
    <n v="226272"/>
    <n v="22"/>
    <n v="37.5"/>
    <s v="No"/>
    <n v="50"/>
    <s v="Woman"/>
    <s v="Married"/>
    <x v="1"/>
    <n v="2"/>
    <s v="Bachelor's Degree"/>
    <s v="Medical"/>
    <n v="4"/>
    <n v="1"/>
    <n v="32"/>
    <n v="3"/>
    <n v="2"/>
    <n v="2"/>
    <n v="2"/>
    <n v="2"/>
    <x v="0"/>
    <d v="2023-04-03T00:00:00"/>
    <x v="0"/>
    <s v="Involuntary"/>
    <x v="0"/>
    <x v="2"/>
    <x v="1"/>
    <x v="0"/>
    <x v="1"/>
  </r>
  <r>
    <x v="1408"/>
    <s v="No"/>
    <x v="1"/>
    <s v="Manager, Sales"/>
    <x v="1"/>
    <x v="1"/>
    <n v="4"/>
    <n v="226500"/>
    <n v="13"/>
    <n v="37.5"/>
    <s v="Yes"/>
    <n v="58"/>
    <s v="Woman"/>
    <s v="Married"/>
    <x v="0"/>
    <n v="21"/>
    <s v="Bachelor's Degree"/>
    <s v="Life Sciences"/>
    <n v="3"/>
    <n v="1"/>
    <n v="29"/>
    <n v="2"/>
    <n v="1"/>
    <n v="0"/>
    <n v="0"/>
    <n v="0"/>
    <x v="0"/>
    <d v="2024-11-02T00:00:00"/>
    <x v="1"/>
    <s v="Involuntary"/>
    <x v="0"/>
    <x v="1"/>
    <x v="1"/>
    <x v="1"/>
    <x v="5"/>
  </r>
  <r>
    <x v="1409"/>
    <s v="No"/>
    <x v="1"/>
    <s v="Healthcare Representative"/>
    <x v="0"/>
    <x v="0"/>
    <n v="7"/>
    <n v="83616"/>
    <n v="20"/>
    <n v="37.5"/>
    <s v="No"/>
    <n v="33"/>
    <s v="Man"/>
    <s v="Divorced"/>
    <x v="1"/>
    <n v="7"/>
    <s v="Certificate or Diploma"/>
    <s v="Life Sciences"/>
    <n v="4"/>
    <n v="3"/>
    <n v="9"/>
    <n v="2"/>
    <n v="9"/>
    <n v="7"/>
    <n v="2"/>
    <n v="8"/>
    <x v="1"/>
    <d v="2025-05-16T00:00:00"/>
    <x v="1"/>
    <s v="Voluntary"/>
    <x v="0"/>
    <x v="0"/>
    <x v="1"/>
    <x v="0"/>
    <x v="5"/>
  </r>
  <r>
    <x v="1410"/>
    <s v="No"/>
    <x v="1"/>
    <s v="Manager, Sales"/>
    <x v="1"/>
    <x v="1"/>
    <n v="5"/>
    <n v="228492"/>
    <n v="14"/>
    <n v="37.5"/>
    <s v="No"/>
    <n v="40"/>
    <s v="Woman"/>
    <s v="Married"/>
    <x v="0"/>
    <n v="2"/>
    <s v="Master's Degree"/>
    <s v="Life Sciences"/>
    <n v="3"/>
    <n v="0"/>
    <n v="21"/>
    <n v="2"/>
    <n v="20"/>
    <n v="15"/>
    <n v="1"/>
    <n v="12"/>
    <x v="2"/>
    <d v="2024-03-08T00:00:00"/>
    <x v="1"/>
    <s v="Voluntary"/>
    <x v="2"/>
    <x v="0"/>
    <x v="0"/>
    <x v="0"/>
    <x v="5"/>
  </r>
  <r>
    <x v="1411"/>
    <s v="No"/>
    <x v="1"/>
    <s v="Manager, R&amp;D"/>
    <x v="1"/>
    <x v="0"/>
    <n v="5"/>
    <n v="228732"/>
    <n v="22"/>
    <n v="37.5"/>
    <s v="No"/>
    <n v="45"/>
    <s v="Woman"/>
    <s v="Single"/>
    <x v="1"/>
    <n v="25"/>
    <s v="Bachelor's Degree"/>
    <s v="Medical"/>
    <n v="4"/>
    <n v="0"/>
    <n v="22"/>
    <n v="4"/>
    <n v="0"/>
    <n v="0"/>
    <n v="0"/>
    <n v="0"/>
    <x v="0"/>
    <d v="2023-09-13T00:00:00"/>
    <x v="0"/>
    <s v="Voluntary"/>
    <x v="1"/>
    <x v="3"/>
    <x v="1"/>
    <x v="0"/>
    <x v="2"/>
  </r>
  <r>
    <x v="1412"/>
    <s v="No"/>
    <x v="1"/>
    <s v="Research Director"/>
    <x v="1"/>
    <x v="0"/>
    <n v="5"/>
    <n v="230064"/>
    <n v="19"/>
    <n v="37.5"/>
    <s v="Yes"/>
    <n v="50"/>
    <s v="Woman"/>
    <s v="Married"/>
    <x v="1"/>
    <n v="1"/>
    <s v="Bachelor's Degree"/>
    <s v="Life Sciences"/>
    <n v="3"/>
    <n v="0"/>
    <n v="28"/>
    <n v="1"/>
    <n v="8"/>
    <n v="3"/>
    <n v="0"/>
    <n v="7"/>
    <x v="1"/>
    <d v="2024-11-01T00:00:00"/>
    <x v="1"/>
    <s v="Involuntary"/>
    <x v="3"/>
    <x v="3"/>
    <x v="3"/>
    <x v="1"/>
    <x v="9"/>
  </r>
  <r>
    <x v="1413"/>
    <s v="No"/>
    <x v="1"/>
    <s v="Healthcare Representative"/>
    <x v="0"/>
    <x v="0"/>
    <n v="9"/>
    <n v="102120"/>
    <n v="17"/>
    <n v="37.5"/>
    <s v="No"/>
    <n v="43"/>
    <s v="Man"/>
    <s v="Married"/>
    <x v="0"/>
    <n v="11"/>
    <s v="Bachelor's Degree"/>
    <s v="Life Sciences"/>
    <n v="3"/>
    <n v="1"/>
    <n v="10"/>
    <n v="1"/>
    <n v="10"/>
    <n v="9"/>
    <n v="0"/>
    <n v="9"/>
    <x v="2"/>
    <d v="2022-02-16T00:00:00"/>
    <x v="0"/>
    <s v="Involuntary"/>
    <x v="3"/>
    <x v="0"/>
    <x v="2"/>
    <x v="0"/>
    <x v="6"/>
  </r>
  <r>
    <x v="1414"/>
    <s v="No"/>
    <x v="1"/>
    <s v="HR Business Partner"/>
    <x v="0"/>
    <x v="2"/>
    <n v="5"/>
    <n v="59892"/>
    <n v="11"/>
    <n v="37.5"/>
    <s v="Yes"/>
    <n v="38"/>
    <s v="Man"/>
    <s v="Married"/>
    <x v="1"/>
    <n v="1"/>
    <s v="Master's Degree"/>
    <s v="Other"/>
    <n v="3"/>
    <n v="1"/>
    <n v="7"/>
    <n v="2"/>
    <n v="6"/>
    <n v="2"/>
    <n v="1"/>
    <n v="2"/>
    <x v="1"/>
    <d v="2025-08-20T00:00:00"/>
    <x v="1"/>
    <s v="Involuntary"/>
    <x v="0"/>
    <x v="3"/>
    <x v="2"/>
    <x v="0"/>
    <x v="1"/>
  </r>
  <r>
    <x v="1415"/>
    <s v="No"/>
    <x v="1"/>
    <s v="Manager, HR"/>
    <x v="1"/>
    <x v="2"/>
    <n v="5"/>
    <n v="247632"/>
    <n v="18"/>
    <n v="37.5"/>
    <s v="Yes"/>
    <n v="55"/>
    <s v="Man"/>
    <s v="Married"/>
    <x v="0"/>
    <n v="26"/>
    <s v="Master's Degree"/>
    <s v="Human Resources"/>
    <n v="3"/>
    <n v="1"/>
    <n v="35"/>
    <n v="0"/>
    <n v="10"/>
    <n v="9"/>
    <n v="1"/>
    <n v="4"/>
    <x v="2"/>
    <d v="2022-08-24T00:00:00"/>
    <x v="0"/>
    <s v="Involuntary"/>
    <x v="2"/>
    <x v="3"/>
    <x v="3"/>
    <x v="0"/>
    <x v="6"/>
  </r>
  <r>
    <x v="1416"/>
    <s v="No"/>
    <x v="1"/>
    <s v="Sales Executive"/>
    <x v="0"/>
    <x v="1"/>
    <n v="10"/>
    <n v="172092"/>
    <n v="12"/>
    <n v="37.5"/>
    <s v="No"/>
    <n v="39"/>
    <s v="Man"/>
    <s v="Single"/>
    <x v="0"/>
    <n v="15"/>
    <s v="Master's Degree"/>
    <s v="Marketing"/>
    <n v="3"/>
    <n v="0"/>
    <n v="21"/>
    <n v="3"/>
    <n v="20"/>
    <n v="8"/>
    <n v="11"/>
    <n v="10"/>
    <x v="2"/>
    <d v="2022-12-30T00:00:00"/>
    <x v="0"/>
    <s v="Voluntary"/>
    <x v="1"/>
    <x v="2"/>
    <x v="3"/>
    <x v="0"/>
    <x v="3"/>
  </r>
  <r>
    <x v="1417"/>
    <s v="No"/>
    <x v="1"/>
    <s v="Research Scientist"/>
    <x v="0"/>
    <x v="0"/>
    <n v="6"/>
    <n v="63984"/>
    <n v="12"/>
    <n v="37.5"/>
    <s v="No"/>
    <n v="42"/>
    <s v="Man"/>
    <s v="Single"/>
    <x v="2"/>
    <n v="23"/>
    <s v="Certificate or Diploma"/>
    <s v="Life Sciences"/>
    <n v="3"/>
    <n v="0"/>
    <n v="20"/>
    <n v="2"/>
    <n v="20"/>
    <n v="9"/>
    <n v="3"/>
    <n v="7"/>
    <x v="2"/>
    <d v="2022-06-05T00:00:00"/>
    <x v="0"/>
    <s v="Involuntary"/>
    <x v="0"/>
    <x v="0"/>
    <x v="0"/>
    <x v="0"/>
    <x v="0"/>
  </r>
  <r>
    <x v="1418"/>
    <s v="No"/>
    <x v="1"/>
    <s v="Healthcare Representative"/>
    <x v="0"/>
    <x v="0"/>
    <n v="6"/>
    <n v="67404"/>
    <n v="12"/>
    <n v="37.5"/>
    <s v="No"/>
    <n v="24"/>
    <s v="Man"/>
    <s v="Single"/>
    <x v="0"/>
    <n v="1"/>
    <s v="Certificate or Diploma"/>
    <s v="Life Sciences"/>
    <n v="3"/>
    <n v="0"/>
    <n v="4"/>
    <n v="2"/>
    <n v="4"/>
    <n v="3"/>
    <n v="1"/>
    <n v="2"/>
    <x v="1"/>
    <d v="2023-05-29T00:00:00"/>
    <x v="0"/>
    <s v="Involuntary"/>
    <x v="1"/>
    <x v="0"/>
    <x v="2"/>
    <x v="1"/>
    <x v="6"/>
  </r>
  <r>
    <x v="1419"/>
    <s v="No"/>
    <x v="1"/>
    <s v="Manager, R&amp;D"/>
    <x v="1"/>
    <x v="0"/>
    <n v="5"/>
    <n v="235272"/>
    <n v="18"/>
    <n v="37.5"/>
    <s v="No"/>
    <n v="53"/>
    <s v="Woman"/>
    <s v="Divorced"/>
    <x v="0"/>
    <n v="7"/>
    <s v="Certificate or Diploma"/>
    <s v="Medical"/>
    <n v="3"/>
    <n v="1"/>
    <n v="26"/>
    <n v="6"/>
    <n v="7"/>
    <n v="7"/>
    <n v="4"/>
    <n v="7"/>
    <x v="1"/>
    <d v="2025-10-27T00:00:00"/>
    <x v="1"/>
    <s v="Involuntary"/>
    <x v="0"/>
    <x v="0"/>
    <x v="2"/>
    <x v="0"/>
    <x v="4"/>
  </r>
  <r>
    <x v="1420"/>
    <s v="No"/>
    <x v="1"/>
    <s v="Research Director"/>
    <x v="1"/>
    <x v="0"/>
    <n v="5"/>
    <n v="235980"/>
    <n v="11"/>
    <n v="37.5"/>
    <s v="Yes"/>
    <n v="49"/>
    <s v="Woman"/>
    <s v="Single"/>
    <x v="1"/>
    <n v="10"/>
    <s v="Master's Degree"/>
    <s v="Life Sciences"/>
    <n v="3"/>
    <n v="0"/>
    <n v="22"/>
    <n v="4"/>
    <n v="3"/>
    <n v="2"/>
    <n v="1"/>
    <n v="2"/>
    <x v="1"/>
    <d v="2025-06-07T00:00:00"/>
    <x v="1"/>
    <s v="Involuntary"/>
    <x v="2"/>
    <x v="2"/>
    <x v="0"/>
    <x v="0"/>
    <x v="1"/>
  </r>
  <r>
    <x v="1421"/>
    <s v="No"/>
    <x v="1"/>
    <s v="Laboratory Technician"/>
    <x v="0"/>
    <x v="0"/>
    <n v="5"/>
    <n v="55764"/>
    <n v="13"/>
    <n v="37.5"/>
    <s v="No"/>
    <n v="23"/>
    <s v="Man"/>
    <s v="Single"/>
    <x v="0"/>
    <n v="12"/>
    <s v="Certificate or Diploma"/>
    <s v="Other"/>
    <n v="3"/>
    <n v="0"/>
    <n v="5"/>
    <n v="6"/>
    <n v="5"/>
    <n v="2"/>
    <n v="1"/>
    <n v="4"/>
    <x v="1"/>
    <d v="2023-08-19T00:00:00"/>
    <x v="0"/>
    <s v="Involuntary"/>
    <x v="0"/>
    <x v="1"/>
    <x v="1"/>
    <x v="2"/>
    <x v="7"/>
  </r>
  <r>
    <x v="1422"/>
    <s v="No"/>
    <x v="1"/>
    <s v="Laboratory Technician"/>
    <x v="0"/>
    <x v="0"/>
    <n v="6"/>
    <n v="68976"/>
    <n v="13"/>
    <n v="37.5"/>
    <s v="No"/>
    <n v="30"/>
    <s v="Man"/>
    <s v="Married"/>
    <x v="0"/>
    <n v="1"/>
    <s v="Certificate or Diploma"/>
    <s v="Medical"/>
    <n v="3"/>
    <n v="0"/>
    <n v="12"/>
    <n v="6"/>
    <n v="12"/>
    <n v="8"/>
    <n v="1"/>
    <n v="7"/>
    <x v="2"/>
    <d v="2023-07-28T00:00:00"/>
    <x v="0"/>
    <s v="Voluntary"/>
    <x v="0"/>
    <x v="3"/>
    <x v="1"/>
    <x v="1"/>
    <x v="1"/>
  </r>
  <r>
    <x v="1423"/>
    <s v="No"/>
    <x v="1"/>
    <s v="Research Director"/>
    <x v="1"/>
    <x v="0"/>
    <n v="5"/>
    <n v="236880"/>
    <n v="12"/>
    <n v="37.5"/>
    <s v="Yes"/>
    <n v="50"/>
    <s v="Woman"/>
    <s v="Divorced"/>
    <x v="0"/>
    <n v="7"/>
    <s v="Certificate or Diploma"/>
    <s v="Medical"/>
    <n v="3"/>
    <n v="1"/>
    <n v="29"/>
    <n v="2"/>
    <n v="27"/>
    <n v="3"/>
    <n v="13"/>
    <n v="8"/>
    <x v="2"/>
    <d v="2022-01-21T00:00:00"/>
    <x v="0"/>
    <s v="Voluntary"/>
    <x v="1"/>
    <x v="0"/>
    <x v="0"/>
    <x v="1"/>
    <x v="1"/>
  </r>
  <r>
    <x v="1424"/>
    <s v="No"/>
    <x v="1"/>
    <s v="Manager, Sales"/>
    <x v="1"/>
    <x v="1"/>
    <n v="5"/>
    <n v="237468"/>
    <n v="14"/>
    <n v="37.5"/>
    <s v="No"/>
    <n v="46"/>
    <s v="Woman"/>
    <s v="Married"/>
    <x v="0"/>
    <n v="4"/>
    <s v="Certificate or Diploma"/>
    <s v="Marketing"/>
    <n v="3"/>
    <n v="1"/>
    <n v="26"/>
    <n v="2"/>
    <n v="11"/>
    <n v="4"/>
    <n v="0"/>
    <n v="8"/>
    <x v="2"/>
    <d v="2025-01-04T00:00:00"/>
    <x v="1"/>
    <s v="Voluntary"/>
    <x v="0"/>
    <x v="3"/>
    <x v="1"/>
    <x v="0"/>
    <x v="4"/>
  </r>
  <r>
    <x v="1425"/>
    <s v="No"/>
    <x v="1"/>
    <s v="Manager, HR"/>
    <x v="1"/>
    <x v="2"/>
    <n v="5"/>
    <n v="238128"/>
    <n v="21"/>
    <n v="37.5"/>
    <s v="No"/>
    <n v="59"/>
    <s v="Woman"/>
    <s v="Married"/>
    <x v="2"/>
    <n v="2"/>
    <s v="Master's Degree"/>
    <s v="Human Resources"/>
    <n v="4"/>
    <n v="1"/>
    <n v="30"/>
    <n v="3"/>
    <n v="3"/>
    <n v="2"/>
    <n v="2"/>
    <n v="2"/>
    <x v="1"/>
    <d v="2025-07-16T00:00:00"/>
    <x v="1"/>
    <s v="Voluntary"/>
    <x v="2"/>
    <x v="1"/>
    <x v="0"/>
    <x v="0"/>
    <x v="0"/>
  </r>
  <r>
    <x v="1426"/>
    <s v="No"/>
    <x v="1"/>
    <s v="Laboratory Technician"/>
    <x v="0"/>
    <x v="0"/>
    <n v="7"/>
    <n v="71724"/>
    <n v="19"/>
    <n v="37.5"/>
    <s v="Yes"/>
    <n v="25"/>
    <s v="Man"/>
    <s v="Divorced"/>
    <x v="0"/>
    <n v="2"/>
    <s v="Trades Apprenticeship"/>
    <s v="Other"/>
    <n v="3"/>
    <n v="1"/>
    <n v="7"/>
    <n v="2"/>
    <n v="2"/>
    <n v="2"/>
    <n v="0"/>
    <n v="2"/>
    <x v="0"/>
    <d v="2024-02-22T00:00:00"/>
    <x v="1"/>
    <s v="Involuntary"/>
    <x v="0"/>
    <x v="0"/>
    <x v="1"/>
    <x v="1"/>
    <x v="4"/>
  </r>
  <r>
    <x v="1427"/>
    <s v="No"/>
    <x v="1"/>
    <s v="Manager, Sales"/>
    <x v="1"/>
    <x v="1"/>
    <n v="5"/>
    <n v="239364"/>
    <n v="12"/>
    <n v="37.5"/>
    <s v="No"/>
    <n v="46"/>
    <s v="Woman"/>
    <s v="Single"/>
    <x v="0"/>
    <n v="2"/>
    <s v="Master's Degree"/>
    <s v="Marketing"/>
    <n v="3"/>
    <n v="0"/>
    <n v="22"/>
    <n v="2"/>
    <n v="2"/>
    <n v="2"/>
    <n v="2"/>
    <n v="1"/>
    <x v="0"/>
    <d v="2025-11-21T00:00:00"/>
    <x v="1"/>
    <s v="Voluntary"/>
    <x v="1"/>
    <x v="2"/>
    <x v="0"/>
    <x v="1"/>
    <x v="6"/>
  </r>
  <r>
    <x v="1428"/>
    <s v="No"/>
    <x v="1"/>
    <s v="Manager, R&amp;D"/>
    <x v="1"/>
    <x v="0"/>
    <n v="5"/>
    <n v="240396"/>
    <n v="14"/>
    <n v="37.5"/>
    <s v="No"/>
    <n v="40"/>
    <s v="Woman"/>
    <s v="Married"/>
    <x v="0"/>
    <n v="4"/>
    <s v="Trades Apprenticeship"/>
    <s v="Medical"/>
    <n v="3"/>
    <n v="1"/>
    <n v="21"/>
    <n v="2"/>
    <n v="20"/>
    <n v="8"/>
    <n v="9"/>
    <n v="9"/>
    <x v="2"/>
    <d v="2025-03-22T00:00:00"/>
    <x v="1"/>
    <s v="Voluntary"/>
    <x v="0"/>
    <x v="0"/>
    <x v="2"/>
    <x v="0"/>
    <x v="4"/>
  </r>
  <r>
    <x v="1429"/>
    <s v="No"/>
    <x v="1"/>
    <s v="Healthcare Representative"/>
    <x v="0"/>
    <x v="0"/>
    <n v="9"/>
    <n v="115596"/>
    <n v="23"/>
    <n v="37.5"/>
    <s v="No"/>
    <n v="47"/>
    <s v="Man"/>
    <s v="Single"/>
    <x v="0"/>
    <n v="25"/>
    <s v="Bachelor's Degree"/>
    <s v="Medical"/>
    <n v="4"/>
    <n v="0"/>
    <n v="25"/>
    <n v="3"/>
    <n v="17"/>
    <n v="14"/>
    <n v="12"/>
    <n v="11"/>
    <x v="2"/>
    <d v="2023-01-07T00:00:00"/>
    <x v="0"/>
    <s v="Voluntary"/>
    <x v="3"/>
    <x v="0"/>
    <x v="2"/>
    <x v="0"/>
    <x v="6"/>
  </r>
  <r>
    <x v="1430"/>
    <s v="No"/>
    <x v="1"/>
    <s v="Laboratory Technician"/>
    <x v="0"/>
    <x v="0"/>
    <n v="3"/>
    <n v="48096"/>
    <n v="12"/>
    <n v="37.5"/>
    <s v="No"/>
    <n v="33"/>
    <s v="Man"/>
    <s v="Divorced"/>
    <x v="2"/>
    <n v="1"/>
    <s v="Certificate or Diploma"/>
    <s v="Medical"/>
    <n v="3"/>
    <n v="3"/>
    <n v="1"/>
    <n v="2"/>
    <n v="1"/>
    <n v="1"/>
    <n v="0"/>
    <n v="0"/>
    <x v="0"/>
    <d v="2025-10-25T00:00:00"/>
    <x v="1"/>
    <s v="Voluntary"/>
    <x v="1"/>
    <x v="0"/>
    <x v="1"/>
    <x v="1"/>
    <x v="2"/>
  </r>
  <r>
    <x v="1431"/>
    <s v="No"/>
    <x v="1"/>
    <s v="Research Director"/>
    <x v="1"/>
    <x v="0"/>
    <n v="5"/>
    <n v="240588"/>
    <n v="14"/>
    <n v="37.5"/>
    <s v="Yes"/>
    <n v="44"/>
    <s v="Woman"/>
    <s v="Divorced"/>
    <x v="0"/>
    <n v="7"/>
    <s v="Bachelor's Degree"/>
    <s v="Medical"/>
    <n v="3"/>
    <n v="1"/>
    <n v="23"/>
    <n v="4"/>
    <n v="22"/>
    <n v="7"/>
    <n v="1"/>
    <n v="10"/>
    <x v="2"/>
    <d v="2022-08-13T00:00:00"/>
    <x v="0"/>
    <s v="Voluntary"/>
    <x v="1"/>
    <x v="1"/>
    <x v="0"/>
    <x v="1"/>
    <x v="4"/>
  </r>
  <r>
    <x v="1432"/>
    <s v="No"/>
    <x v="1"/>
    <s v="Sales Executive"/>
    <x v="0"/>
    <x v="1"/>
    <n v="6"/>
    <n v="65280"/>
    <n v="15"/>
    <n v="37.5"/>
    <s v="No"/>
    <n v="38"/>
    <s v="Man"/>
    <s v="Married"/>
    <x v="0"/>
    <n v="1"/>
    <s v="Master's Degree"/>
    <s v="Life Sciences"/>
    <n v="3"/>
    <n v="2"/>
    <n v="16"/>
    <n v="3"/>
    <n v="15"/>
    <n v="13"/>
    <n v="5"/>
    <n v="8"/>
    <x v="2"/>
    <d v="2023-10-18T00:00:00"/>
    <x v="0"/>
    <s v="Involuntary"/>
    <x v="0"/>
    <x v="3"/>
    <x v="3"/>
    <x v="0"/>
    <x v="2"/>
  </r>
  <r>
    <x v="1433"/>
    <s v="No"/>
    <x v="1"/>
    <s v="Sales Representative"/>
    <x v="0"/>
    <x v="1"/>
    <n v="6"/>
    <n v="60804"/>
    <n v="19"/>
    <n v="37.5"/>
    <s v="No"/>
    <n v="31"/>
    <s v="Man"/>
    <s v="Married"/>
    <x v="0"/>
    <n v="2"/>
    <s v="Certificate or Diploma"/>
    <s v="Life Sciences"/>
    <n v="3"/>
    <n v="1"/>
    <n v="3"/>
    <n v="1"/>
    <n v="2"/>
    <n v="2"/>
    <n v="1"/>
    <n v="2"/>
    <x v="0"/>
    <d v="2025-09-13T00:00:00"/>
    <x v="1"/>
    <s v="Voluntary"/>
    <x v="3"/>
    <x v="0"/>
    <x v="1"/>
    <x v="0"/>
    <x v="2"/>
  </r>
  <r>
    <x v="1434"/>
    <s v="No"/>
    <x v="1"/>
    <s v="Manager, R&amp;D"/>
    <x v="1"/>
    <x v="0"/>
    <n v="5"/>
    <n v="241128"/>
    <n v="11"/>
    <n v="37.5"/>
    <s v="No"/>
    <n v="53"/>
    <s v="Woman"/>
    <s v="Divorced"/>
    <x v="0"/>
    <n v="5"/>
    <s v="Bachelor's Degree"/>
    <s v="Other"/>
    <n v="3"/>
    <n v="1"/>
    <n v="26"/>
    <n v="3"/>
    <n v="14"/>
    <n v="13"/>
    <n v="4"/>
    <n v="8"/>
    <x v="2"/>
    <d v="2023-10-28T00:00:00"/>
    <x v="0"/>
    <s v="Voluntary"/>
    <x v="2"/>
    <x v="0"/>
    <x v="0"/>
    <x v="1"/>
    <x v="4"/>
  </r>
  <r>
    <x v="1435"/>
    <s v="No"/>
    <x v="1"/>
    <s v="Manufacturing Director"/>
    <x v="1"/>
    <x v="0"/>
    <n v="7"/>
    <n v="75852"/>
    <n v="11"/>
    <n v="37.5"/>
    <s v="No"/>
    <n v="38"/>
    <s v="Man"/>
    <s v="Married"/>
    <x v="1"/>
    <n v="6"/>
    <s v="Master's Degree"/>
    <s v="Life Sciences"/>
    <n v="3"/>
    <n v="1"/>
    <n v="10"/>
    <n v="1"/>
    <n v="8"/>
    <n v="3"/>
    <n v="7"/>
    <n v="7"/>
    <x v="1"/>
    <d v="2025-05-02T00:00:00"/>
    <x v="1"/>
    <s v="Involuntary"/>
    <x v="3"/>
    <x v="0"/>
    <x v="0"/>
    <x v="0"/>
    <x v="1"/>
  </r>
  <r>
    <x v="1436"/>
    <s v="No"/>
    <x v="1"/>
    <s v="Research Scientist"/>
    <x v="0"/>
    <x v="0"/>
    <n v="7"/>
    <n v="76920"/>
    <n v="17"/>
    <n v="37.5"/>
    <s v="Yes"/>
    <n v="42"/>
    <s v="Man"/>
    <s v="Divorced"/>
    <x v="0"/>
    <n v="18"/>
    <s v="Master's Degree"/>
    <s v="Life Sciences"/>
    <n v="3"/>
    <n v="1"/>
    <n v="9"/>
    <n v="3"/>
    <n v="4"/>
    <n v="3"/>
    <n v="1"/>
    <n v="2"/>
    <x v="1"/>
    <d v="2025-02-06T00:00:00"/>
    <x v="1"/>
    <s v="Involuntary"/>
    <x v="0"/>
    <x v="2"/>
    <x v="1"/>
    <x v="1"/>
    <x v="2"/>
  </r>
  <r>
    <x v="1437"/>
    <s v="No"/>
    <x v="1"/>
    <s v="Research Scientist"/>
    <x v="0"/>
    <x v="0"/>
    <n v="5"/>
    <n v="57384"/>
    <n v="22"/>
    <n v="37.5"/>
    <s v="No"/>
    <n v="41"/>
    <s v="Man"/>
    <s v="Married"/>
    <x v="0"/>
    <n v="1"/>
    <s v="Bachelor's Degree"/>
    <s v="Life Sciences"/>
    <n v="4"/>
    <n v="1"/>
    <n v="12"/>
    <n v="3"/>
    <n v="5"/>
    <n v="3"/>
    <n v="1"/>
    <n v="0"/>
    <x v="1"/>
    <d v="2022-12-22T00:00:00"/>
    <x v="0"/>
    <s v="Involuntary"/>
    <x v="0"/>
    <x v="1"/>
    <x v="3"/>
    <x v="0"/>
    <x v="4"/>
  </r>
  <r>
    <x v="1438"/>
    <s v="No"/>
    <x v="1"/>
    <s v="Manager, R&amp;D"/>
    <x v="1"/>
    <x v="0"/>
    <n v="5"/>
    <n v="242244"/>
    <n v="14"/>
    <n v="37.5"/>
    <s v="No"/>
    <n v="55"/>
    <s v="Woman"/>
    <s v="Married"/>
    <x v="0"/>
    <n v="2"/>
    <s v="Certificate or Diploma"/>
    <s v="Medical"/>
    <n v="3"/>
    <n v="1"/>
    <n v="23"/>
    <n v="5"/>
    <n v="19"/>
    <n v="9"/>
    <n v="9"/>
    <n v="11"/>
    <x v="2"/>
    <d v="2022-12-20T00:00:00"/>
    <x v="0"/>
    <s v="Involuntary"/>
    <x v="0"/>
    <x v="0"/>
    <x v="0"/>
    <x v="0"/>
    <x v="0"/>
  </r>
  <r>
    <x v="1439"/>
    <s v="No"/>
    <x v="1"/>
    <s v="Laboratory Technician"/>
    <x v="0"/>
    <x v="0"/>
    <n v="5"/>
    <n v="55920"/>
    <n v="11"/>
    <n v="37.5"/>
    <s v="Yes"/>
    <n v="35"/>
    <s v="Man"/>
    <s v="Married"/>
    <x v="0"/>
    <n v="11"/>
    <s v="Master's Degree"/>
    <s v="Medical"/>
    <n v="3"/>
    <n v="1"/>
    <n v="5"/>
    <n v="3"/>
    <n v="2"/>
    <n v="2"/>
    <n v="2"/>
    <n v="2"/>
    <x v="0"/>
    <d v="2025-12-17T00:00:00"/>
    <x v="1"/>
    <s v="Involuntary"/>
    <x v="0"/>
    <x v="0"/>
    <x v="1"/>
    <x v="0"/>
    <x v="5"/>
  </r>
  <r>
    <x v="1440"/>
    <s v="No"/>
    <x v="1"/>
    <s v="Research Scientist"/>
    <x v="0"/>
    <x v="0"/>
    <n v="6"/>
    <n v="64500"/>
    <n v="12"/>
    <n v="37.5"/>
    <s v="No"/>
    <n v="22"/>
    <s v="Man"/>
    <s v="Single"/>
    <x v="0"/>
    <n v="1"/>
    <s v="Certificate or Diploma"/>
    <s v="Life Sciences"/>
    <n v="3"/>
    <n v="0"/>
    <n v="4"/>
    <n v="2"/>
    <n v="3"/>
    <n v="2"/>
    <n v="1"/>
    <n v="2"/>
    <x v="1"/>
    <d v="2022-05-25T00:00:00"/>
    <x v="0"/>
    <s v="Voluntary"/>
    <x v="0"/>
    <x v="0"/>
    <x v="0"/>
    <x v="2"/>
    <x v="7"/>
  </r>
  <r>
    <x v="1441"/>
    <s v="No"/>
    <x v="1"/>
    <s v="Research Scientist"/>
    <x v="0"/>
    <x v="0"/>
    <n v="7"/>
    <n v="73176"/>
    <n v="19"/>
    <n v="37.5"/>
    <s v="No"/>
    <n v="35"/>
    <s v="Man"/>
    <s v="Single"/>
    <x v="0"/>
    <n v="9"/>
    <s v="Master's Degree"/>
    <s v="Medical"/>
    <n v="3"/>
    <n v="0"/>
    <n v="10"/>
    <n v="5"/>
    <n v="10"/>
    <n v="7"/>
    <n v="0"/>
    <n v="8"/>
    <x v="2"/>
    <d v="2025-10-27T00:00:00"/>
    <x v="1"/>
    <s v="Involuntary"/>
    <x v="1"/>
    <x v="0"/>
    <x v="2"/>
    <x v="0"/>
    <x v="2"/>
  </r>
  <r>
    <x v="1442"/>
    <s v="No"/>
    <x v="1"/>
    <s v="Laboratory Technician"/>
    <x v="0"/>
    <x v="0"/>
    <n v="4"/>
    <n v="52872"/>
    <n v="19"/>
    <n v="37.5"/>
    <s v="No"/>
    <n v="40"/>
    <s v="Man"/>
    <s v="Married"/>
    <x v="0"/>
    <n v="1"/>
    <s v="Master's Degree"/>
    <s v="Life Sciences"/>
    <n v="3"/>
    <n v="2"/>
    <n v="8"/>
    <n v="3"/>
    <n v="1"/>
    <n v="0"/>
    <n v="0"/>
    <n v="0"/>
    <x v="0"/>
    <d v="2025-12-17T00:00:00"/>
    <x v="1"/>
    <s v="Voluntary"/>
    <x v="3"/>
    <x v="1"/>
    <x v="1"/>
    <x v="1"/>
    <x v="2"/>
  </r>
  <r>
    <x v="1443"/>
    <s v="No"/>
    <x v="1"/>
    <s v="Sales Representative"/>
    <x v="0"/>
    <x v="1"/>
    <n v="4"/>
    <n v="51228"/>
    <n v="14"/>
    <n v="37.5"/>
    <s v="No"/>
    <n v="32"/>
    <s v="Man"/>
    <s v="Married"/>
    <x v="0"/>
    <n v="1"/>
    <s v="Master's Degree"/>
    <s v="Medical"/>
    <n v="3"/>
    <n v="1"/>
    <n v="3"/>
    <n v="2"/>
    <n v="2"/>
    <n v="2"/>
    <n v="2"/>
    <n v="2"/>
    <x v="0"/>
    <d v="2022-04-14T00:00:00"/>
    <x v="0"/>
    <s v="Voluntary"/>
    <x v="1"/>
    <x v="3"/>
    <x v="2"/>
    <x v="0"/>
    <x v="6"/>
  </r>
  <r>
    <x v="1444"/>
    <s v="No"/>
    <x v="1"/>
    <s v="Research Scientist"/>
    <x v="0"/>
    <x v="0"/>
    <n v="6"/>
    <n v="61296"/>
    <n v="13"/>
    <n v="37.5"/>
    <s v="No"/>
    <n v="39"/>
    <s v="Man"/>
    <s v="Single"/>
    <x v="0"/>
    <n v="24"/>
    <s v="Trades Apprenticeship"/>
    <s v="Life Sciences"/>
    <n v="3"/>
    <n v="0"/>
    <n v="18"/>
    <n v="2"/>
    <n v="7"/>
    <n v="7"/>
    <n v="1"/>
    <n v="7"/>
    <x v="1"/>
    <d v="2024-10-25T00:00:00"/>
    <x v="1"/>
    <s v="Voluntary"/>
    <x v="3"/>
    <x v="1"/>
    <x v="3"/>
    <x v="0"/>
    <x v="6"/>
  </r>
  <r>
    <x v="1445"/>
    <s v="No"/>
    <x v="1"/>
    <s v="Sales Representative"/>
    <x v="0"/>
    <x v="1"/>
    <n v="6"/>
    <n v="65784"/>
    <n v="15"/>
    <n v="37.5"/>
    <s v="No"/>
    <n v="52"/>
    <s v="Man"/>
    <s v="Divorced"/>
    <x v="2"/>
    <n v="29"/>
    <s v="Master's Degree"/>
    <s v="Life Sciences"/>
    <n v="3"/>
    <n v="2"/>
    <n v="16"/>
    <n v="3"/>
    <n v="9"/>
    <n v="8"/>
    <n v="0"/>
    <n v="0"/>
    <x v="1"/>
    <d v="2025-06-02T00:00:00"/>
    <x v="1"/>
    <s v="Voluntary"/>
    <x v="3"/>
    <x v="1"/>
    <x v="2"/>
    <x v="1"/>
    <x v="6"/>
  </r>
  <r>
    <x v="1446"/>
    <s v="No"/>
    <x v="1"/>
    <s v="Research Scientist"/>
    <x v="0"/>
    <x v="0"/>
    <n v="4"/>
    <n v="53232"/>
    <n v="12"/>
    <n v="37.5"/>
    <s v="Yes"/>
    <n v="44"/>
    <s v="Man"/>
    <s v="Single"/>
    <x v="0"/>
    <n v="1"/>
    <s v="Bachelor's Degree"/>
    <s v="Medical"/>
    <n v="3"/>
    <n v="0"/>
    <n v="6"/>
    <n v="2"/>
    <n v="4"/>
    <n v="3"/>
    <n v="1"/>
    <n v="2"/>
    <x v="1"/>
    <d v="2025-02-06T00:00:00"/>
    <x v="1"/>
    <s v="Voluntary"/>
    <x v="1"/>
    <x v="1"/>
    <x v="1"/>
    <x v="0"/>
    <x v="4"/>
  </r>
  <r>
    <x v="1447"/>
    <s v="No"/>
    <x v="1"/>
    <s v="Sales Representative"/>
    <x v="0"/>
    <x v="1"/>
    <n v="4"/>
    <n v="52560"/>
    <n v="11"/>
    <n v="37.5"/>
    <s v="Yes"/>
    <n v="21"/>
    <s v="Man"/>
    <s v="Single"/>
    <x v="0"/>
    <n v="5"/>
    <s v="Trades Apprenticeship"/>
    <s v="Medical"/>
    <n v="3"/>
    <n v="0"/>
    <n v="2"/>
    <n v="6"/>
    <n v="2"/>
    <n v="2"/>
    <n v="1"/>
    <n v="2"/>
    <x v="0"/>
    <d v="2024-09-06T00:00:00"/>
    <x v="1"/>
    <s v="Involuntary"/>
    <x v="2"/>
    <x v="2"/>
    <x v="0"/>
    <x v="0"/>
    <x v="1"/>
  </r>
  <r>
    <x v="1448"/>
    <s v="No"/>
    <x v="1"/>
    <s v="Manager, R&amp;D"/>
    <x v="1"/>
    <x v="0"/>
    <n v="5"/>
    <n v="245172"/>
    <n v="13"/>
    <n v="37.5"/>
    <s v="No"/>
    <n v="39"/>
    <s v="Man"/>
    <s v="Single"/>
    <x v="2"/>
    <n v="9"/>
    <s v="Bachelor's Degree"/>
    <s v="Life Sciences"/>
    <n v="3"/>
    <n v="0"/>
    <n v="21"/>
    <n v="3"/>
    <n v="6"/>
    <n v="0"/>
    <n v="1"/>
    <n v="3"/>
    <x v="1"/>
    <d v="2024-08-12T00:00:00"/>
    <x v="1"/>
    <s v="Voluntary"/>
    <x v="0"/>
    <x v="1"/>
    <x v="1"/>
    <x v="1"/>
    <x v="5"/>
  </r>
  <r>
    <x v="1449"/>
    <s v="No"/>
    <x v="1"/>
    <s v="Manager, R&amp;D"/>
    <x v="1"/>
    <x v="0"/>
    <n v="5"/>
    <n v="244704"/>
    <n v="13"/>
    <n v="37.5"/>
    <s v="No"/>
    <n v="43"/>
    <s v="Woman"/>
    <s v="Married"/>
    <x v="0"/>
    <n v="6"/>
    <s v="Bachelor's Degree"/>
    <s v="Medical"/>
    <n v="3"/>
    <n v="0"/>
    <n v="21"/>
    <n v="2"/>
    <n v="16"/>
    <n v="12"/>
    <n v="6"/>
    <n v="14"/>
    <x v="2"/>
    <d v="2023-06-23T00:00:00"/>
    <x v="0"/>
    <s v="Involuntary"/>
    <x v="3"/>
    <x v="0"/>
    <x v="0"/>
    <x v="0"/>
    <x v="1"/>
  </r>
  <r>
    <x v="1450"/>
    <s v="No"/>
    <x v="1"/>
    <s v="Healthcare Representative"/>
    <x v="0"/>
    <x v="0"/>
    <n v="8"/>
    <n v="87672"/>
    <n v="21"/>
    <n v="37.5"/>
    <s v="No"/>
    <n v="56"/>
    <s v="Man"/>
    <s v="Divorced"/>
    <x v="2"/>
    <n v="1"/>
    <s v="Master's Degree"/>
    <s v="Life Sciences"/>
    <n v="4"/>
    <n v="1"/>
    <n v="13"/>
    <n v="2"/>
    <n v="13"/>
    <n v="12"/>
    <n v="1"/>
    <n v="9"/>
    <x v="2"/>
    <d v="2023-11-12T00:00:00"/>
    <x v="0"/>
    <s v="Voluntary"/>
    <x v="2"/>
    <x v="0"/>
    <x v="3"/>
    <x v="1"/>
    <x v="6"/>
  </r>
  <r>
    <x v="1451"/>
    <s v="No"/>
    <x v="1"/>
    <s v="Manager, R&amp;D"/>
    <x v="1"/>
    <x v="0"/>
    <n v="5"/>
    <n v="238560"/>
    <n v="11"/>
    <n v="37.5"/>
    <s v="No"/>
    <n v="42"/>
    <s v="Man"/>
    <s v="Married"/>
    <x v="0"/>
    <n v="2"/>
    <s v="Bachelor's Degree"/>
    <s v="Life Sciences"/>
    <n v="3"/>
    <n v="0"/>
    <n v="24"/>
    <n v="2"/>
    <n v="22"/>
    <n v="6"/>
    <n v="4"/>
    <n v="14"/>
    <x v="2"/>
    <d v="2024-10-14T00:00:00"/>
    <x v="1"/>
    <s v="Involuntary"/>
    <x v="3"/>
    <x v="0"/>
    <x v="3"/>
    <x v="1"/>
    <x v="3"/>
  </r>
  <r>
    <x v="1452"/>
    <s v="No"/>
    <x v="1"/>
    <s v="Sales Executive"/>
    <x v="0"/>
    <x v="1"/>
    <n v="7"/>
    <n v="76872"/>
    <n v="24"/>
    <n v="37.5"/>
    <s v="No"/>
    <n v="36"/>
    <s v="Man"/>
    <s v="Divorced"/>
    <x v="2"/>
    <n v="15"/>
    <s v="Master's Degree"/>
    <s v="Marketing"/>
    <n v="4"/>
    <n v="1"/>
    <n v="15"/>
    <n v="4"/>
    <n v="15"/>
    <n v="12"/>
    <n v="11"/>
    <n v="11"/>
    <x v="2"/>
    <d v="2023-04-07T00:00:00"/>
    <x v="0"/>
    <s v="Voluntary"/>
    <x v="0"/>
    <x v="1"/>
    <x v="3"/>
    <x v="1"/>
    <x v="1"/>
  </r>
  <r>
    <x v="1453"/>
    <s v="No"/>
    <x v="1"/>
    <s v="Manager, Sales"/>
    <x v="1"/>
    <x v="1"/>
    <n v="5"/>
    <n v="246204"/>
    <n v="11"/>
    <n v="37.5"/>
    <s v="No"/>
    <n v="50"/>
    <s v="Woman"/>
    <s v="Divorced"/>
    <x v="0"/>
    <n v="1"/>
    <s v="Master's Degree"/>
    <s v="Medical"/>
    <n v="3"/>
    <n v="1"/>
    <n v="32"/>
    <n v="3"/>
    <n v="7"/>
    <n v="0"/>
    <n v="0"/>
    <n v="6"/>
    <x v="1"/>
    <d v="2023-05-26T00:00:00"/>
    <x v="0"/>
    <s v="Involuntary"/>
    <x v="0"/>
    <x v="1"/>
    <x v="1"/>
    <x v="1"/>
    <x v="5"/>
  </r>
  <r>
    <x v="1454"/>
    <s v="No"/>
    <x v="1"/>
    <s v="Sales Executive"/>
    <x v="0"/>
    <x v="1"/>
    <n v="9"/>
    <n v="119256"/>
    <n v="11"/>
    <n v="37.5"/>
    <s v="No"/>
    <n v="41"/>
    <s v="Man"/>
    <s v="Divorced"/>
    <x v="0"/>
    <n v="3"/>
    <s v="Bachelor's Degree"/>
    <s v="Life Sciences"/>
    <n v="3"/>
    <n v="1"/>
    <n v="14"/>
    <n v="5"/>
    <n v="5"/>
    <n v="4"/>
    <n v="0"/>
    <n v="4"/>
    <x v="1"/>
    <d v="2022-11-25T00:00:00"/>
    <x v="0"/>
    <s v="Voluntary"/>
    <x v="2"/>
    <x v="3"/>
    <x v="1"/>
    <x v="0"/>
    <x v="1"/>
  </r>
  <r>
    <x v="1455"/>
    <s v="No"/>
    <x v="1"/>
    <s v="Manager, R&amp;D"/>
    <x v="1"/>
    <x v="0"/>
    <n v="5"/>
    <n v="246792"/>
    <n v="11"/>
    <n v="37.5"/>
    <s v="No"/>
    <n v="60"/>
    <s v="Woman"/>
    <s v="Married"/>
    <x v="0"/>
    <n v="7"/>
    <s v="Bachelor's Degree"/>
    <s v="Life Sciences"/>
    <n v="3"/>
    <n v="0"/>
    <n v="33"/>
    <n v="5"/>
    <n v="29"/>
    <n v="8"/>
    <n v="11"/>
    <n v="10"/>
    <x v="2"/>
    <d v="2022-08-26T00:00:00"/>
    <x v="0"/>
    <s v="Voluntary"/>
    <x v="3"/>
    <x v="2"/>
    <x v="0"/>
    <x v="3"/>
    <x v="3"/>
  </r>
  <r>
    <x v="1456"/>
    <s v="No"/>
    <x v="1"/>
    <s v="Research Scientist"/>
    <x v="0"/>
    <x v="0"/>
    <n v="4"/>
    <n v="53268"/>
    <n v="14"/>
    <n v="37.5"/>
    <s v="No"/>
    <n v="32"/>
    <s v="Man"/>
    <s v="Single"/>
    <x v="0"/>
    <n v="2"/>
    <s v="Bachelor's Degree"/>
    <s v="Technical Degree"/>
    <n v="3"/>
    <n v="0"/>
    <n v="4"/>
    <n v="4"/>
    <n v="4"/>
    <n v="2"/>
    <n v="1"/>
    <n v="2"/>
    <x v="1"/>
    <d v="2025-02-07T00:00:00"/>
    <x v="1"/>
    <s v="Involuntary"/>
    <x v="0"/>
    <x v="2"/>
    <x v="0"/>
    <x v="0"/>
    <x v="4"/>
  </r>
  <r>
    <x v="1457"/>
    <s v="No"/>
    <x v="1"/>
    <s v="Research Scientist"/>
    <x v="0"/>
    <x v="0"/>
    <n v="5"/>
    <n v="57708"/>
    <n v="14"/>
    <n v="37.5"/>
    <s v="No"/>
    <n v="40"/>
    <s v="Man"/>
    <s v="Single"/>
    <x v="0"/>
    <n v="2"/>
    <s v="Master's Degree"/>
    <s v="Life Sciences"/>
    <n v="3"/>
    <n v="0"/>
    <n v="8"/>
    <n v="2"/>
    <n v="2"/>
    <n v="2"/>
    <n v="2"/>
    <n v="2"/>
    <x v="0"/>
    <d v="2024-04-14T00:00:00"/>
    <x v="1"/>
    <s v="Involuntary"/>
    <x v="2"/>
    <x v="0"/>
    <x v="0"/>
    <x v="0"/>
    <x v="5"/>
  </r>
  <r>
    <x v="1458"/>
    <s v="No"/>
    <x v="1"/>
    <s v="Healthcare Representative"/>
    <x v="0"/>
    <x v="0"/>
    <n v="7"/>
    <n v="80268"/>
    <n v="14"/>
    <n v="37.5"/>
    <s v="Yes"/>
    <n v="35"/>
    <s v="Man"/>
    <s v="Married"/>
    <x v="1"/>
    <n v="18"/>
    <s v="Master's Degree"/>
    <s v="Life Sciences"/>
    <n v="3"/>
    <n v="2"/>
    <n v="10"/>
    <n v="2"/>
    <n v="10"/>
    <n v="2"/>
    <n v="0"/>
    <n v="2"/>
    <x v="2"/>
    <d v="2023-12-02T00:00:00"/>
    <x v="0"/>
    <s v="Involuntary"/>
    <x v="2"/>
    <x v="0"/>
    <x v="0"/>
    <x v="2"/>
    <x v="0"/>
  </r>
  <r>
    <x v="1459"/>
    <s v="No"/>
    <x v="1"/>
    <s v="Laboratory Technician"/>
    <x v="0"/>
    <x v="0"/>
    <n v="6"/>
    <n v="60300"/>
    <n v="13"/>
    <n v="37.5"/>
    <s v="Yes"/>
    <n v="29"/>
    <s v="Man"/>
    <s v="Married"/>
    <x v="0"/>
    <n v="13"/>
    <s v="Certificate or Diploma"/>
    <s v="Other"/>
    <n v="3"/>
    <n v="1"/>
    <n v="10"/>
    <n v="2"/>
    <n v="4"/>
    <n v="3"/>
    <n v="0"/>
    <n v="3"/>
    <x v="1"/>
    <d v="2025-10-10T00:00:00"/>
    <x v="1"/>
    <s v="Involuntary"/>
    <x v="0"/>
    <x v="3"/>
    <x v="3"/>
    <x v="0"/>
    <x v="2"/>
  </r>
  <r>
    <x v="1460"/>
    <s v="No"/>
    <x v="1"/>
    <s v="Manager, HR"/>
    <x v="1"/>
    <x v="2"/>
    <n v="5"/>
    <n v="247896"/>
    <n v="11"/>
    <n v="37.5"/>
    <s v="No"/>
    <n v="47"/>
    <s v="Woman"/>
    <s v="Married"/>
    <x v="0"/>
    <n v="26"/>
    <s v="Master's Degree"/>
    <s v="Life Sciences"/>
    <n v="3"/>
    <n v="1"/>
    <n v="27"/>
    <n v="2"/>
    <n v="5"/>
    <n v="2"/>
    <n v="1"/>
    <n v="0"/>
    <x v="1"/>
    <d v="2023-10-21T00:00:00"/>
    <x v="0"/>
    <s v="Involuntary"/>
    <x v="0"/>
    <x v="0"/>
    <x v="1"/>
    <x v="0"/>
    <x v="5"/>
  </r>
  <r>
    <x v="1461"/>
    <s v="No"/>
    <x v="1"/>
    <s v="Research Director"/>
    <x v="1"/>
    <x v="0"/>
    <n v="5"/>
    <n v="248412"/>
    <n v="21"/>
    <n v="37.5"/>
    <s v="Yes"/>
    <n v="58"/>
    <s v="Woman"/>
    <s v="Married"/>
    <x v="0"/>
    <n v="1"/>
    <s v="Bachelor's Degree"/>
    <s v="Medical"/>
    <n v="4"/>
    <n v="1"/>
    <n v="32"/>
    <n v="3"/>
    <n v="9"/>
    <n v="8"/>
    <n v="1"/>
    <n v="5"/>
    <x v="1"/>
    <d v="2025-07-01T00:00:00"/>
    <x v="1"/>
    <s v="Involuntary"/>
    <x v="0"/>
    <x v="2"/>
    <x v="1"/>
    <x v="0"/>
    <x v="1"/>
  </r>
  <r>
    <x v="1462"/>
    <s v="No"/>
    <x v="1"/>
    <s v="Manufacturing Director"/>
    <x v="1"/>
    <x v="0"/>
    <n v="9"/>
    <n v="131232"/>
    <n v="19"/>
    <n v="37.5"/>
    <s v="No"/>
    <n v="31"/>
    <s v="Man"/>
    <s v="Single"/>
    <x v="2"/>
    <n v="5"/>
    <s v="Bachelor's Degree"/>
    <s v="Medical"/>
    <n v="3"/>
    <n v="0"/>
    <n v="10"/>
    <n v="2"/>
    <n v="9"/>
    <n v="4"/>
    <n v="1"/>
    <n v="7"/>
    <x v="1"/>
    <d v="2023-12-02T00:00:00"/>
    <x v="0"/>
    <s v="Involuntary"/>
    <x v="1"/>
    <x v="2"/>
    <x v="2"/>
    <x v="0"/>
    <x v="8"/>
  </r>
  <r>
    <x v="1463"/>
    <s v="No"/>
    <x v="1"/>
    <s v="Laboratory Technician"/>
    <x v="0"/>
    <x v="0"/>
    <n v="4"/>
    <n v="54852"/>
    <n v="17"/>
    <n v="37.5"/>
    <s v="No"/>
    <n v="36"/>
    <s v="Man"/>
    <s v="Married"/>
    <x v="1"/>
    <n v="23"/>
    <s v="Certificate or Diploma"/>
    <s v="Medical"/>
    <n v="3"/>
    <n v="1"/>
    <n v="17"/>
    <n v="3"/>
    <n v="5"/>
    <n v="2"/>
    <n v="0"/>
    <n v="3"/>
    <x v="1"/>
    <d v="2024-07-24T00:00:00"/>
    <x v="1"/>
    <s v="Involuntary"/>
    <x v="2"/>
    <x v="1"/>
    <x v="1"/>
    <x v="0"/>
    <x v="5"/>
  </r>
  <r>
    <x v="1464"/>
    <s v="No"/>
    <x v="1"/>
    <s v="Healthcare Representative"/>
    <x v="0"/>
    <x v="0"/>
    <n v="9"/>
    <n v="131892"/>
    <n v="15"/>
    <n v="37.5"/>
    <s v="No"/>
    <n v="39"/>
    <s v="Man"/>
    <s v="Married"/>
    <x v="0"/>
    <n v="6"/>
    <s v="Trades Apprenticeship"/>
    <s v="Medical"/>
    <n v="3"/>
    <n v="1"/>
    <n v="9"/>
    <n v="5"/>
    <n v="7"/>
    <n v="7"/>
    <n v="1"/>
    <n v="7"/>
    <x v="1"/>
    <d v="2022-12-25T00:00:00"/>
    <x v="0"/>
    <s v="Involuntary"/>
    <x v="0"/>
    <x v="2"/>
    <x v="3"/>
    <x v="0"/>
    <x v="6"/>
  </r>
  <r>
    <x v="1465"/>
    <s v="No"/>
    <x v="1"/>
    <s v="Manufacturing Director"/>
    <x v="1"/>
    <x v="0"/>
    <n v="8"/>
    <n v="85704"/>
    <n v="20"/>
    <n v="37.5"/>
    <s v="Yes"/>
    <n v="27"/>
    <s v="Man"/>
    <s v="Married"/>
    <x v="0"/>
    <n v="4"/>
    <s v="Bachelor's Degree"/>
    <s v="Life Sciences"/>
    <n v="4"/>
    <n v="1"/>
    <n v="6"/>
    <n v="0"/>
    <n v="6"/>
    <n v="2"/>
    <n v="0"/>
    <n v="3"/>
    <x v="1"/>
    <d v="2022-03-14T00:00:00"/>
    <x v="0"/>
    <s v="Involuntary"/>
    <x v="1"/>
    <x v="3"/>
    <x v="2"/>
    <x v="0"/>
    <x v="6"/>
  </r>
  <r>
    <x v="1466"/>
    <s v="No"/>
    <x v="1"/>
    <s v="Sales Executive"/>
    <x v="0"/>
    <x v="1"/>
    <n v="7"/>
    <n v="76680"/>
    <n v="14"/>
    <n v="37.5"/>
    <s v="No"/>
    <n v="49"/>
    <s v="Man"/>
    <s v="Married"/>
    <x v="1"/>
    <n v="2"/>
    <s v="Bachelor's Degree"/>
    <s v="Medical"/>
    <n v="3"/>
    <n v="0"/>
    <n v="17"/>
    <n v="3"/>
    <n v="9"/>
    <n v="6"/>
    <n v="0"/>
    <n v="8"/>
    <x v="1"/>
    <d v="2025-11-25T00:00:00"/>
    <x v="1"/>
    <s v="Involuntary"/>
    <x v="0"/>
    <x v="3"/>
    <x v="0"/>
    <x v="1"/>
    <x v="4"/>
  </r>
  <r>
    <x v="1467"/>
    <s v="No"/>
    <x v="1"/>
    <s v="Manager, R&amp;D"/>
    <x v="1"/>
    <x v="0"/>
    <n v="5"/>
    <n v="251112"/>
    <n v="15"/>
    <n v="37.5"/>
    <s v="No"/>
    <n v="50"/>
    <s v="Woman"/>
    <s v="Single"/>
    <x v="0"/>
    <n v="11"/>
    <s v="Bachelor's Degree"/>
    <s v="Life Sciences"/>
    <n v="3"/>
    <n v="0"/>
    <n v="21"/>
    <n v="5"/>
    <n v="5"/>
    <n v="4"/>
    <n v="4"/>
    <n v="4"/>
    <x v="1"/>
    <d v="2025-04-24T00:00:00"/>
    <x v="1"/>
    <s v="Involuntary"/>
    <x v="2"/>
    <x v="3"/>
    <x v="2"/>
    <x v="0"/>
    <x v="2"/>
  </r>
  <r>
    <x v="1468"/>
    <s v="No"/>
    <x v="1"/>
    <s v="Manager, R&amp;D"/>
    <x v="1"/>
    <x v="0"/>
    <n v="5"/>
    <n v="251316"/>
    <n v="13"/>
    <n v="37.5"/>
    <s v="No"/>
    <n v="56"/>
    <s v="Woman"/>
    <s v="Divorced"/>
    <x v="0"/>
    <n v="4"/>
    <s v="Master's Degree"/>
    <s v="Technical Degree"/>
    <n v="3"/>
    <n v="1"/>
    <n v="28"/>
    <n v="2"/>
    <n v="5"/>
    <n v="2"/>
    <n v="4"/>
    <n v="2"/>
    <x v="1"/>
    <d v="2022-12-30T00:00:00"/>
    <x v="0"/>
    <s v="Voluntary"/>
    <x v="0"/>
    <x v="2"/>
    <x v="0"/>
    <x v="0"/>
    <x v="4"/>
  </r>
  <r>
    <x v="1469"/>
    <s v="No"/>
    <x v="1"/>
    <s v="Research Director"/>
    <x v="1"/>
    <x v="0"/>
    <n v="5"/>
    <n v="251676"/>
    <n v="22"/>
    <n v="37.5"/>
    <s v="No"/>
    <n v="41"/>
    <s v="Woman"/>
    <s v="Divorced"/>
    <x v="2"/>
    <n v="7"/>
    <s v="Trades Apprenticeship"/>
    <s v="Life Sciences"/>
    <n v="4"/>
    <n v="2"/>
    <n v="21"/>
    <n v="3"/>
    <n v="21"/>
    <n v="16"/>
    <n v="5"/>
    <n v="10"/>
    <x v="2"/>
    <d v="2024-11-27T00:00:00"/>
    <x v="1"/>
    <s v="Involuntary"/>
    <x v="1"/>
    <x v="0"/>
    <x v="2"/>
    <x v="0"/>
    <x v="2"/>
  </r>
  <r>
    <x v="1470"/>
    <s v="No"/>
    <x v="1"/>
    <s v="Laboratory Technician"/>
    <x v="0"/>
    <x v="0"/>
    <n v="6"/>
    <n v="64848"/>
    <n v="12"/>
    <n v="37.5"/>
    <s v="No"/>
    <n v="34"/>
    <s v="Man"/>
    <s v="Married"/>
    <x v="0"/>
    <n v="8"/>
    <s v="Bachelor's Degree"/>
    <s v="Medical"/>
    <n v="3"/>
    <n v="0"/>
    <n v="6"/>
    <n v="3"/>
    <n v="4"/>
    <n v="3"/>
    <n v="1"/>
    <n v="2"/>
    <x v="1"/>
    <d v="2022-01-21T00:00:00"/>
    <x v="0"/>
    <s v="Involuntary"/>
    <x v="1"/>
    <x v="0"/>
    <x v="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B8846E-19B0-4D73-A969-48C0119E76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2" firstHeaderRow="0" firstDataRow="1" firstDataCol="1" rowPageCount="1" colPageCount="1"/>
  <pivotFields count="35">
    <pivotField dataField="1" showAll="0"/>
    <pivotField showAll="0"/>
    <pivotField showAll="0">
      <items count="3">
        <item x="0"/>
        <item x="1"/>
        <item t="default"/>
      </items>
    </pivotField>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pivotField showAll="0"/>
    <pivotField showAll="0"/>
    <pivotField showAll="0"/>
    <pivotField showAll="0"/>
    <pivotField showAll="0"/>
  </pivotFields>
  <rowFields count="1">
    <field x="26"/>
  </rowFields>
  <rowItems count="4">
    <i>
      <x/>
    </i>
    <i>
      <x v="1"/>
    </i>
    <i>
      <x v="2"/>
    </i>
    <i t="grand">
      <x/>
    </i>
  </rowItems>
  <colFields count="1">
    <field x="-2"/>
  </colFields>
  <colItems count="2">
    <i>
      <x/>
    </i>
    <i i="1">
      <x v="1"/>
    </i>
  </colItems>
  <pageFields count="1">
    <pageField fld="4" hier="-1"/>
  </pageFields>
  <dataFields count="2">
    <dataField name="Sum of Recent Exit Flag" fld="28" baseField="0" baseItem="0"/>
    <dataField name="Count of EmployeeNumber" fld="0" subtotal="count"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46148-619E-491C-9B86-6BDE022F8AD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Department" colHeaderCaption="Exit">
  <location ref="A7:D12" firstHeaderRow="1" firstDataRow="2" firstDataCol="1" rowPageCount="1" colPageCount="1"/>
  <pivotFields count="35">
    <pivotField dataField="1" showAll="0"/>
    <pivotField showAll="0"/>
    <pivotField showAll="0"/>
    <pivotField showAll="0"/>
    <pivotField axis="axisPage" showAll="0">
      <items count="3">
        <item x="0"/>
        <item x="1"/>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n="Not Recent (0)" x="0"/>
        <item n="Recent (1)" x="1"/>
        <item t="default"/>
      </items>
    </pivotField>
    <pivotField showAll="0"/>
    <pivotField showAll="0"/>
    <pivotField showAll="0"/>
    <pivotField showAll="0"/>
    <pivotField showAll="0"/>
    <pivotField showAll="0"/>
  </pivotFields>
  <rowFields count="1">
    <field x="5"/>
  </rowFields>
  <rowItems count="4">
    <i>
      <x/>
    </i>
    <i>
      <x v="1"/>
    </i>
    <i>
      <x v="2"/>
    </i>
    <i t="grand">
      <x/>
    </i>
  </rowItems>
  <colFields count="1">
    <field x="28"/>
  </colFields>
  <colItems count="3">
    <i>
      <x/>
    </i>
    <i>
      <x v="1"/>
    </i>
    <i t="grand">
      <x/>
    </i>
  </colItems>
  <pageFields count="1">
    <pageField fld="4" item="1" hier="-1"/>
  </pageFields>
  <dataFields count="1">
    <dataField name="Count of EmployeeNumber"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97775-8B92-4E37-B360-36330CEC0B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2" firstHeaderRow="0" firstDataRow="1" firstDataCol="1" rowPageCount="1" colPageCount="1"/>
  <pivotFields count="35">
    <pivotField dataField="1" showAll="0"/>
    <pivotField showAll="0"/>
    <pivotField showAll="0"/>
    <pivotField showAll="0"/>
    <pivotField axis="axisPage" showAll="0">
      <items count="3">
        <item x="0"/>
        <item x="1"/>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pageFields count="1">
    <pageField fld="4" item="1" hier="-1"/>
  </pageFields>
  <dataFields count="2">
    <dataField name="Sum of Recent Exit Flag" fld="28" baseField="0" baseItem="0"/>
    <dataField name="Count of EmployeeNumber" fld="0" subtotal="count" baseField="5" baseItem="0"/>
  </dataFields>
  <formats count="2">
    <format dxfId="2">
      <pivotArea collapsedLevelsAreSubtotals="1" fieldPosition="0">
        <references count="1">
          <reference field="5" count="2">
            <x v="1"/>
            <x v="2"/>
          </reference>
        </references>
      </pivotArea>
    </format>
    <format dxfId="1">
      <pivotArea dataOnly="0" labelOnly="1" fieldPosition="0">
        <references count="1">
          <reference field="5"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898731-A44F-48BA-BA40-9847717163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vel Needs" colHeaderCaption="Exits">
  <location ref="A7:D12" firstHeaderRow="1" firstDataRow="2" firstDataCol="1" rowPageCount="1" colPageCount="1"/>
  <pivotFields count="35">
    <pivotField dataField="1"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n="0 (Non recent &amp; active)" x="0"/>
        <item n="1 (Recent)" x="1"/>
        <item t="default"/>
      </items>
    </pivotField>
    <pivotField showAll="0"/>
    <pivotField showAll="0"/>
    <pivotField showAll="0"/>
    <pivotField showAll="0"/>
    <pivotField showAll="0"/>
    <pivotField showAll="0"/>
  </pivotFields>
  <rowFields count="1">
    <field x="14"/>
  </rowFields>
  <rowItems count="4">
    <i>
      <x/>
    </i>
    <i>
      <x v="1"/>
    </i>
    <i>
      <x v="2"/>
    </i>
    <i t="grand">
      <x/>
    </i>
  </rowItems>
  <colFields count="1">
    <field x="28"/>
  </colFields>
  <colItems count="3">
    <i>
      <x/>
    </i>
    <i>
      <x v="1"/>
    </i>
    <i t="grand">
      <x/>
    </i>
  </colItems>
  <pageFields count="1">
    <pageField fld="4" item="1" hier="-1"/>
  </pageFields>
  <dataFields count="1">
    <dataField name="Count of EmployeeNumber"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D7BE44-349A-480D-A51A-E7D878497D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it Flag">
  <location ref="A7:B10" firstHeaderRow="1" firstDataRow="1" firstDataCol="1" rowPageCount="1" colPageCount="1"/>
  <pivotFields count="35">
    <pivotField showAll="0">
      <items count="1472">
        <item x="165"/>
        <item x="250"/>
        <item x="10"/>
        <item x="518"/>
        <item x="251"/>
        <item x="253"/>
        <item x="454"/>
        <item x="254"/>
        <item x="255"/>
        <item x="256"/>
        <item x="257"/>
        <item x="594"/>
        <item x="13"/>
        <item x="258"/>
        <item x="14"/>
        <item x="1217"/>
        <item x="261"/>
        <item x="263"/>
        <item x="1354"/>
        <item x="265"/>
        <item x="544"/>
        <item x="16"/>
        <item x="1293"/>
        <item x="245"/>
        <item x="17"/>
        <item x="1434"/>
        <item x="140"/>
        <item x="266"/>
        <item x="1229"/>
        <item x="1427"/>
        <item x="268"/>
        <item x="270"/>
        <item x="271"/>
        <item x="19"/>
        <item x="20"/>
        <item x="447"/>
        <item x="21"/>
        <item x="264"/>
        <item x="667"/>
        <item x="899"/>
        <item x="273"/>
        <item x="358"/>
        <item x="22"/>
        <item x="275"/>
        <item x="545"/>
        <item x="235"/>
        <item x="277"/>
        <item x="278"/>
        <item x="279"/>
        <item x="280"/>
        <item x="24"/>
        <item x="25"/>
        <item x="914"/>
        <item x="282"/>
        <item x="586"/>
        <item x="1318"/>
        <item x="283"/>
        <item x="546"/>
        <item x="284"/>
        <item x="285"/>
        <item x="287"/>
        <item x="386"/>
        <item x="1423"/>
        <item x="1118"/>
        <item x="1224"/>
        <item x="1348"/>
        <item x="288"/>
        <item x="290"/>
        <item x="294"/>
        <item x="26"/>
        <item x="919"/>
        <item x="295"/>
        <item x="296"/>
        <item x="297"/>
        <item x="557"/>
        <item x="673"/>
        <item x="299"/>
        <item x="300"/>
        <item x="301"/>
        <item x="302"/>
        <item x="304"/>
        <item x="306"/>
        <item x="308"/>
        <item x="891"/>
        <item x="309"/>
        <item x="310"/>
        <item x="313"/>
        <item x="314"/>
        <item x="315"/>
        <item x="31"/>
        <item x="317"/>
        <item x="319"/>
        <item x="870"/>
        <item x="322"/>
        <item x="323"/>
        <item x="1324"/>
        <item x="842"/>
        <item x="325"/>
        <item x="326"/>
        <item x="327"/>
        <item x="34"/>
        <item x="328"/>
        <item x="88"/>
        <item x="791"/>
        <item x="329"/>
        <item x="1425"/>
        <item x="1412"/>
        <item x="35"/>
        <item x="332"/>
        <item x="511"/>
        <item x="1109"/>
        <item x="36"/>
        <item x="1395"/>
        <item x="334"/>
        <item x="703"/>
        <item x="336"/>
        <item x="1285"/>
        <item x="1207"/>
        <item x="500"/>
        <item x="337"/>
        <item x="338"/>
        <item x="339"/>
        <item x="142"/>
        <item x="340"/>
        <item x="37"/>
        <item x="370"/>
        <item x="210"/>
        <item x="39"/>
        <item x="341"/>
        <item x="1048"/>
        <item x="771"/>
        <item x="1182"/>
        <item x="123"/>
        <item x="342"/>
        <item x="526"/>
        <item x="343"/>
        <item x="40"/>
        <item x="975"/>
        <item x="345"/>
        <item x="347"/>
        <item x="105"/>
        <item x="348"/>
        <item x="637"/>
        <item x="444"/>
        <item x="349"/>
        <item x="601"/>
        <item x="350"/>
        <item x="351"/>
        <item x="352"/>
        <item x="248"/>
        <item x="940"/>
        <item x="354"/>
        <item x="355"/>
        <item x="356"/>
        <item x="1178"/>
        <item x="357"/>
        <item x="360"/>
        <item x="647"/>
        <item x="362"/>
        <item x="320"/>
        <item x="363"/>
        <item x="364"/>
        <item x="365"/>
        <item x="366"/>
        <item x="367"/>
        <item x="1467"/>
        <item x="369"/>
        <item x="1188"/>
        <item x="1162"/>
        <item x="373"/>
        <item x="374"/>
        <item x="43"/>
        <item x="375"/>
        <item x="377"/>
        <item x="844"/>
        <item x="615"/>
        <item x="379"/>
        <item x="3"/>
        <item x="1245"/>
        <item x="335"/>
        <item x="822"/>
        <item x="344"/>
        <item x="100"/>
        <item x="380"/>
        <item x="686"/>
        <item x="478"/>
        <item x="1428"/>
        <item x="381"/>
        <item x="382"/>
        <item x="1334"/>
        <item x="383"/>
        <item x="333"/>
        <item x="48"/>
        <item x="384"/>
        <item x="385"/>
        <item x="387"/>
        <item x="674"/>
        <item x="881"/>
        <item x="388"/>
        <item x="389"/>
        <item x="390"/>
        <item x="392"/>
        <item x="393"/>
        <item x="394"/>
        <item x="52"/>
        <item x="189"/>
        <item x="395"/>
        <item x="303"/>
        <item x="396"/>
        <item x="398"/>
        <item x="53"/>
        <item x="399"/>
        <item x="1219"/>
        <item x="400"/>
        <item x="66"/>
        <item x="1328"/>
        <item x="179"/>
        <item x="54"/>
        <item x="1174"/>
        <item x="981"/>
        <item x="402"/>
        <item x="443"/>
        <item x="404"/>
        <item x="405"/>
        <item x="407"/>
        <item x="408"/>
        <item x="409"/>
        <item x="1132"/>
        <item x="1166"/>
        <item x="55"/>
        <item x="604"/>
        <item x="410"/>
        <item x="413"/>
        <item x="1453"/>
        <item x="57"/>
        <item x="1358"/>
        <item x="72"/>
        <item x="414"/>
        <item x="824"/>
        <item x="58"/>
        <item x="321"/>
        <item x="417"/>
        <item x="419"/>
        <item x="420"/>
        <item x="423"/>
        <item x="424"/>
        <item x="520"/>
        <item x="425"/>
        <item x="821"/>
        <item x="426"/>
        <item x="60"/>
        <item x="1275"/>
        <item x="428"/>
        <item x="1045"/>
        <item x="429"/>
        <item x="811"/>
        <item x="437"/>
        <item x="433"/>
        <item x="436"/>
        <item x="61"/>
        <item x="438"/>
        <item x="439"/>
        <item x="440"/>
        <item x="1381"/>
        <item x="63"/>
        <item x="441"/>
        <item x="445"/>
        <item x="446"/>
        <item x="448"/>
        <item x="449"/>
        <item x="450"/>
        <item x="67"/>
        <item x="452"/>
        <item x="453"/>
        <item x="455"/>
        <item x="1329"/>
        <item x="1294"/>
        <item x="941"/>
        <item x="1029"/>
        <item x="456"/>
        <item x="457"/>
        <item x="458"/>
        <item x="459"/>
        <item x="460"/>
        <item x="461"/>
        <item x="293"/>
        <item x="68"/>
        <item x="462"/>
        <item x="70"/>
        <item x="634"/>
        <item x="1420"/>
        <item x="463"/>
        <item x="486"/>
        <item x="71"/>
        <item x="464"/>
        <item x="1323"/>
        <item x="9"/>
        <item x="465"/>
        <item x="466"/>
        <item x="467"/>
        <item x="468"/>
        <item x="243"/>
        <item x="469"/>
        <item x="470"/>
        <item x="471"/>
        <item x="948"/>
        <item x="472"/>
        <item x="1296"/>
        <item x="473"/>
        <item x="474"/>
        <item x="475"/>
        <item x="476"/>
        <item x="479"/>
        <item x="1289"/>
        <item x="480"/>
        <item x="401"/>
        <item x="1340"/>
        <item x="78"/>
        <item x="406"/>
        <item x="873"/>
        <item x="481"/>
        <item x="482"/>
        <item x="849"/>
        <item x="80"/>
        <item x="967"/>
        <item x="1176"/>
        <item x="484"/>
        <item x="155"/>
        <item x="487"/>
        <item x="488"/>
        <item x="879"/>
        <item x="489"/>
        <item x="803"/>
        <item x="1220"/>
        <item x="490"/>
        <item x="491"/>
        <item x="83"/>
        <item x="492"/>
        <item x="990"/>
        <item x="1005"/>
        <item x="493"/>
        <item x="496"/>
        <item x="1099"/>
        <item x="1143"/>
        <item x="497"/>
        <item x="498"/>
        <item x="504"/>
        <item x="505"/>
        <item x="1356"/>
        <item x="507"/>
        <item x="508"/>
        <item x="371"/>
        <item x="1300"/>
        <item x="509"/>
        <item x="769"/>
        <item x="510"/>
        <item x="512"/>
        <item x="29"/>
        <item x="1058"/>
        <item x="514"/>
        <item x="516"/>
        <item x="316"/>
        <item x="517"/>
        <item x="84"/>
        <item x="688"/>
        <item x="880"/>
        <item x="87"/>
        <item x="519"/>
        <item x="89"/>
        <item x="523"/>
        <item x="73"/>
        <item x="524"/>
        <item x="525"/>
        <item x="529"/>
        <item x="530"/>
        <item x="531"/>
        <item x="826"/>
        <item x="418"/>
        <item x="90"/>
        <item x="1372"/>
        <item x="617"/>
        <item x="534"/>
        <item x="91"/>
        <item x="324"/>
        <item x="537"/>
        <item x="92"/>
        <item x="554"/>
        <item x="954"/>
        <item x="431"/>
        <item x="538"/>
        <item x="540"/>
        <item x="683"/>
        <item x="541"/>
        <item x="1044"/>
        <item x="632"/>
        <item x="542"/>
        <item x="707"/>
        <item x="698"/>
        <item x="685"/>
        <item x="543"/>
        <item x="548"/>
        <item x="1310"/>
        <item x="1049"/>
        <item x="550"/>
        <item x="552"/>
        <item x="93"/>
        <item x="553"/>
        <item x="555"/>
        <item x="1367"/>
        <item x="718"/>
        <item x="989"/>
        <item x="1455"/>
        <item x="792"/>
        <item x="708"/>
        <item x="106"/>
        <item x="44"/>
        <item x="556"/>
        <item x="1410"/>
        <item x="513"/>
        <item x="558"/>
        <item x="559"/>
        <item x="59"/>
        <item x="94"/>
        <item x="1151"/>
        <item x="561"/>
        <item x="562"/>
        <item x="427"/>
        <item x="1231"/>
        <item x="852"/>
        <item x="563"/>
        <item x="564"/>
        <item x="786"/>
        <item x="565"/>
        <item x="1180"/>
        <item x="566"/>
        <item x="95"/>
        <item x="96"/>
        <item x="567"/>
        <item x="568"/>
        <item x="97"/>
        <item x="205"/>
        <item x="569"/>
        <item x="571"/>
        <item x="99"/>
        <item x="560"/>
        <item x="1379"/>
        <item x="574"/>
        <item x="576"/>
        <item x="1312"/>
        <item x="774"/>
        <item x="577"/>
        <item x="578"/>
        <item x="579"/>
        <item x="74"/>
        <item x="581"/>
        <item x="1360"/>
        <item x="585"/>
        <item x="101"/>
        <item x="587"/>
        <item x="1075"/>
        <item x="588"/>
        <item x="801"/>
        <item x="591"/>
        <item x="103"/>
        <item x="1110"/>
        <item x="1251"/>
        <item x="1368"/>
        <item x="593"/>
        <item x="595"/>
        <item x="104"/>
        <item x="597"/>
        <item x="1210"/>
        <item x="1033"/>
        <item x="598"/>
        <item x="600"/>
        <item x="602"/>
        <item x="605"/>
        <item x="606"/>
        <item x="607"/>
        <item x="86"/>
        <item x="107"/>
        <item x="609"/>
        <item x="108"/>
        <item x="610"/>
        <item x="611"/>
        <item x="311"/>
        <item x="613"/>
        <item x="501"/>
        <item x="572"/>
        <item x="614"/>
        <item x="442"/>
        <item x="616"/>
        <item x="1353"/>
        <item x="986"/>
        <item x="432"/>
        <item x="109"/>
        <item x="618"/>
        <item x="620"/>
        <item x="621"/>
        <item x="622"/>
        <item x="1015"/>
        <item x="281"/>
        <item x="1148"/>
        <item x="626"/>
        <item x="110"/>
        <item x="451"/>
        <item x="628"/>
        <item x="932"/>
        <item x="629"/>
        <item x="633"/>
        <item x="636"/>
        <item x="638"/>
        <item x="639"/>
        <item x="0"/>
        <item x="111"/>
        <item x="247"/>
        <item x="640"/>
        <item x="641"/>
        <item x="551"/>
        <item x="642"/>
        <item x="643"/>
        <item x="740"/>
        <item x="645"/>
        <item x="646"/>
        <item x="1159"/>
        <item x="124"/>
        <item x="716"/>
        <item x="648"/>
        <item x="113"/>
        <item x="1116"/>
        <item x="1105"/>
        <item x="1279"/>
        <item x="651"/>
        <item x="656"/>
        <item x="657"/>
        <item x="658"/>
        <item x="660"/>
        <item x="661"/>
        <item x="662"/>
        <item x="663"/>
        <item x="33"/>
        <item x="1287"/>
        <item x="1128"/>
        <item x="664"/>
        <item x="1338"/>
        <item x="665"/>
        <item x="666"/>
        <item x="114"/>
        <item x="668"/>
        <item x="994"/>
        <item x="669"/>
        <item x="1027"/>
        <item x="672"/>
        <item x="359"/>
        <item x="1076"/>
        <item x="675"/>
        <item x="676"/>
        <item x="855"/>
        <item x="678"/>
        <item x="679"/>
        <item x="857"/>
        <item x="682"/>
        <item x="115"/>
        <item x="1002"/>
        <item x="687"/>
        <item x="690"/>
        <item x="174"/>
        <item x="691"/>
        <item x="116"/>
        <item x="692"/>
        <item x="694"/>
        <item x="649"/>
        <item x="644"/>
        <item x="117"/>
        <item x="619"/>
        <item x="925"/>
        <item x="695"/>
        <item x="483"/>
        <item x="985"/>
        <item x="655"/>
        <item x="430"/>
        <item x="696"/>
        <item x="612"/>
        <item x="1038"/>
        <item x="697"/>
        <item x="118"/>
        <item x="699"/>
        <item x="584"/>
        <item x="700"/>
        <item x="41"/>
        <item x="702"/>
        <item x="156"/>
        <item x="1374"/>
        <item x="874"/>
        <item x="704"/>
        <item x="120"/>
        <item x="411"/>
        <item x="988"/>
        <item x="121"/>
        <item x="711"/>
        <item x="999"/>
        <item x="714"/>
        <item x="1085"/>
        <item x="331"/>
        <item x="715"/>
        <item x="717"/>
        <item x="421"/>
        <item x="190"/>
        <item x="122"/>
        <item x="719"/>
        <item x="720"/>
        <item x="721"/>
        <item x="784"/>
        <item x="722"/>
        <item x="45"/>
        <item x="724"/>
        <item x="1362"/>
        <item x="727"/>
        <item x="728"/>
        <item x="731"/>
        <item x="422"/>
        <item x="732"/>
        <item x="733"/>
        <item x="734"/>
        <item x="1274"/>
        <item x="737"/>
        <item x="864"/>
        <item x="1339"/>
        <item x="741"/>
        <item x="742"/>
        <item x="744"/>
        <item x="746"/>
        <item x="747"/>
        <item x="749"/>
        <item x="750"/>
        <item x="1258"/>
        <item x="15"/>
        <item x="751"/>
        <item x="752"/>
        <item x="723"/>
        <item x="753"/>
        <item x="754"/>
        <item x="755"/>
        <item x="875"/>
        <item x="756"/>
        <item x="82"/>
        <item x="757"/>
        <item x="759"/>
        <item x="533"/>
        <item x="1344"/>
        <item x="934"/>
        <item x="709"/>
        <item x="761"/>
        <item x="762"/>
        <item x="865"/>
        <item x="763"/>
        <item x="128"/>
        <item x="415"/>
        <item x="764"/>
        <item x="765"/>
        <item x="129"/>
        <item x="779"/>
        <item x="18"/>
        <item x="69"/>
        <item x="766"/>
        <item x="624"/>
        <item x="102"/>
        <item x="79"/>
        <item x="376"/>
        <item x="130"/>
        <item x="346"/>
        <item x="767"/>
        <item x="1009"/>
        <item x="768"/>
        <item x="1252"/>
        <item x="770"/>
        <item x="547"/>
        <item x="1103"/>
        <item x="772"/>
        <item x="1090"/>
        <item x="773"/>
        <item x="1327"/>
        <item x="353"/>
        <item x="131"/>
        <item x="775"/>
        <item x="778"/>
        <item x="780"/>
        <item x="782"/>
        <item x="132"/>
        <item x="134"/>
        <item x="972"/>
        <item x="790"/>
        <item x="1065"/>
        <item x="135"/>
        <item x="1091"/>
        <item x="136"/>
        <item x="793"/>
        <item x="305"/>
        <item x="729"/>
        <item x="794"/>
        <item x="137"/>
        <item x="795"/>
        <item x="797"/>
        <item x="946"/>
        <item x="799"/>
        <item x="800"/>
        <item x="220"/>
        <item x="802"/>
        <item x="804"/>
        <item x="138"/>
        <item x="805"/>
        <item x="49"/>
        <item x="689"/>
        <item x="330"/>
        <item x="808"/>
        <item x="928"/>
        <item x="809"/>
        <item x="494"/>
        <item x="810"/>
        <item x="590"/>
        <item x="27"/>
        <item x="812"/>
        <item x="813"/>
        <item x="814"/>
        <item x="654"/>
        <item x="139"/>
        <item x="582"/>
        <item x="240"/>
        <item x="1261"/>
        <item x="1239"/>
        <item x="1282"/>
        <item x="62"/>
        <item x="50"/>
        <item x="815"/>
        <item x="816"/>
        <item x="817"/>
        <item x="819"/>
        <item x="843"/>
        <item x="1301"/>
        <item x="608"/>
        <item x="820"/>
        <item x="823"/>
        <item x="827"/>
        <item x="1333"/>
        <item x="133"/>
        <item x="828"/>
        <item x="1469"/>
        <item x="829"/>
        <item x="141"/>
        <item x="238"/>
        <item x="1316"/>
        <item x="1020"/>
        <item x="76"/>
        <item x="1270"/>
        <item x="361"/>
        <item x="1404"/>
        <item x="549"/>
        <item x="830"/>
        <item x="831"/>
        <item x="832"/>
        <item x="1112"/>
        <item x="143"/>
        <item x="144"/>
        <item x="318"/>
        <item x="241"/>
        <item x="834"/>
        <item x="835"/>
        <item x="575"/>
        <item x="836"/>
        <item x="260"/>
        <item x="838"/>
        <item x="1259"/>
        <item x="527"/>
        <item x="1173"/>
        <item x="839"/>
        <item x="840"/>
        <item x="42"/>
        <item x="8"/>
        <item x="730"/>
        <item x="145"/>
        <item x="146"/>
        <item x="845"/>
        <item x="846"/>
        <item x="652"/>
        <item x="1168"/>
        <item x="847"/>
        <item x="850"/>
        <item x="851"/>
        <item x="743"/>
        <item x="147"/>
        <item x="853"/>
        <item x="148"/>
        <item x="119"/>
        <item x="854"/>
        <item x="856"/>
        <item x="1063"/>
        <item x="149"/>
        <item x="150"/>
        <item x="151"/>
        <item x="860"/>
        <item x="152"/>
        <item x="153"/>
        <item x="630"/>
        <item x="862"/>
        <item x="867"/>
        <item x="939"/>
        <item x="868"/>
        <item x="869"/>
        <item x="412"/>
        <item x="1121"/>
        <item x="871"/>
        <item x="872"/>
        <item x="1265"/>
        <item x="154"/>
        <item x="877"/>
        <item x="276"/>
        <item x="878"/>
        <item x="882"/>
        <item x="883"/>
        <item x="884"/>
        <item x="885"/>
        <item x="886"/>
        <item x="887"/>
        <item x="623"/>
        <item x="888"/>
        <item x="889"/>
        <item x="890"/>
        <item x="892"/>
        <item x="157"/>
        <item x="194"/>
        <item x="893"/>
        <item x="159"/>
        <item x="955"/>
        <item x="895"/>
        <item x="953"/>
        <item x="898"/>
        <item x="185"/>
        <item x="1321"/>
        <item x="160"/>
        <item x="901"/>
        <item x="902"/>
        <item x="903"/>
        <item x="56"/>
        <item x="904"/>
        <item x="905"/>
        <item x="670"/>
        <item x="907"/>
        <item x="909"/>
        <item x="910"/>
        <item x="158"/>
        <item x="499"/>
        <item x="1468"/>
        <item x="580"/>
        <item x="911"/>
        <item x="693"/>
        <item x="1036"/>
        <item x="913"/>
        <item x="161"/>
        <item x="1419"/>
        <item x="307"/>
        <item x="162"/>
        <item x="1387"/>
        <item x="916"/>
        <item x="918"/>
        <item x="163"/>
        <item x="920"/>
        <item x="922"/>
        <item x="1407"/>
        <item x="923"/>
        <item x="924"/>
        <item x="926"/>
        <item x="32"/>
        <item x="712"/>
        <item x="927"/>
        <item x="929"/>
        <item x="930"/>
        <item x="931"/>
        <item x="933"/>
        <item x="935"/>
        <item x="936"/>
        <item x="477"/>
        <item x="841"/>
        <item x="1230"/>
        <item x="937"/>
        <item x="1082"/>
        <item x="938"/>
        <item x="942"/>
        <item x="1308"/>
        <item x="1238"/>
        <item x="944"/>
        <item x="1249"/>
        <item x="262"/>
        <item x="12"/>
        <item x="776"/>
        <item x="945"/>
        <item x="949"/>
        <item x="1077"/>
        <item x="863"/>
        <item x="951"/>
        <item x="952"/>
        <item x="957"/>
        <item x="958"/>
        <item x="959"/>
        <item x="960"/>
        <item x="961"/>
        <item x="1359"/>
        <item x="434"/>
        <item x="962"/>
        <item x="966"/>
        <item x="539"/>
        <item x="244"/>
        <item x="4"/>
        <item x="968"/>
        <item x="231"/>
        <item x="969"/>
        <item x="64"/>
        <item x="1424"/>
        <item x="710"/>
        <item x="970"/>
        <item x="971"/>
        <item x="680"/>
        <item x="973"/>
        <item x="977"/>
        <item x="978"/>
        <item x="979"/>
        <item x="372"/>
        <item x="1227"/>
        <item x="908"/>
        <item x="192"/>
        <item x="980"/>
        <item x="503"/>
        <item x="758"/>
        <item x="112"/>
        <item x="982"/>
        <item x="286"/>
        <item x="983"/>
        <item x="1411"/>
        <item x="1390"/>
        <item x="984"/>
        <item x="166"/>
        <item x="167"/>
        <item x="735"/>
        <item x="1095"/>
        <item x="671"/>
        <item x="1061"/>
        <item x="1382"/>
        <item x="168"/>
        <item x="169"/>
        <item x="1290"/>
        <item x="991"/>
        <item x="1211"/>
        <item x="993"/>
        <item x="38"/>
        <item x="170"/>
        <item x="996"/>
        <item x="1438"/>
        <item x="171"/>
        <item x="997"/>
        <item x="998"/>
        <item x="1000"/>
        <item x="573"/>
        <item x="1001"/>
        <item x="1003"/>
        <item x="1087"/>
        <item x="992"/>
        <item x="1004"/>
        <item x="206"/>
        <item x="1006"/>
        <item x="738"/>
        <item x="1007"/>
        <item x="416"/>
        <item x="1307"/>
        <item x="252"/>
        <item x="896"/>
        <item x="1008"/>
        <item x="172"/>
        <item x="1010"/>
        <item x="267"/>
        <item x="1022"/>
        <item x="1011"/>
        <item x="81"/>
        <item x="126"/>
        <item x="1012"/>
        <item x="1062"/>
        <item x="1013"/>
        <item x="173"/>
        <item x="1014"/>
        <item x="1017"/>
        <item x="915"/>
        <item x="1018"/>
        <item x="1019"/>
        <item x="1021"/>
        <item x="1023"/>
        <item x="1024"/>
        <item x="1314"/>
        <item x="570"/>
        <item x="963"/>
        <item x="46"/>
        <item x="1025"/>
        <item x="1377"/>
        <item x="528"/>
        <item x="736"/>
        <item x="1026"/>
        <item x="1028"/>
        <item x="1030"/>
        <item x="1031"/>
        <item x="175"/>
        <item x="188"/>
        <item x="1396"/>
        <item x="1461"/>
        <item x="1034"/>
        <item x="1185"/>
        <item x="6"/>
        <item x="785"/>
        <item x="1365"/>
        <item x="1035"/>
        <item x="5"/>
        <item x="1037"/>
        <item x="1040"/>
        <item x="943"/>
        <item x="1043"/>
        <item x="176"/>
        <item x="1046"/>
        <item x="274"/>
        <item x="1392"/>
        <item x="589"/>
        <item x="1047"/>
        <item x="625"/>
        <item x="1050"/>
        <item x="1051"/>
        <item x="1053"/>
        <item x="177"/>
        <item x="127"/>
        <item x="187"/>
        <item x="1054"/>
        <item x="291"/>
        <item x="178"/>
        <item x="1055"/>
        <item x="1056"/>
        <item x="75"/>
        <item x="1060"/>
        <item x="1066"/>
        <item x="1067"/>
        <item x="1068"/>
        <item x="1069"/>
        <item x="1070"/>
        <item x="1071"/>
        <item x="1072"/>
        <item x="1073"/>
        <item x="1074"/>
        <item x="748"/>
        <item x="781"/>
        <item x="246"/>
        <item x="1079"/>
        <item x="1080"/>
        <item x="1081"/>
        <item x="180"/>
        <item x="164"/>
        <item x="125"/>
        <item x="1084"/>
        <item x="181"/>
        <item x="269"/>
        <item x="1086"/>
        <item x="1088"/>
        <item x="1089"/>
        <item x="1093"/>
        <item x="796"/>
        <item x="726"/>
        <item x="182"/>
        <item x="1094"/>
        <item x="1096"/>
        <item x="789"/>
        <item x="592"/>
        <item x="1097"/>
        <item x="1098"/>
        <item x="1100"/>
        <item x="1357"/>
        <item x="183"/>
        <item x="1101"/>
        <item x="1146"/>
        <item x="1370"/>
        <item x="1157"/>
        <item x="1102"/>
        <item x="186"/>
        <item x="1104"/>
        <item x="98"/>
        <item x="1106"/>
        <item x="1107"/>
        <item x="1108"/>
        <item x="1111"/>
        <item x="1204"/>
        <item x="1113"/>
        <item x="1114"/>
        <item x="1115"/>
        <item x="1117"/>
        <item x="1119"/>
        <item x="1122"/>
        <item x="1123"/>
        <item x="1125"/>
        <item x="1126"/>
        <item x="391"/>
        <item x="974"/>
        <item x="1127"/>
        <item x="1032"/>
        <item x="1130"/>
        <item x="1131"/>
        <item x="191"/>
        <item x="1134"/>
        <item x="1135"/>
        <item x="1137"/>
        <item x="23"/>
        <item x="209"/>
        <item x="193"/>
        <item x="1139"/>
        <item x="368"/>
        <item x="1140"/>
        <item x="1141"/>
        <item x="1142"/>
        <item x="272"/>
        <item x="1144"/>
        <item x="599"/>
        <item x="1078"/>
        <item x="1145"/>
        <item x="995"/>
        <item x="1147"/>
        <item x="1149"/>
        <item x="1150"/>
        <item x="1152"/>
        <item x="1153"/>
        <item x="1154"/>
        <item x="1155"/>
        <item x="1156"/>
        <item x="739"/>
        <item x="1158"/>
        <item x="1160"/>
        <item x="1161"/>
        <item x="196"/>
        <item x="495"/>
        <item x="1163"/>
        <item x="635"/>
        <item x="1431"/>
        <item x="1164"/>
        <item x="964"/>
        <item x="1165"/>
        <item x="1167"/>
        <item x="745"/>
        <item x="1169"/>
        <item x="603"/>
        <item x="1171"/>
        <item x="1172"/>
        <item x="1175"/>
        <item x="806"/>
        <item x="1177"/>
        <item x="11"/>
        <item x="1460"/>
        <item x="1179"/>
        <item x="1242"/>
        <item x="583"/>
        <item x="1181"/>
        <item x="848"/>
        <item x="965"/>
        <item x="1124"/>
        <item x="198"/>
        <item x="825"/>
        <item x="1133"/>
        <item x="1183"/>
        <item x="1184"/>
        <item x="199"/>
        <item x="777"/>
        <item x="706"/>
        <item x="1186"/>
        <item x="200"/>
        <item x="1187"/>
        <item x="1136"/>
        <item x="1189"/>
        <item x="1190"/>
        <item x="1364"/>
        <item x="1315"/>
        <item x="485"/>
        <item x="912"/>
        <item x="1191"/>
        <item x="1341"/>
        <item x="650"/>
        <item x="1192"/>
        <item x="1398"/>
        <item x="1193"/>
        <item x="201"/>
        <item x="1194"/>
        <item x="1195"/>
        <item x="1196"/>
        <item x="1197"/>
        <item x="921"/>
        <item x="435"/>
        <item x="397"/>
        <item x="1355"/>
        <item x="1200"/>
        <item x="1201"/>
        <item x="1202"/>
        <item x="897"/>
        <item x="1203"/>
        <item x="596"/>
        <item x="202"/>
        <item x="631"/>
        <item x="1205"/>
        <item x="65"/>
        <item x="7"/>
        <item x="1206"/>
        <item x="1209"/>
        <item x="1212"/>
        <item x="1213"/>
        <item x="1214"/>
        <item x="1215"/>
        <item x="521"/>
        <item x="204"/>
        <item x="1129"/>
        <item x="1216"/>
        <item x="1218"/>
        <item x="1221"/>
        <item x="1222"/>
        <item x="535"/>
        <item x="701"/>
        <item x="1223"/>
        <item x="207"/>
        <item x="208"/>
        <item x="1225"/>
        <item x="1373"/>
        <item x="1226"/>
        <item x="1228"/>
        <item x="1232"/>
        <item x="1042"/>
        <item x="1233"/>
        <item x="1234"/>
        <item x="1235"/>
        <item x="1237"/>
        <item x="1240"/>
        <item x="1243"/>
        <item x="211"/>
        <item x="212"/>
        <item x="627"/>
        <item x="876"/>
        <item x="1246"/>
        <item x="1247"/>
        <item x="1248"/>
        <item x="1208"/>
        <item x="833"/>
        <item x="1250"/>
        <item x="30"/>
        <item x="1253"/>
        <item x="681"/>
        <item x="77"/>
        <item x="1254"/>
        <item x="1255"/>
        <item x="1256"/>
        <item x="859"/>
        <item x="705"/>
        <item x="195"/>
        <item x="403"/>
        <item x="213"/>
        <item x="292"/>
        <item x="1257"/>
        <item x="1260"/>
        <item x="1262"/>
        <item x="214"/>
        <item x="1263"/>
        <item x="1264"/>
        <item x="1266"/>
        <item x="1267"/>
        <item x="1268"/>
        <item x="1304"/>
        <item x="1269"/>
        <item x="987"/>
        <item x="215"/>
        <item x="760"/>
        <item x="47"/>
        <item x="917"/>
        <item x="1305"/>
        <item x="1271"/>
        <item x="1272"/>
        <item x="1273"/>
        <item x="216"/>
        <item x="1276"/>
        <item x="217"/>
        <item x="1278"/>
        <item x="1280"/>
        <item x="1281"/>
        <item x="1283"/>
        <item x="653"/>
        <item x="1284"/>
        <item x="1286"/>
        <item x="1288"/>
        <item x="218"/>
        <item x="219"/>
        <item x="1291"/>
        <item x="1297"/>
        <item x="1298"/>
        <item x="1244"/>
        <item x="1199"/>
        <item x="28"/>
        <item x="197"/>
        <item x="1041"/>
        <item x="1299"/>
        <item x="1302"/>
        <item x="1303"/>
        <item x="1236"/>
        <item x="684"/>
        <item x="1083"/>
        <item x="1198"/>
        <item x="725"/>
        <item x="906"/>
        <item x="1306"/>
        <item x="1313"/>
        <item x="249"/>
        <item x="221"/>
        <item x="222"/>
        <item x="861"/>
        <item x="1092"/>
        <item x="1317"/>
        <item x="378"/>
        <item x="1319"/>
        <item x="1320"/>
        <item x="1322"/>
        <item x="289"/>
        <item x="1326"/>
        <item x="1330"/>
        <item x="1331"/>
        <item x="1332"/>
        <item x="223"/>
        <item x="1311"/>
        <item x="713"/>
        <item x="1336"/>
        <item x="1449"/>
        <item x="1337"/>
        <item x="224"/>
        <item x="184"/>
        <item x="783"/>
        <item x="1342"/>
        <item x="1343"/>
        <item x="506"/>
        <item x="1"/>
        <item x="225"/>
        <item x="947"/>
        <item x="1345"/>
        <item x="1346"/>
        <item x="1347"/>
        <item x="1349"/>
        <item x="788"/>
        <item x="976"/>
        <item x="1350"/>
        <item x="1351"/>
        <item x="522"/>
        <item x="1039"/>
        <item x="1393"/>
        <item x="1352"/>
        <item x="226"/>
        <item x="227"/>
        <item x="1361"/>
        <item x="659"/>
        <item x="1363"/>
        <item x="1052"/>
        <item x="1138"/>
        <item x="837"/>
        <item x="1366"/>
        <item x="1369"/>
        <item x="1371"/>
        <item x="1375"/>
        <item x="2"/>
        <item x="956"/>
        <item x="1376"/>
        <item x="1378"/>
        <item x="203"/>
        <item x="1380"/>
        <item x="900"/>
        <item x="1383"/>
        <item x="298"/>
        <item x="1408"/>
        <item x="51"/>
        <item x="1384"/>
        <item x="1385"/>
        <item x="1386"/>
        <item x="85"/>
        <item x="1388"/>
        <item x="1389"/>
        <item x="1391"/>
        <item x="1394"/>
        <item x="1397"/>
        <item x="1399"/>
        <item x="1400"/>
        <item x="1401"/>
        <item x="1059"/>
        <item x="1402"/>
        <item x="228"/>
        <item x="1403"/>
        <item x="866"/>
        <item x="1405"/>
        <item x="1406"/>
        <item x="229"/>
        <item x="230"/>
        <item x="515"/>
        <item x="1409"/>
        <item x="1413"/>
        <item x="1414"/>
        <item x="1415"/>
        <item x="242"/>
        <item x="1416"/>
        <item x="1417"/>
        <item x="1277"/>
        <item x="677"/>
        <item x="1418"/>
        <item x="1421"/>
        <item x="1016"/>
        <item x="950"/>
        <item x="312"/>
        <item x="1422"/>
        <item x="1426"/>
        <item x="1429"/>
        <item x="1430"/>
        <item x="1432"/>
        <item x="1433"/>
        <item x="1435"/>
        <item x="1436"/>
        <item x="1437"/>
        <item x="1292"/>
        <item x="1439"/>
        <item x="1440"/>
        <item x="1441"/>
        <item x="807"/>
        <item x="502"/>
        <item x="1442"/>
        <item x="1443"/>
        <item x="1444"/>
        <item x="1309"/>
        <item x="1241"/>
        <item x="1335"/>
        <item x="818"/>
        <item x="1445"/>
        <item x="1446"/>
        <item x="1447"/>
        <item x="1448"/>
        <item x="232"/>
        <item x="1120"/>
        <item x="858"/>
        <item x="1450"/>
        <item x="233"/>
        <item x="239"/>
        <item x="1451"/>
        <item x="234"/>
        <item x="1325"/>
        <item x="1064"/>
        <item x="1452"/>
        <item x="1454"/>
        <item x="1456"/>
        <item x="1170"/>
        <item x="894"/>
        <item x="236"/>
        <item x="1057"/>
        <item x="798"/>
        <item x="1457"/>
        <item x="1458"/>
        <item x="259"/>
        <item x="536"/>
        <item x="1459"/>
        <item x="787"/>
        <item x="237"/>
        <item x="1295"/>
        <item x="1462"/>
        <item x="532"/>
        <item x="1463"/>
        <item x="1464"/>
        <item x="1465"/>
        <item x="1466"/>
        <item x="1470"/>
        <item t="default"/>
      </items>
    </pivotField>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n="0 (Non Recent and active)" x="0"/>
        <item n="1 (Recent)" x="1"/>
        <item t="default"/>
      </items>
    </pivotField>
    <pivotField showAll="0"/>
    <pivotField showAll="0"/>
    <pivotField showAll="0"/>
    <pivotField showAll="0"/>
    <pivotField dataField="1" showAll="0">
      <items count="5">
        <item x="3"/>
        <item x="1"/>
        <item x="0"/>
        <item x="2"/>
        <item t="default"/>
      </items>
    </pivotField>
    <pivotField showAll="0"/>
  </pivotFields>
  <rowFields count="1">
    <field x="28"/>
  </rowFields>
  <rowItems count="3">
    <i>
      <x/>
    </i>
    <i>
      <x v="1"/>
    </i>
    <i t="grand">
      <x/>
    </i>
  </rowItems>
  <colItems count="1">
    <i/>
  </colItems>
  <pageFields count="1">
    <pageField fld="4" hier="-1"/>
  </pageFields>
  <dataFields count="1">
    <dataField name="Average of WorkLifeBalance Score" fld="33"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3B33-E76A-4144-A245-0E560EA862BF}">
  <sheetPr>
    <tabColor rgb="FFC00000"/>
  </sheetPr>
  <dimension ref="A1:K34"/>
  <sheetViews>
    <sheetView workbookViewId="0">
      <selection activeCell="D2" sqref="D2"/>
    </sheetView>
  </sheetViews>
  <sheetFormatPr defaultRowHeight="16" x14ac:dyDescent="0.4"/>
  <cols>
    <col min="1" max="1" width="47.1640625" customWidth="1"/>
    <col min="2" max="2" width="26.75" customWidth="1"/>
    <col min="3" max="3" width="8.83203125" customWidth="1"/>
  </cols>
  <sheetData>
    <row r="1" spans="1:11" ht="23.5" x14ac:dyDescent="0.55000000000000004">
      <c r="A1" s="29" t="s">
        <v>221</v>
      </c>
      <c r="B1" s="30"/>
      <c r="C1" s="30"/>
      <c r="D1" s="31" t="s">
        <v>305</v>
      </c>
      <c r="E1" s="30"/>
      <c r="F1" s="30"/>
      <c r="G1" s="30"/>
      <c r="H1" s="30"/>
      <c r="I1" s="30"/>
      <c r="J1" s="30"/>
      <c r="K1" s="32">
        <v>46082</v>
      </c>
    </row>
    <row r="3" spans="1:11" ht="68.5" customHeight="1" x14ac:dyDescent="0.4">
      <c r="A3" s="54" t="s">
        <v>222</v>
      </c>
      <c r="B3" s="55"/>
      <c r="C3" s="55"/>
      <c r="D3" s="55"/>
    </row>
    <row r="5" spans="1:11" x14ac:dyDescent="0.4">
      <c r="A5" s="2" t="s">
        <v>223</v>
      </c>
    </row>
    <row r="6" spans="1:11" x14ac:dyDescent="0.4">
      <c r="A6" t="s">
        <v>225</v>
      </c>
      <c r="B6" s="11" t="s">
        <v>224</v>
      </c>
    </row>
    <row r="7" spans="1:11" x14ac:dyDescent="0.4">
      <c r="A7" t="s">
        <v>128</v>
      </c>
      <c r="B7" t="s">
        <v>226</v>
      </c>
    </row>
    <row r="8" spans="1:11" x14ac:dyDescent="0.4">
      <c r="A8" t="s">
        <v>129</v>
      </c>
      <c r="B8" t="s">
        <v>227</v>
      </c>
    </row>
    <row r="9" spans="1:11" x14ac:dyDescent="0.4">
      <c r="A9" t="s">
        <v>130</v>
      </c>
      <c r="B9" t="s">
        <v>228</v>
      </c>
    </row>
    <row r="10" spans="1:11" x14ac:dyDescent="0.4">
      <c r="A10" t="s">
        <v>134</v>
      </c>
      <c r="B10" t="s">
        <v>229</v>
      </c>
    </row>
    <row r="11" spans="1:11" x14ac:dyDescent="0.4">
      <c r="A11" t="s">
        <v>135</v>
      </c>
      <c r="B11" t="s">
        <v>230</v>
      </c>
    </row>
    <row r="12" spans="1:11" x14ac:dyDescent="0.4">
      <c r="A12" t="s">
        <v>246</v>
      </c>
      <c r="B12" t="s">
        <v>247</v>
      </c>
    </row>
    <row r="15" spans="1:11" x14ac:dyDescent="0.4">
      <c r="A15" s="3" t="s">
        <v>131</v>
      </c>
    </row>
    <row r="16" spans="1:11" x14ac:dyDescent="0.4">
      <c r="A16" s="16" t="s">
        <v>96</v>
      </c>
      <c r="B16" s="2" t="s">
        <v>97</v>
      </c>
      <c r="D16" s="2"/>
    </row>
    <row r="17" spans="1:4" x14ac:dyDescent="0.4">
      <c r="A17" s="16" t="s">
        <v>111</v>
      </c>
      <c r="B17" s="2" t="s">
        <v>143</v>
      </c>
      <c r="D17" s="2"/>
    </row>
    <row r="18" spans="1:4" x14ac:dyDescent="0.4">
      <c r="A18" s="16" t="s">
        <v>102</v>
      </c>
      <c r="B18" s="20" t="s">
        <v>144</v>
      </c>
      <c r="D18" s="2"/>
    </row>
    <row r="19" spans="1:4" x14ac:dyDescent="0.4">
      <c r="A19" s="16" t="s">
        <v>133</v>
      </c>
      <c r="B19" s="2" t="s">
        <v>220</v>
      </c>
      <c r="D19" s="2"/>
    </row>
    <row r="20" spans="1:4" x14ac:dyDescent="0.4">
      <c r="A20" s="16" t="s">
        <v>145</v>
      </c>
      <c r="B20" s="2" t="s">
        <v>146</v>
      </c>
      <c r="D20" s="2"/>
    </row>
    <row r="21" spans="1:4" x14ac:dyDescent="0.4">
      <c r="A21" s="16"/>
      <c r="B21" s="2"/>
      <c r="D21" s="2"/>
    </row>
    <row r="22" spans="1:4" x14ac:dyDescent="0.4">
      <c r="A22" s="16" t="s">
        <v>24</v>
      </c>
      <c r="B22" s="2" t="s">
        <v>132</v>
      </c>
      <c r="D22" s="2"/>
    </row>
    <row r="23" spans="1:4" x14ac:dyDescent="0.4">
      <c r="A23" s="16" t="s">
        <v>25</v>
      </c>
      <c r="B23" s="2" t="s">
        <v>132</v>
      </c>
      <c r="D23" s="2"/>
    </row>
    <row r="26" spans="1:4" x14ac:dyDescent="0.4">
      <c r="A26" s="2" t="s">
        <v>296</v>
      </c>
    </row>
    <row r="27" spans="1:4" x14ac:dyDescent="0.4">
      <c r="A27" t="s">
        <v>297</v>
      </c>
    </row>
    <row r="28" spans="1:4" x14ac:dyDescent="0.4">
      <c r="A28" t="s">
        <v>136</v>
      </c>
    </row>
    <row r="29" spans="1:4" x14ac:dyDescent="0.4">
      <c r="A29" t="s">
        <v>137</v>
      </c>
    </row>
    <row r="30" spans="1:4" x14ac:dyDescent="0.4">
      <c r="A30" t="s">
        <v>138</v>
      </c>
    </row>
    <row r="31" spans="1:4" x14ac:dyDescent="0.4">
      <c r="A31" t="s">
        <v>139</v>
      </c>
    </row>
    <row r="34" spans="1:1" x14ac:dyDescent="0.4">
      <c r="A34" t="s">
        <v>304</v>
      </c>
    </row>
  </sheetData>
  <mergeCells count="1">
    <mergeCell ref="A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79998168889431442"/>
  </sheetPr>
  <dimension ref="A1:AI1472"/>
  <sheetViews>
    <sheetView workbookViewId="0">
      <pane ySplit="1" topLeftCell="A1152" activePane="bottomLeft" state="frozen"/>
      <selection pane="bottomLeft" activeCell="E1310" sqref="E1310"/>
    </sheetView>
  </sheetViews>
  <sheetFormatPr defaultColWidth="10.58203125" defaultRowHeight="16" x14ac:dyDescent="0.4"/>
  <cols>
    <col min="1" max="1" width="16" customWidth="1"/>
    <col min="2" max="2" width="15.4140625" bestFit="1" customWidth="1"/>
    <col min="3" max="3" width="13.9140625" customWidth="1"/>
    <col min="4" max="4" width="22.33203125" bestFit="1" customWidth="1"/>
    <col min="5" max="5" width="14.83203125" bestFit="1" customWidth="1"/>
    <col min="6" max="6" width="25" customWidth="1"/>
    <col min="7" max="7" width="14" hidden="1" customWidth="1"/>
    <col min="8" max="8" width="15.5" customWidth="1"/>
    <col min="9" max="9" width="21" customWidth="1"/>
    <col min="10" max="10" width="20.83203125" hidden="1" customWidth="1"/>
    <col min="11" max="12" width="10.58203125" hidden="1" customWidth="1"/>
    <col min="13" max="13" width="15.58203125" hidden="1" customWidth="1"/>
    <col min="14" max="14" width="10.58203125" hidden="1" customWidth="1"/>
    <col min="15" max="15" width="19.08203125" customWidth="1"/>
    <col min="16" max="16" width="10.58203125" hidden="1" customWidth="1"/>
    <col min="17" max="17" width="14.33203125" hidden="1" customWidth="1"/>
    <col min="18" max="18" width="18.83203125" hidden="1" customWidth="1"/>
    <col min="19" max="19" width="15.9140625" customWidth="1"/>
    <col min="20" max="20" width="10.58203125" hidden="1" customWidth="1"/>
    <col min="21" max="21" width="21.58203125" hidden="1" customWidth="1"/>
    <col min="22" max="22" width="19.75" hidden="1" customWidth="1"/>
    <col min="23" max="23" width="12.08203125" customWidth="1"/>
    <col min="24" max="24" width="18.9140625" hidden="1" customWidth="1"/>
    <col min="25" max="26" width="0" hidden="1" customWidth="1"/>
    <col min="27" max="27" width="13.58203125" bestFit="1" customWidth="1"/>
    <col min="28" max="28" width="10.1640625" style="5" bestFit="1" customWidth="1"/>
    <col min="29" max="29" width="10.1640625" style="5" customWidth="1"/>
    <col min="31" max="31" width="14.75" customWidth="1"/>
    <col min="32" max="32" width="13.58203125" bestFit="1" customWidth="1"/>
    <col min="33" max="33" width="13.33203125" customWidth="1"/>
    <col min="34" max="34" width="20.08203125" bestFit="1" customWidth="1"/>
    <col min="35" max="35" width="22.75" bestFit="1" customWidth="1"/>
  </cols>
  <sheetData>
    <row r="1" spans="1:35" s="2" customFormat="1" x14ac:dyDescent="0.4">
      <c r="A1" s="2" t="s">
        <v>0</v>
      </c>
      <c r="B1" s="2" t="s">
        <v>1</v>
      </c>
      <c r="C1" s="4" t="s">
        <v>95</v>
      </c>
      <c r="D1" s="2" t="s">
        <v>2</v>
      </c>
      <c r="E1" s="4" t="s">
        <v>111</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3" t="s">
        <v>98</v>
      </c>
      <c r="AB1" s="6" t="s">
        <v>24</v>
      </c>
      <c r="AC1" s="6" t="s">
        <v>145</v>
      </c>
      <c r="AD1" s="3" t="s">
        <v>25</v>
      </c>
      <c r="AE1" s="2" t="s">
        <v>62</v>
      </c>
      <c r="AF1" s="2" t="s">
        <v>63</v>
      </c>
      <c r="AG1" s="2" t="s">
        <v>64</v>
      </c>
      <c r="AH1" s="2" t="s">
        <v>65</v>
      </c>
      <c r="AI1" s="3" t="s">
        <v>127</v>
      </c>
    </row>
    <row r="2" spans="1:35" hidden="1" x14ac:dyDescent="0.4">
      <c r="A2">
        <v>701</v>
      </c>
      <c r="B2" t="s">
        <v>26</v>
      </c>
      <c r="C2">
        <f t="shared" ref="C2:C33" si="0">IF(B2="No",1,0)</f>
        <v>0</v>
      </c>
      <c r="D2" t="s">
        <v>27</v>
      </c>
      <c r="E2">
        <f t="shared" ref="E2:E65" si="1">IF(OR(D2="Manager, HR", D2="Manager, Sales", D2="Manager, R&amp;D", D2="Manufacturing Director",D2="Research Director", D2="VP, HR", D2="CEO"),1,0)</f>
        <v>0</v>
      </c>
      <c r="F2" t="s">
        <v>28</v>
      </c>
      <c r="G2">
        <v>1</v>
      </c>
      <c r="H2" s="1">
        <v>36108</v>
      </c>
      <c r="I2" s="10">
        <v>0.11</v>
      </c>
      <c r="J2">
        <v>37.5</v>
      </c>
      <c r="K2" t="s">
        <v>26</v>
      </c>
      <c r="L2">
        <v>20</v>
      </c>
      <c r="M2" t="s">
        <v>29</v>
      </c>
      <c r="N2" t="s">
        <v>30</v>
      </c>
      <c r="O2" t="s">
        <v>31</v>
      </c>
      <c r="P2">
        <v>10</v>
      </c>
      <c r="Q2" t="s">
        <v>32</v>
      </c>
      <c r="R2" t="s">
        <v>33</v>
      </c>
      <c r="S2">
        <v>3</v>
      </c>
      <c r="T2">
        <v>0</v>
      </c>
      <c r="U2">
        <v>1</v>
      </c>
      <c r="V2">
        <v>5</v>
      </c>
      <c r="W2">
        <v>1</v>
      </c>
      <c r="X2">
        <v>0</v>
      </c>
      <c r="Y2">
        <v>1</v>
      </c>
      <c r="Z2">
        <v>1</v>
      </c>
      <c r="AA2" t="str">
        <f>IF(W2&lt;=2,"Early Tenure",IF(W2&lt;=9,"Mid Tenure","Long Tenure"))</f>
        <v>Early Tenure</v>
      </c>
      <c r="AC2">
        <f>IF(AND(AB2&lt;&gt;"",AB2&gt;DATE(2024,1,1)),1,0)</f>
        <v>0</v>
      </c>
      <c r="AE2">
        <f>VLOOKUP(A2,'Employee Engagement Survey'!A2:B1471,2,FALSE)</f>
        <v>4</v>
      </c>
      <c r="AF2">
        <f>VLOOKUP(A2,'Employee Engagement Survey'!A2:C1471,3,FALSE)</f>
        <v>3</v>
      </c>
      <c r="AG2">
        <f>VLOOKUP(A2,'Employee Engagement Survey'!A2:D1471,4,FALSE)</f>
        <v>4</v>
      </c>
      <c r="AH2">
        <f>VLOOKUP(A2,'Employee Engagement Survey'!A2:E1471,5,FALSE)</f>
        <v>3</v>
      </c>
      <c r="AI2">
        <f t="shared" ref="AI2:AI65" si="2">AVERAGE(AE2:AH2)</f>
        <v>3.5</v>
      </c>
    </row>
    <row r="3" spans="1:35" hidden="1" x14ac:dyDescent="0.4">
      <c r="A3">
        <v>1876</v>
      </c>
      <c r="B3" t="s">
        <v>26</v>
      </c>
      <c r="C3">
        <f t="shared" si="0"/>
        <v>0</v>
      </c>
      <c r="D3" t="s">
        <v>39</v>
      </c>
      <c r="E3">
        <f t="shared" si="1"/>
        <v>0</v>
      </c>
      <c r="F3" t="s">
        <v>40</v>
      </c>
      <c r="G3">
        <v>1</v>
      </c>
      <c r="H3" s="1">
        <v>36972</v>
      </c>
      <c r="I3" s="10">
        <v>0.13</v>
      </c>
      <c r="J3">
        <v>37.5</v>
      </c>
      <c r="K3" t="s">
        <v>34</v>
      </c>
      <c r="L3">
        <v>30</v>
      </c>
      <c r="M3" t="s">
        <v>29</v>
      </c>
      <c r="N3" t="s">
        <v>30</v>
      </c>
      <c r="O3" t="s">
        <v>31</v>
      </c>
      <c r="P3">
        <v>9</v>
      </c>
      <c r="Q3" t="s">
        <v>43</v>
      </c>
      <c r="R3" t="s">
        <v>33</v>
      </c>
      <c r="S3">
        <v>3</v>
      </c>
      <c r="T3">
        <v>0</v>
      </c>
      <c r="U3">
        <v>1</v>
      </c>
      <c r="V3">
        <v>3</v>
      </c>
      <c r="W3">
        <v>1</v>
      </c>
      <c r="X3">
        <v>0</v>
      </c>
      <c r="Y3">
        <v>0</v>
      </c>
      <c r="Z3">
        <v>0</v>
      </c>
      <c r="AA3" t="str">
        <f t="shared" ref="AA3:AA66" si="3">IF(W3&lt;=2,"Early Tenure",IF(W3&lt;=9,"Mid Tenure","Long Tenure"))</f>
        <v>Early Tenure</v>
      </c>
      <c r="AC3">
        <f t="shared" ref="AC3:AC66" si="4">IF(AND(AB3&lt;&gt;"",AB3&gt;DATE(2024,1,1)),1,0)</f>
        <v>0</v>
      </c>
      <c r="AE3">
        <f>VLOOKUP(A3,'Employee Engagement Survey'!A5:B1474,2,FALSE)</f>
        <v>2</v>
      </c>
      <c r="AF3">
        <f>VLOOKUP(A3,'Employee Engagement Survey'!A5:C1474,3,FALSE)</f>
        <v>4</v>
      </c>
      <c r="AG3">
        <f>VLOOKUP(A3,'Employee Engagement Survey'!A5:D1474,4,FALSE)</f>
        <v>3</v>
      </c>
      <c r="AH3">
        <f>VLOOKUP(A3,'Employee Engagement Survey'!A5:E1474,5,FALSE)</f>
        <v>2</v>
      </c>
      <c r="AI3">
        <f t="shared" si="2"/>
        <v>2.75</v>
      </c>
    </row>
    <row r="4" spans="1:35" hidden="1" x14ac:dyDescent="0.4">
      <c r="A4">
        <v>1928</v>
      </c>
      <c r="B4" t="s">
        <v>26</v>
      </c>
      <c r="C4">
        <f t="shared" si="0"/>
        <v>0</v>
      </c>
      <c r="D4" t="s">
        <v>39</v>
      </c>
      <c r="E4">
        <f t="shared" si="1"/>
        <v>0</v>
      </c>
      <c r="F4" t="s">
        <v>40</v>
      </c>
      <c r="G4">
        <v>1</v>
      </c>
      <c r="H4" s="1">
        <v>37092</v>
      </c>
      <c r="I4" s="10">
        <v>0.17</v>
      </c>
      <c r="J4">
        <v>37.5</v>
      </c>
      <c r="K4" t="s">
        <v>34</v>
      </c>
      <c r="L4">
        <v>29</v>
      </c>
      <c r="M4" t="s">
        <v>29</v>
      </c>
      <c r="N4" t="s">
        <v>30</v>
      </c>
      <c r="O4" t="s">
        <v>44</v>
      </c>
      <c r="P4">
        <v>24</v>
      </c>
      <c r="Q4" t="s">
        <v>43</v>
      </c>
      <c r="R4" t="s">
        <v>45</v>
      </c>
      <c r="S4">
        <v>3</v>
      </c>
      <c r="T4">
        <v>0</v>
      </c>
      <c r="U4">
        <v>1</v>
      </c>
      <c r="V4">
        <v>3</v>
      </c>
      <c r="W4">
        <v>1</v>
      </c>
      <c r="X4">
        <v>0</v>
      </c>
      <c r="Y4">
        <v>0</v>
      </c>
      <c r="Z4">
        <v>0</v>
      </c>
      <c r="AA4" t="str">
        <f t="shared" si="3"/>
        <v>Early Tenure</v>
      </c>
      <c r="AC4">
        <f t="shared" si="4"/>
        <v>0</v>
      </c>
      <c r="AE4">
        <f>VLOOKUP(A4,'Employee Engagement Survey'!A6:B1475,2,FALSE)</f>
        <v>3</v>
      </c>
      <c r="AF4">
        <f>VLOOKUP(A4,'Employee Engagement Survey'!A6:C1475,3,FALSE)</f>
        <v>1</v>
      </c>
      <c r="AG4">
        <f>VLOOKUP(A4,'Employee Engagement Survey'!A6:D1475,4,FALSE)</f>
        <v>4</v>
      </c>
      <c r="AH4">
        <f>VLOOKUP(A4,'Employee Engagement Survey'!A6:E1475,5,FALSE)</f>
        <v>3</v>
      </c>
      <c r="AI4">
        <f t="shared" si="2"/>
        <v>2.75</v>
      </c>
    </row>
    <row r="5" spans="1:35" hidden="1" x14ac:dyDescent="0.4">
      <c r="A5">
        <v>243</v>
      </c>
      <c r="B5" t="s">
        <v>26</v>
      </c>
      <c r="C5">
        <f t="shared" si="0"/>
        <v>0</v>
      </c>
      <c r="D5" t="s">
        <v>46</v>
      </c>
      <c r="E5">
        <f t="shared" si="1"/>
        <v>0</v>
      </c>
      <c r="F5" t="s">
        <v>28</v>
      </c>
      <c r="G5">
        <v>1</v>
      </c>
      <c r="H5" s="1">
        <v>37224</v>
      </c>
      <c r="I5" s="10">
        <v>0.22</v>
      </c>
      <c r="J5">
        <v>37.5</v>
      </c>
      <c r="K5" t="s">
        <v>34</v>
      </c>
      <c r="L5">
        <v>19</v>
      </c>
      <c r="M5" t="s">
        <v>29</v>
      </c>
      <c r="N5" t="s">
        <v>30</v>
      </c>
      <c r="O5" t="s">
        <v>31</v>
      </c>
      <c r="P5">
        <v>2</v>
      </c>
      <c r="Q5" t="s">
        <v>43</v>
      </c>
      <c r="R5" t="s">
        <v>37</v>
      </c>
      <c r="S5">
        <v>4</v>
      </c>
      <c r="T5">
        <v>0</v>
      </c>
      <c r="U5">
        <v>1</v>
      </c>
      <c r="V5">
        <v>3</v>
      </c>
      <c r="W5">
        <v>1</v>
      </c>
      <c r="X5">
        <v>0</v>
      </c>
      <c r="Y5">
        <v>1</v>
      </c>
      <c r="Z5">
        <v>0</v>
      </c>
      <c r="AA5" t="str">
        <f t="shared" si="3"/>
        <v>Early Tenure</v>
      </c>
      <c r="AC5">
        <f t="shared" si="4"/>
        <v>0</v>
      </c>
      <c r="AE5">
        <f>VLOOKUP(A5,'Employee Engagement Survey'!A7:B1476,2,FALSE)</f>
        <v>2</v>
      </c>
      <c r="AF5">
        <f>VLOOKUP(A5,'Employee Engagement Survey'!A7:C1476,3,FALSE)</f>
        <v>4</v>
      </c>
      <c r="AG5">
        <f>VLOOKUP(A5,'Employee Engagement Survey'!A7:D1476,4,FALSE)</f>
        <v>3</v>
      </c>
      <c r="AH5">
        <f>VLOOKUP(A5,'Employee Engagement Survey'!A7:E1476,5,FALSE)</f>
        <v>2</v>
      </c>
      <c r="AI5">
        <f t="shared" si="2"/>
        <v>2.75</v>
      </c>
    </row>
    <row r="6" spans="1:35" hidden="1" x14ac:dyDescent="0.4">
      <c r="A6">
        <v>1273</v>
      </c>
      <c r="B6" t="s">
        <v>26</v>
      </c>
      <c r="C6">
        <f t="shared" si="0"/>
        <v>0</v>
      </c>
      <c r="D6" t="s">
        <v>39</v>
      </c>
      <c r="E6">
        <f t="shared" si="1"/>
        <v>0</v>
      </c>
      <c r="F6" t="s">
        <v>40</v>
      </c>
      <c r="G6">
        <v>1</v>
      </c>
      <c r="H6" s="1">
        <v>37416</v>
      </c>
      <c r="I6" s="10">
        <v>0.14000000000000001</v>
      </c>
      <c r="J6">
        <v>37.5</v>
      </c>
      <c r="K6" t="s">
        <v>26</v>
      </c>
      <c r="L6">
        <v>25</v>
      </c>
      <c r="M6" t="s">
        <v>29</v>
      </c>
      <c r="N6" t="s">
        <v>30</v>
      </c>
      <c r="O6" t="s">
        <v>44</v>
      </c>
      <c r="P6">
        <v>24</v>
      </c>
      <c r="Q6" t="s">
        <v>32</v>
      </c>
      <c r="R6" t="s">
        <v>37</v>
      </c>
      <c r="S6">
        <v>3</v>
      </c>
      <c r="T6">
        <v>0</v>
      </c>
      <c r="U6">
        <v>1</v>
      </c>
      <c r="V6">
        <v>4</v>
      </c>
      <c r="W6">
        <v>1</v>
      </c>
      <c r="X6">
        <v>0</v>
      </c>
      <c r="Y6">
        <v>1</v>
      </c>
      <c r="Z6">
        <v>0</v>
      </c>
      <c r="AA6" t="str">
        <f t="shared" si="3"/>
        <v>Early Tenure</v>
      </c>
      <c r="AC6">
        <f t="shared" si="4"/>
        <v>0</v>
      </c>
      <c r="AE6">
        <f>VLOOKUP(A6,'Employee Engagement Survey'!A8:B1477,2,FALSE)</f>
        <v>3</v>
      </c>
      <c r="AF6">
        <f>VLOOKUP(A6,'Employee Engagement Survey'!A8:C1477,3,FALSE)</f>
        <v>4</v>
      </c>
      <c r="AG6">
        <f>VLOOKUP(A6,'Employee Engagement Survey'!A8:D1477,4,FALSE)</f>
        <v>4</v>
      </c>
      <c r="AH6">
        <f>VLOOKUP(A6,'Employee Engagement Survey'!A8:E1477,5,FALSE)</f>
        <v>3</v>
      </c>
      <c r="AI6">
        <f t="shared" si="2"/>
        <v>3.5</v>
      </c>
    </row>
    <row r="7" spans="1:35" hidden="1" x14ac:dyDescent="0.4">
      <c r="A7">
        <v>1433</v>
      </c>
      <c r="B7" t="s">
        <v>26</v>
      </c>
      <c r="C7">
        <f t="shared" si="0"/>
        <v>0</v>
      </c>
      <c r="D7" t="s">
        <v>27</v>
      </c>
      <c r="E7">
        <f t="shared" si="1"/>
        <v>0</v>
      </c>
      <c r="F7" t="s">
        <v>28</v>
      </c>
      <c r="G7">
        <v>1</v>
      </c>
      <c r="H7" s="1">
        <v>39132</v>
      </c>
      <c r="I7" s="10">
        <v>0.12</v>
      </c>
      <c r="J7">
        <v>37.5</v>
      </c>
      <c r="K7" t="s">
        <v>34</v>
      </c>
      <c r="L7">
        <v>31</v>
      </c>
      <c r="M7" t="s">
        <v>47</v>
      </c>
      <c r="N7" t="s">
        <v>30</v>
      </c>
      <c r="O7" t="s">
        <v>31</v>
      </c>
      <c r="P7">
        <v>8</v>
      </c>
      <c r="Q7" t="s">
        <v>43</v>
      </c>
      <c r="R7" t="s">
        <v>37</v>
      </c>
      <c r="S7">
        <v>3</v>
      </c>
      <c r="T7">
        <v>0</v>
      </c>
      <c r="U7">
        <v>1</v>
      </c>
      <c r="V7">
        <v>3</v>
      </c>
      <c r="W7">
        <v>1</v>
      </c>
      <c r="X7">
        <v>0</v>
      </c>
      <c r="Y7">
        <v>0</v>
      </c>
      <c r="Z7">
        <v>0</v>
      </c>
      <c r="AA7" t="str">
        <f t="shared" si="3"/>
        <v>Early Tenure</v>
      </c>
      <c r="AC7">
        <f t="shared" si="4"/>
        <v>0</v>
      </c>
      <c r="AE7">
        <f>VLOOKUP(A7,'Employee Engagement Survey'!A13:B1482,2,FALSE)</f>
        <v>1</v>
      </c>
      <c r="AF7">
        <f>VLOOKUP(A7,'Employee Engagement Survey'!A13:C1482,3,FALSE)</f>
        <v>2</v>
      </c>
      <c r="AG7">
        <f>VLOOKUP(A7,'Employee Engagement Survey'!A13:D1482,4,FALSE)</f>
        <v>3</v>
      </c>
      <c r="AH7">
        <f>VLOOKUP(A7,'Employee Engagement Survey'!A13:E1482,5,FALSE)</f>
        <v>4</v>
      </c>
      <c r="AI7">
        <f t="shared" si="2"/>
        <v>2.5</v>
      </c>
    </row>
    <row r="8" spans="1:35" hidden="1" x14ac:dyDescent="0.4">
      <c r="A8">
        <v>1427</v>
      </c>
      <c r="B8" t="s">
        <v>26</v>
      </c>
      <c r="C8">
        <f t="shared" si="0"/>
        <v>0</v>
      </c>
      <c r="D8" t="s">
        <v>39</v>
      </c>
      <c r="E8">
        <f t="shared" si="1"/>
        <v>0</v>
      </c>
      <c r="F8" t="s">
        <v>40</v>
      </c>
      <c r="G8">
        <v>2</v>
      </c>
      <c r="H8" s="1">
        <v>40308</v>
      </c>
      <c r="I8" s="10">
        <v>0.12</v>
      </c>
      <c r="J8">
        <v>37.5</v>
      </c>
      <c r="K8" t="s">
        <v>34</v>
      </c>
      <c r="L8">
        <v>31</v>
      </c>
      <c r="M8" t="s">
        <v>47</v>
      </c>
      <c r="N8" t="s">
        <v>30</v>
      </c>
      <c r="O8" t="s">
        <v>44</v>
      </c>
      <c r="P8">
        <v>1</v>
      </c>
      <c r="Q8" t="s">
        <v>51</v>
      </c>
      <c r="R8" t="s">
        <v>37</v>
      </c>
      <c r="S8">
        <v>3</v>
      </c>
      <c r="T8">
        <v>0</v>
      </c>
      <c r="U8">
        <v>1</v>
      </c>
      <c r="V8">
        <v>3</v>
      </c>
      <c r="W8">
        <v>1</v>
      </c>
      <c r="X8">
        <v>0</v>
      </c>
      <c r="Y8">
        <v>0</v>
      </c>
      <c r="Z8">
        <v>0</v>
      </c>
      <c r="AA8" t="str">
        <f t="shared" si="3"/>
        <v>Early Tenure</v>
      </c>
      <c r="AC8">
        <f t="shared" si="4"/>
        <v>0</v>
      </c>
      <c r="AE8">
        <f>VLOOKUP(A8,'Employee Engagement Survey'!A16:B1485,2,FALSE)</f>
        <v>2</v>
      </c>
      <c r="AF8">
        <f>VLOOKUP(A8,'Employee Engagement Survey'!A16:C1485,3,FALSE)</f>
        <v>3</v>
      </c>
      <c r="AG8">
        <f>VLOOKUP(A8,'Employee Engagement Survey'!A16:D1485,4,FALSE)</f>
        <v>2</v>
      </c>
      <c r="AH8">
        <f>VLOOKUP(A8,'Employee Engagement Survey'!A16:E1485,5,FALSE)</f>
        <v>3</v>
      </c>
      <c r="AI8">
        <f t="shared" si="2"/>
        <v>2.5</v>
      </c>
    </row>
    <row r="9" spans="1:35" hidden="1" x14ac:dyDescent="0.4">
      <c r="A9">
        <v>1692</v>
      </c>
      <c r="B9" t="s">
        <v>26</v>
      </c>
      <c r="C9">
        <f t="shared" si="0"/>
        <v>0</v>
      </c>
      <c r="D9" t="s">
        <v>46</v>
      </c>
      <c r="E9">
        <f t="shared" si="1"/>
        <v>0</v>
      </c>
      <c r="F9" t="s">
        <v>28</v>
      </c>
      <c r="G9">
        <v>2</v>
      </c>
      <c r="H9" s="1">
        <v>40716</v>
      </c>
      <c r="I9" s="10">
        <v>0.12</v>
      </c>
      <c r="J9">
        <v>37.5</v>
      </c>
      <c r="K9" t="s">
        <v>34</v>
      </c>
      <c r="L9">
        <v>32</v>
      </c>
      <c r="M9" t="s">
        <v>29</v>
      </c>
      <c r="N9" t="s">
        <v>30</v>
      </c>
      <c r="O9" t="s">
        <v>31</v>
      </c>
      <c r="P9">
        <v>2</v>
      </c>
      <c r="Q9" t="s">
        <v>51</v>
      </c>
      <c r="R9" t="s">
        <v>37</v>
      </c>
      <c r="S9">
        <v>3</v>
      </c>
      <c r="T9">
        <v>0</v>
      </c>
      <c r="U9">
        <v>1</v>
      </c>
      <c r="V9">
        <v>2</v>
      </c>
      <c r="W9">
        <v>1</v>
      </c>
      <c r="X9">
        <v>0</v>
      </c>
      <c r="Y9">
        <v>0</v>
      </c>
      <c r="Z9">
        <v>0</v>
      </c>
      <c r="AA9" t="str">
        <f t="shared" si="3"/>
        <v>Early Tenure</v>
      </c>
      <c r="AC9">
        <f t="shared" si="4"/>
        <v>0</v>
      </c>
      <c r="AE9">
        <f>VLOOKUP(A9,'Employee Engagement Survey'!A17:B1486,2,FALSE)</f>
        <v>4</v>
      </c>
      <c r="AF9">
        <f>VLOOKUP(A9,'Employee Engagement Survey'!A17:C1486,3,FALSE)</f>
        <v>2</v>
      </c>
      <c r="AG9">
        <f>VLOOKUP(A9,'Employee Engagement Survey'!A17:D1486,4,FALSE)</f>
        <v>1</v>
      </c>
      <c r="AH9">
        <f>VLOOKUP(A9,'Employee Engagement Survey'!A17:E1486,5,FALSE)</f>
        <v>3</v>
      </c>
      <c r="AI9">
        <f t="shared" si="2"/>
        <v>2.5</v>
      </c>
    </row>
    <row r="10" spans="1:35" hidden="1" x14ac:dyDescent="0.4">
      <c r="A10">
        <v>1079</v>
      </c>
      <c r="B10" t="s">
        <v>26</v>
      </c>
      <c r="C10">
        <f t="shared" si="0"/>
        <v>0</v>
      </c>
      <c r="D10" t="s">
        <v>46</v>
      </c>
      <c r="E10">
        <f t="shared" si="1"/>
        <v>0</v>
      </c>
      <c r="F10" t="s">
        <v>28</v>
      </c>
      <c r="G10">
        <v>2</v>
      </c>
      <c r="H10" s="1">
        <v>40992</v>
      </c>
      <c r="I10" s="10">
        <v>0.13</v>
      </c>
      <c r="J10">
        <v>37.5</v>
      </c>
      <c r="K10" t="s">
        <v>34</v>
      </c>
      <c r="L10">
        <v>21</v>
      </c>
      <c r="M10" t="s">
        <v>52</v>
      </c>
      <c r="N10" t="s">
        <v>30</v>
      </c>
      <c r="O10" t="s">
        <v>31</v>
      </c>
      <c r="P10">
        <v>10</v>
      </c>
      <c r="Q10" t="s">
        <v>43</v>
      </c>
      <c r="R10" t="s">
        <v>37</v>
      </c>
      <c r="S10">
        <v>3</v>
      </c>
      <c r="T10">
        <v>0</v>
      </c>
      <c r="U10">
        <v>1</v>
      </c>
      <c r="V10">
        <v>6</v>
      </c>
      <c r="W10">
        <v>1</v>
      </c>
      <c r="X10">
        <v>0</v>
      </c>
      <c r="Y10">
        <v>1</v>
      </c>
      <c r="Z10">
        <v>0</v>
      </c>
      <c r="AA10" t="str">
        <f t="shared" si="3"/>
        <v>Early Tenure</v>
      </c>
      <c r="AC10">
        <f t="shared" si="4"/>
        <v>0</v>
      </c>
      <c r="AE10">
        <f>VLOOKUP(A10,'Employee Engagement Survey'!A18:B1487,2,FALSE)</f>
        <v>3</v>
      </c>
      <c r="AF10">
        <f>VLOOKUP(A10,'Employee Engagement Survey'!A18:C1487,3,FALSE)</f>
        <v>1</v>
      </c>
      <c r="AG10">
        <f>VLOOKUP(A10,'Employee Engagement Survey'!A18:D1487,4,FALSE)</f>
        <v>1</v>
      </c>
      <c r="AH10">
        <f>VLOOKUP(A10,'Employee Engagement Survey'!A18:E1487,5,FALSE)</f>
        <v>2</v>
      </c>
      <c r="AI10">
        <f t="shared" si="2"/>
        <v>1.75</v>
      </c>
    </row>
    <row r="11" spans="1:35" hidden="1" x14ac:dyDescent="0.4">
      <c r="A11">
        <v>405</v>
      </c>
      <c r="B11" t="s">
        <v>26</v>
      </c>
      <c r="C11">
        <f t="shared" si="0"/>
        <v>0</v>
      </c>
      <c r="D11" t="s">
        <v>46</v>
      </c>
      <c r="E11">
        <f t="shared" si="1"/>
        <v>0</v>
      </c>
      <c r="F11" t="s">
        <v>28</v>
      </c>
      <c r="G11">
        <v>2</v>
      </c>
      <c r="H11" s="1">
        <v>41040</v>
      </c>
      <c r="I11" s="10">
        <v>0.13</v>
      </c>
      <c r="J11">
        <v>37.5</v>
      </c>
      <c r="K11" t="s">
        <v>34</v>
      </c>
      <c r="L11">
        <v>18</v>
      </c>
      <c r="M11" t="s">
        <v>29</v>
      </c>
      <c r="N11" t="s">
        <v>30</v>
      </c>
      <c r="O11" t="s">
        <v>31</v>
      </c>
      <c r="P11">
        <v>3</v>
      </c>
      <c r="Q11" t="s">
        <v>43</v>
      </c>
      <c r="R11" t="s">
        <v>37</v>
      </c>
      <c r="S11">
        <v>3</v>
      </c>
      <c r="T11">
        <v>0</v>
      </c>
      <c r="U11">
        <v>0</v>
      </c>
      <c r="V11">
        <v>2</v>
      </c>
      <c r="W11">
        <v>0</v>
      </c>
      <c r="X11">
        <v>0</v>
      </c>
      <c r="Y11">
        <v>0</v>
      </c>
      <c r="Z11">
        <v>0</v>
      </c>
      <c r="AA11" t="str">
        <f t="shared" si="3"/>
        <v>Early Tenure</v>
      </c>
      <c r="AC11">
        <f t="shared" si="4"/>
        <v>0</v>
      </c>
      <c r="AE11">
        <f>VLOOKUP(A11,'Employee Engagement Survey'!A19:B1488,2,FALSE)</f>
        <v>3</v>
      </c>
      <c r="AF11">
        <f>VLOOKUP(A11,'Employee Engagement Survey'!A19:C1488,3,FALSE)</f>
        <v>3</v>
      </c>
      <c r="AG11">
        <f>VLOOKUP(A11,'Employee Engagement Survey'!A19:D1488,4,FALSE)</f>
        <v>3</v>
      </c>
      <c r="AH11">
        <f>VLOOKUP(A11,'Employee Engagement Survey'!A19:E1488,5,FALSE)</f>
        <v>3</v>
      </c>
      <c r="AI11">
        <f t="shared" si="2"/>
        <v>3</v>
      </c>
    </row>
    <row r="12" spans="1:35" hidden="1" x14ac:dyDescent="0.4">
      <c r="A12">
        <v>4</v>
      </c>
      <c r="B12" t="s">
        <v>26</v>
      </c>
      <c r="C12">
        <f t="shared" si="0"/>
        <v>0</v>
      </c>
      <c r="D12" t="s">
        <v>46</v>
      </c>
      <c r="E12">
        <f t="shared" si="1"/>
        <v>0</v>
      </c>
      <c r="F12" t="s">
        <v>28</v>
      </c>
      <c r="G12">
        <v>3</v>
      </c>
      <c r="H12" s="1">
        <v>49080</v>
      </c>
      <c r="I12" s="10">
        <v>0.15</v>
      </c>
      <c r="J12">
        <v>37.5</v>
      </c>
      <c r="K12" t="s">
        <v>26</v>
      </c>
      <c r="L12">
        <v>37</v>
      </c>
      <c r="M12" t="s">
        <v>29</v>
      </c>
      <c r="N12" t="s">
        <v>30</v>
      </c>
      <c r="O12" t="s">
        <v>31</v>
      </c>
      <c r="P12">
        <v>2</v>
      </c>
      <c r="Q12" t="s">
        <v>36</v>
      </c>
      <c r="R12" t="s">
        <v>53</v>
      </c>
      <c r="S12">
        <v>3</v>
      </c>
      <c r="T12">
        <v>0</v>
      </c>
      <c r="U12">
        <v>7</v>
      </c>
      <c r="V12">
        <v>3</v>
      </c>
      <c r="W12">
        <v>0</v>
      </c>
      <c r="X12">
        <v>0</v>
      </c>
      <c r="Y12">
        <v>0</v>
      </c>
      <c r="Z12">
        <v>0</v>
      </c>
      <c r="AA12" t="str">
        <f t="shared" si="3"/>
        <v>Early Tenure</v>
      </c>
      <c r="AC12">
        <f t="shared" si="4"/>
        <v>0</v>
      </c>
      <c r="AE12">
        <f>VLOOKUP(A12,'Employee Engagement Survey'!A23:B1492,2,FALSE)</f>
        <v>4</v>
      </c>
      <c r="AF12">
        <f>VLOOKUP(A12,'Employee Engagement Survey'!A23:C1492,3,FALSE)</f>
        <v>3</v>
      </c>
      <c r="AG12">
        <f>VLOOKUP(A12,'Employee Engagement Survey'!A23:D1492,4,FALSE)</f>
        <v>2</v>
      </c>
      <c r="AH12">
        <f>VLOOKUP(A12,'Employee Engagement Survey'!A23:E1492,5,FALSE)</f>
        <v>3</v>
      </c>
      <c r="AI12">
        <f t="shared" si="2"/>
        <v>3</v>
      </c>
    </row>
    <row r="13" spans="1:35" hidden="1" x14ac:dyDescent="0.4">
      <c r="A13">
        <v>1624</v>
      </c>
      <c r="B13" t="s">
        <v>26</v>
      </c>
      <c r="C13">
        <f t="shared" si="0"/>
        <v>0</v>
      </c>
      <c r="D13" t="s">
        <v>39</v>
      </c>
      <c r="E13">
        <f t="shared" si="1"/>
        <v>0</v>
      </c>
      <c r="F13" t="s">
        <v>40</v>
      </c>
      <c r="G13">
        <v>2</v>
      </c>
      <c r="H13" s="1">
        <v>42828</v>
      </c>
      <c r="I13" s="10">
        <v>0.12</v>
      </c>
      <c r="J13">
        <v>37.5</v>
      </c>
      <c r="K13" t="s">
        <v>26</v>
      </c>
      <c r="L13">
        <v>18</v>
      </c>
      <c r="M13" t="s">
        <v>47</v>
      </c>
      <c r="N13" t="s">
        <v>30</v>
      </c>
      <c r="O13" t="s">
        <v>44</v>
      </c>
      <c r="P13">
        <v>3</v>
      </c>
      <c r="Q13" t="s">
        <v>36</v>
      </c>
      <c r="R13" t="s">
        <v>33</v>
      </c>
      <c r="S13">
        <v>3</v>
      </c>
      <c r="T13">
        <v>0</v>
      </c>
      <c r="U13">
        <v>0</v>
      </c>
      <c r="V13">
        <v>2</v>
      </c>
      <c r="W13">
        <v>0</v>
      </c>
      <c r="X13">
        <v>0</v>
      </c>
      <c r="Y13">
        <v>0</v>
      </c>
      <c r="Z13">
        <v>0</v>
      </c>
      <c r="AA13" t="str">
        <f t="shared" si="3"/>
        <v>Early Tenure</v>
      </c>
      <c r="AC13">
        <f t="shared" si="4"/>
        <v>0</v>
      </c>
      <c r="AE13">
        <f>VLOOKUP(A13,'Employee Engagement Survey'!A24:B1493,2,FALSE)</f>
        <v>2</v>
      </c>
      <c r="AF13">
        <f>VLOOKUP(A13,'Employee Engagement Survey'!A24:C1493,3,FALSE)</f>
        <v>4</v>
      </c>
      <c r="AG13">
        <f>VLOOKUP(A13,'Employee Engagement Survey'!A24:D1493,4,FALSE)</f>
        <v>3</v>
      </c>
      <c r="AH13">
        <f>VLOOKUP(A13,'Employee Engagement Survey'!A24:E1493,5,FALSE)</f>
        <v>4</v>
      </c>
      <c r="AI13">
        <f t="shared" si="2"/>
        <v>3.25</v>
      </c>
    </row>
    <row r="14" spans="1:35" hidden="1" x14ac:dyDescent="0.4">
      <c r="A14">
        <v>1248</v>
      </c>
      <c r="B14" t="s">
        <v>26</v>
      </c>
      <c r="C14">
        <f t="shared" si="0"/>
        <v>0</v>
      </c>
      <c r="D14" t="s">
        <v>27</v>
      </c>
      <c r="E14">
        <f t="shared" si="1"/>
        <v>0</v>
      </c>
      <c r="F14" t="s">
        <v>28</v>
      </c>
      <c r="G14">
        <v>3</v>
      </c>
      <c r="H14" s="1">
        <v>46308</v>
      </c>
      <c r="I14" s="10">
        <v>0.25</v>
      </c>
      <c r="J14">
        <v>37.5</v>
      </c>
      <c r="K14" t="s">
        <v>26</v>
      </c>
      <c r="L14">
        <v>19</v>
      </c>
      <c r="M14" t="s">
        <v>47</v>
      </c>
      <c r="N14" t="s">
        <v>30</v>
      </c>
      <c r="O14" t="s">
        <v>35</v>
      </c>
      <c r="P14">
        <v>10</v>
      </c>
      <c r="Q14" t="s">
        <v>43</v>
      </c>
      <c r="R14" t="s">
        <v>33</v>
      </c>
      <c r="S14">
        <v>4</v>
      </c>
      <c r="T14">
        <v>0</v>
      </c>
      <c r="U14">
        <v>1</v>
      </c>
      <c r="V14">
        <v>2</v>
      </c>
      <c r="W14">
        <v>1</v>
      </c>
      <c r="X14">
        <v>1</v>
      </c>
      <c r="Y14">
        <v>0</v>
      </c>
      <c r="Z14">
        <v>0</v>
      </c>
      <c r="AA14" t="str">
        <f t="shared" si="3"/>
        <v>Early Tenure</v>
      </c>
      <c r="AC14">
        <f t="shared" si="4"/>
        <v>0</v>
      </c>
      <c r="AE14">
        <f>VLOOKUP(A14,'Employee Engagement Survey'!A31:B1500,2,FALSE)</f>
        <v>1</v>
      </c>
      <c r="AF14">
        <f>VLOOKUP(A14,'Employee Engagement Survey'!A31:C1500,3,FALSE)</f>
        <v>2</v>
      </c>
      <c r="AG14">
        <f>VLOOKUP(A14,'Employee Engagement Survey'!A31:D1500,4,FALSE)</f>
        <v>2</v>
      </c>
      <c r="AH14">
        <f>VLOOKUP(A14,'Employee Engagement Survey'!A31:E1500,5,FALSE)</f>
        <v>4</v>
      </c>
      <c r="AI14">
        <f t="shared" si="2"/>
        <v>2.25</v>
      </c>
    </row>
    <row r="15" spans="1:35" hidden="1" x14ac:dyDescent="0.4">
      <c r="A15">
        <v>16</v>
      </c>
      <c r="B15" t="s">
        <v>34</v>
      </c>
      <c r="C15">
        <f t="shared" si="0"/>
        <v>1</v>
      </c>
      <c r="D15" t="s">
        <v>27</v>
      </c>
      <c r="E15">
        <f t="shared" si="1"/>
        <v>0</v>
      </c>
      <c r="F15" t="s">
        <v>28</v>
      </c>
      <c r="G15">
        <v>5</v>
      </c>
      <c r="H15" s="1">
        <v>58932</v>
      </c>
      <c r="I15" s="10">
        <v>0.17</v>
      </c>
      <c r="J15">
        <v>37.5</v>
      </c>
      <c r="K15" t="s">
        <v>34</v>
      </c>
      <c r="L15">
        <v>31</v>
      </c>
      <c r="M15" t="s">
        <v>41</v>
      </c>
      <c r="N15" t="s">
        <v>48</v>
      </c>
      <c r="O15" t="s">
        <v>31</v>
      </c>
      <c r="P15">
        <v>26</v>
      </c>
      <c r="Q15" t="s">
        <v>32</v>
      </c>
      <c r="R15" t="s">
        <v>37</v>
      </c>
      <c r="S15">
        <v>3</v>
      </c>
      <c r="T15">
        <v>1</v>
      </c>
      <c r="U15">
        <v>5</v>
      </c>
      <c r="V15">
        <v>1</v>
      </c>
      <c r="W15">
        <v>5</v>
      </c>
      <c r="X15">
        <v>2</v>
      </c>
      <c r="Y15">
        <v>4</v>
      </c>
      <c r="Z15">
        <v>3</v>
      </c>
      <c r="AA15" t="str">
        <f t="shared" si="3"/>
        <v>Mid Tenure</v>
      </c>
      <c r="AB15" s="5">
        <v>44726</v>
      </c>
      <c r="AC15">
        <f t="shared" si="4"/>
        <v>0</v>
      </c>
      <c r="AD15" t="s">
        <v>38</v>
      </c>
      <c r="AE15">
        <f>VLOOKUP(A15,'Employee Engagement Survey'!A33:B1502,2,FALSE)</f>
        <v>1</v>
      </c>
      <c r="AF15">
        <f>VLOOKUP(A15,'Employee Engagement Survey'!A33:C1502,3,FALSE)</f>
        <v>3</v>
      </c>
      <c r="AG15">
        <f>VLOOKUP(A15,'Employee Engagement Survey'!A33:D1502,4,FALSE)</f>
        <v>4</v>
      </c>
      <c r="AH15">
        <f>VLOOKUP(A15,'Employee Engagement Survey'!A33:E1502,5,FALSE)</f>
        <v>2</v>
      </c>
      <c r="AI15">
        <f t="shared" si="2"/>
        <v>2.5</v>
      </c>
    </row>
    <row r="16" spans="1:35" hidden="1" x14ac:dyDescent="0.4">
      <c r="A16">
        <v>19</v>
      </c>
      <c r="B16" t="s">
        <v>26</v>
      </c>
      <c r="C16">
        <f t="shared" si="0"/>
        <v>0</v>
      </c>
      <c r="D16" t="s">
        <v>46</v>
      </c>
      <c r="E16">
        <f t="shared" si="1"/>
        <v>0</v>
      </c>
      <c r="F16" t="s">
        <v>28</v>
      </c>
      <c r="G16">
        <v>3</v>
      </c>
      <c r="H16" s="1">
        <v>48336</v>
      </c>
      <c r="I16" s="10">
        <v>0.14000000000000001</v>
      </c>
      <c r="J16">
        <v>37.5</v>
      </c>
      <c r="K16" t="s">
        <v>26</v>
      </c>
      <c r="L16">
        <v>28</v>
      </c>
      <c r="M16" t="s">
        <v>41</v>
      </c>
      <c r="N16" t="s">
        <v>30</v>
      </c>
      <c r="O16" t="s">
        <v>31</v>
      </c>
      <c r="P16">
        <v>24</v>
      </c>
      <c r="Q16" t="s">
        <v>43</v>
      </c>
      <c r="R16" t="s">
        <v>37</v>
      </c>
      <c r="S16">
        <v>3</v>
      </c>
      <c r="T16">
        <v>0</v>
      </c>
      <c r="U16">
        <v>6</v>
      </c>
      <c r="V16">
        <v>4</v>
      </c>
      <c r="W16">
        <v>4</v>
      </c>
      <c r="X16">
        <v>2</v>
      </c>
      <c r="Y16">
        <v>0</v>
      </c>
      <c r="Z16">
        <v>3</v>
      </c>
      <c r="AA16" t="str">
        <f t="shared" si="3"/>
        <v>Mid Tenure</v>
      </c>
      <c r="AC16">
        <f t="shared" si="4"/>
        <v>0</v>
      </c>
      <c r="AE16">
        <f>VLOOKUP(A16,'Employee Engagement Survey'!A37:B1506,2,FALSE)</f>
        <v>3</v>
      </c>
      <c r="AF16">
        <f>VLOOKUP(A16,'Employee Engagement Survey'!A37:C1506,3,FALSE)</f>
        <v>3</v>
      </c>
      <c r="AG16">
        <f>VLOOKUP(A16,'Employee Engagement Survey'!A37:D1506,4,FALSE)</f>
        <v>2</v>
      </c>
      <c r="AH16">
        <f>VLOOKUP(A16,'Employee Engagement Survey'!A37:E1506,5,FALSE)</f>
        <v>3</v>
      </c>
      <c r="AI16">
        <f t="shared" si="2"/>
        <v>2.75</v>
      </c>
    </row>
    <row r="17" spans="1:35" hidden="1" x14ac:dyDescent="0.4">
      <c r="A17">
        <v>881</v>
      </c>
      <c r="B17" t="s">
        <v>26</v>
      </c>
      <c r="C17">
        <f t="shared" si="0"/>
        <v>0</v>
      </c>
      <c r="D17" t="s">
        <v>27</v>
      </c>
      <c r="E17">
        <f t="shared" si="1"/>
        <v>0</v>
      </c>
      <c r="F17" t="s">
        <v>28</v>
      </c>
      <c r="G17">
        <v>3</v>
      </c>
      <c r="H17" s="1">
        <v>48264</v>
      </c>
      <c r="I17" s="10">
        <v>0.19</v>
      </c>
      <c r="J17">
        <v>37.5</v>
      </c>
      <c r="K17" t="s">
        <v>26</v>
      </c>
      <c r="L17">
        <v>35</v>
      </c>
      <c r="M17" t="s">
        <v>47</v>
      </c>
      <c r="N17" t="s">
        <v>48</v>
      </c>
      <c r="O17" t="s">
        <v>44</v>
      </c>
      <c r="P17">
        <v>25</v>
      </c>
      <c r="Q17" t="s">
        <v>51</v>
      </c>
      <c r="R17" t="s">
        <v>37</v>
      </c>
      <c r="S17">
        <v>3</v>
      </c>
      <c r="T17">
        <v>1</v>
      </c>
      <c r="U17">
        <v>10</v>
      </c>
      <c r="V17">
        <v>3</v>
      </c>
      <c r="W17">
        <v>10</v>
      </c>
      <c r="X17">
        <v>2</v>
      </c>
      <c r="Y17">
        <v>7</v>
      </c>
      <c r="Z17">
        <v>8</v>
      </c>
      <c r="AA17" t="str">
        <f t="shared" si="3"/>
        <v>Long Tenure</v>
      </c>
      <c r="AC17">
        <f t="shared" si="4"/>
        <v>0</v>
      </c>
      <c r="AE17">
        <f>VLOOKUP(A17,'Employee Engagement Survey'!A43:B1512,2,FALSE)</f>
        <v>4</v>
      </c>
      <c r="AF17">
        <f>VLOOKUP(A17,'Employee Engagement Survey'!A43:C1512,3,FALSE)</f>
        <v>2</v>
      </c>
      <c r="AG17">
        <f>VLOOKUP(A17,'Employee Engagement Survey'!A43:D1512,4,FALSE)</f>
        <v>1</v>
      </c>
      <c r="AH17">
        <f>VLOOKUP(A17,'Employee Engagement Survey'!A43:E1512,5,FALSE)</f>
        <v>2</v>
      </c>
      <c r="AI17">
        <f t="shared" si="2"/>
        <v>2.25</v>
      </c>
    </row>
    <row r="18" spans="1:35" hidden="1" x14ac:dyDescent="0.4">
      <c r="A18">
        <v>27</v>
      </c>
      <c r="B18" t="s">
        <v>26</v>
      </c>
      <c r="C18">
        <f t="shared" si="0"/>
        <v>0</v>
      </c>
      <c r="D18" t="s">
        <v>39</v>
      </c>
      <c r="E18">
        <f t="shared" si="1"/>
        <v>0</v>
      </c>
      <c r="F18" t="s">
        <v>40</v>
      </c>
      <c r="G18">
        <v>6</v>
      </c>
      <c r="H18" s="1">
        <v>64884</v>
      </c>
      <c r="I18" s="10">
        <v>0.23</v>
      </c>
      <c r="J18">
        <v>37.5</v>
      </c>
      <c r="K18" t="s">
        <v>34</v>
      </c>
      <c r="L18">
        <v>36</v>
      </c>
      <c r="M18" t="s">
        <v>41</v>
      </c>
      <c r="N18" t="s">
        <v>30</v>
      </c>
      <c r="O18" t="s">
        <v>31</v>
      </c>
      <c r="P18">
        <v>9</v>
      </c>
      <c r="Q18" t="s">
        <v>51</v>
      </c>
      <c r="R18" t="s">
        <v>37</v>
      </c>
      <c r="S18">
        <v>4</v>
      </c>
      <c r="T18">
        <v>0</v>
      </c>
      <c r="U18">
        <v>10</v>
      </c>
      <c r="V18">
        <v>4</v>
      </c>
      <c r="W18">
        <v>5</v>
      </c>
      <c r="X18">
        <v>3</v>
      </c>
      <c r="Y18">
        <v>0</v>
      </c>
      <c r="Z18">
        <v>3</v>
      </c>
      <c r="AA18" t="str">
        <f t="shared" si="3"/>
        <v>Mid Tenure</v>
      </c>
      <c r="AC18">
        <f t="shared" si="4"/>
        <v>0</v>
      </c>
      <c r="AE18">
        <f>VLOOKUP(A18,'Employee Engagement Survey'!A44:B1513,2,FALSE)</f>
        <v>3</v>
      </c>
      <c r="AF18">
        <f>VLOOKUP(A18,'Employee Engagement Survey'!A44:C1513,3,FALSE)</f>
        <v>1</v>
      </c>
      <c r="AG18">
        <f>VLOOKUP(A18,'Employee Engagement Survey'!A44:D1513,4,FALSE)</f>
        <v>2</v>
      </c>
      <c r="AH18">
        <f>VLOOKUP(A18,'Employee Engagement Survey'!A44:E1513,5,FALSE)</f>
        <v>3</v>
      </c>
      <c r="AI18">
        <f t="shared" si="2"/>
        <v>2.25</v>
      </c>
    </row>
    <row r="19" spans="1:35" hidden="1" x14ac:dyDescent="0.4">
      <c r="A19">
        <v>31</v>
      </c>
      <c r="B19" t="s">
        <v>26</v>
      </c>
      <c r="C19">
        <f t="shared" si="0"/>
        <v>0</v>
      </c>
      <c r="D19" t="s">
        <v>27</v>
      </c>
      <c r="E19">
        <f t="shared" si="1"/>
        <v>0</v>
      </c>
      <c r="F19" t="s">
        <v>28</v>
      </c>
      <c r="G19">
        <v>5</v>
      </c>
      <c r="H19" s="1">
        <v>59520</v>
      </c>
      <c r="I19" s="10">
        <v>0.11</v>
      </c>
      <c r="J19">
        <v>37.5</v>
      </c>
      <c r="K19" t="s">
        <v>34</v>
      </c>
      <c r="L19">
        <v>34</v>
      </c>
      <c r="M19" t="s">
        <v>41</v>
      </c>
      <c r="N19" t="s">
        <v>30</v>
      </c>
      <c r="O19" t="s">
        <v>31</v>
      </c>
      <c r="P19">
        <v>6</v>
      </c>
      <c r="Q19" t="s">
        <v>32</v>
      </c>
      <c r="R19" t="s">
        <v>33</v>
      </c>
      <c r="S19">
        <v>3</v>
      </c>
      <c r="T19">
        <v>0</v>
      </c>
      <c r="U19">
        <v>8</v>
      </c>
      <c r="V19">
        <v>2</v>
      </c>
      <c r="W19">
        <v>4</v>
      </c>
      <c r="X19">
        <v>2</v>
      </c>
      <c r="Y19">
        <v>1</v>
      </c>
      <c r="Z19">
        <v>3</v>
      </c>
      <c r="AA19" t="str">
        <f t="shared" si="3"/>
        <v>Mid Tenure</v>
      </c>
      <c r="AC19">
        <f t="shared" si="4"/>
        <v>0</v>
      </c>
      <c r="AE19">
        <f>VLOOKUP(A19,'Employee Engagement Survey'!A45:B1514,2,FALSE)</f>
        <v>2</v>
      </c>
      <c r="AF19">
        <f>VLOOKUP(A19,'Employee Engagement Survey'!A45:C1514,3,FALSE)</f>
        <v>1</v>
      </c>
      <c r="AG19">
        <f>VLOOKUP(A19,'Employee Engagement Survey'!A45:D1514,4,FALSE)</f>
        <v>3</v>
      </c>
      <c r="AH19">
        <f>VLOOKUP(A19,'Employee Engagement Survey'!A45:E1514,5,FALSE)</f>
        <v>3</v>
      </c>
      <c r="AI19">
        <f t="shared" si="2"/>
        <v>2.25</v>
      </c>
    </row>
    <row r="20" spans="1:35" hidden="1" x14ac:dyDescent="0.4">
      <c r="A20">
        <v>922</v>
      </c>
      <c r="B20" t="s">
        <v>26</v>
      </c>
      <c r="C20">
        <f t="shared" si="0"/>
        <v>0</v>
      </c>
      <c r="D20" t="s">
        <v>39</v>
      </c>
      <c r="E20">
        <f t="shared" si="1"/>
        <v>0</v>
      </c>
      <c r="F20" t="s">
        <v>40</v>
      </c>
      <c r="G20">
        <v>3</v>
      </c>
      <c r="H20" s="1">
        <v>48528</v>
      </c>
      <c r="I20" s="10">
        <v>0.13</v>
      </c>
      <c r="J20">
        <v>37.5</v>
      </c>
      <c r="K20" t="s">
        <v>34</v>
      </c>
      <c r="L20">
        <v>20</v>
      </c>
      <c r="M20" t="s">
        <v>47</v>
      </c>
      <c r="N20" t="s">
        <v>30</v>
      </c>
      <c r="O20" t="s">
        <v>31</v>
      </c>
      <c r="P20">
        <v>2</v>
      </c>
      <c r="Q20" t="s">
        <v>43</v>
      </c>
      <c r="R20" t="s">
        <v>33</v>
      </c>
      <c r="S20">
        <v>3</v>
      </c>
      <c r="T20">
        <v>0</v>
      </c>
      <c r="U20">
        <v>2</v>
      </c>
      <c r="V20">
        <v>3</v>
      </c>
      <c r="W20">
        <v>2</v>
      </c>
      <c r="X20">
        <v>2</v>
      </c>
      <c r="Y20">
        <v>0</v>
      </c>
      <c r="Z20">
        <v>2</v>
      </c>
      <c r="AA20" t="str">
        <f t="shared" si="3"/>
        <v>Early Tenure</v>
      </c>
      <c r="AC20">
        <f t="shared" si="4"/>
        <v>0</v>
      </c>
      <c r="AE20">
        <f>VLOOKUP(A20,'Employee Engagement Survey'!A52:B1521,2,FALSE)</f>
        <v>3</v>
      </c>
      <c r="AF20">
        <f>VLOOKUP(A20,'Employee Engagement Survey'!A52:C1521,3,FALSE)</f>
        <v>3</v>
      </c>
      <c r="AG20">
        <f>VLOOKUP(A20,'Employee Engagement Survey'!A52:D1521,4,FALSE)</f>
        <v>4</v>
      </c>
      <c r="AH20">
        <f>VLOOKUP(A20,'Employee Engagement Survey'!A52:E1521,5,FALSE)</f>
        <v>2</v>
      </c>
      <c r="AI20">
        <f t="shared" si="2"/>
        <v>3</v>
      </c>
    </row>
    <row r="21" spans="1:35" hidden="1" x14ac:dyDescent="0.4">
      <c r="A21">
        <v>42</v>
      </c>
      <c r="B21" t="s">
        <v>26</v>
      </c>
      <c r="C21">
        <f t="shared" si="0"/>
        <v>0</v>
      </c>
      <c r="D21" t="s">
        <v>39</v>
      </c>
      <c r="E21">
        <f t="shared" si="1"/>
        <v>0</v>
      </c>
      <c r="F21" t="s">
        <v>40</v>
      </c>
      <c r="G21">
        <v>3</v>
      </c>
      <c r="H21" s="1">
        <v>49032</v>
      </c>
      <c r="I21" s="10">
        <v>0.14000000000000001</v>
      </c>
      <c r="J21">
        <v>37.5</v>
      </c>
      <c r="K21" t="s">
        <v>34</v>
      </c>
      <c r="L21">
        <v>39</v>
      </c>
      <c r="M21" t="s">
        <v>41</v>
      </c>
      <c r="N21" t="s">
        <v>42</v>
      </c>
      <c r="O21" t="s">
        <v>31</v>
      </c>
      <c r="P21">
        <v>5</v>
      </c>
      <c r="Q21" t="s">
        <v>43</v>
      </c>
      <c r="R21" t="s">
        <v>45</v>
      </c>
      <c r="S21">
        <v>3</v>
      </c>
      <c r="T21">
        <v>1</v>
      </c>
      <c r="U21">
        <v>19</v>
      </c>
      <c r="V21">
        <v>6</v>
      </c>
      <c r="W21">
        <v>1</v>
      </c>
      <c r="X21">
        <v>0</v>
      </c>
      <c r="Y21">
        <v>0</v>
      </c>
      <c r="Z21">
        <v>0</v>
      </c>
      <c r="AA21" t="str">
        <f t="shared" si="3"/>
        <v>Early Tenure</v>
      </c>
      <c r="AC21">
        <f t="shared" si="4"/>
        <v>0</v>
      </c>
      <c r="AE21">
        <f>VLOOKUP(A21,'Employee Engagement Survey'!A53:B1522,2,FALSE)</f>
        <v>4</v>
      </c>
      <c r="AF21">
        <f>VLOOKUP(A21,'Employee Engagement Survey'!A53:C1522,3,FALSE)</f>
        <v>4</v>
      </c>
      <c r="AG21">
        <f>VLOOKUP(A21,'Employee Engagement Survey'!A53:D1522,4,FALSE)</f>
        <v>3</v>
      </c>
      <c r="AH21">
        <f>VLOOKUP(A21,'Employee Engagement Survey'!A53:E1522,5,FALSE)</f>
        <v>4</v>
      </c>
      <c r="AI21">
        <f t="shared" si="2"/>
        <v>3.75</v>
      </c>
    </row>
    <row r="22" spans="1:35" hidden="1" x14ac:dyDescent="0.4">
      <c r="A22">
        <v>45</v>
      </c>
      <c r="B22" t="s">
        <v>26</v>
      </c>
      <c r="C22">
        <f t="shared" si="0"/>
        <v>0</v>
      </c>
      <c r="D22" t="s">
        <v>27</v>
      </c>
      <c r="E22">
        <f t="shared" si="1"/>
        <v>0</v>
      </c>
      <c r="F22" t="s">
        <v>28</v>
      </c>
      <c r="G22">
        <v>4</v>
      </c>
      <c r="H22" s="1">
        <v>51516</v>
      </c>
      <c r="I22" s="10">
        <v>0.16</v>
      </c>
      <c r="J22">
        <v>37.5</v>
      </c>
      <c r="K22" t="s">
        <v>26</v>
      </c>
      <c r="L22">
        <v>24</v>
      </c>
      <c r="M22" t="s">
        <v>41</v>
      </c>
      <c r="N22" t="s">
        <v>42</v>
      </c>
      <c r="O22" t="s">
        <v>31</v>
      </c>
      <c r="P22">
        <v>1</v>
      </c>
      <c r="Q22" t="s">
        <v>43</v>
      </c>
      <c r="R22" t="s">
        <v>33</v>
      </c>
      <c r="S22">
        <v>3</v>
      </c>
      <c r="T22">
        <v>1</v>
      </c>
      <c r="U22">
        <v>6</v>
      </c>
      <c r="V22">
        <v>2</v>
      </c>
      <c r="W22">
        <v>2</v>
      </c>
      <c r="X22">
        <v>0</v>
      </c>
      <c r="Y22">
        <v>2</v>
      </c>
      <c r="Z22">
        <v>0</v>
      </c>
      <c r="AA22" t="str">
        <f t="shared" si="3"/>
        <v>Early Tenure</v>
      </c>
      <c r="AC22">
        <f t="shared" si="4"/>
        <v>0</v>
      </c>
      <c r="AE22">
        <f>VLOOKUP(A22,'Employee Engagement Survey'!A54:B1523,2,FALSE)</f>
        <v>2</v>
      </c>
      <c r="AF22">
        <f>VLOOKUP(A22,'Employee Engagement Survey'!A54:C1523,3,FALSE)</f>
        <v>4</v>
      </c>
      <c r="AG22">
        <f>VLOOKUP(A22,'Employee Engagement Survey'!A54:D1523,4,FALSE)</f>
        <v>1</v>
      </c>
      <c r="AH22">
        <f>VLOOKUP(A22,'Employee Engagement Survey'!A54:E1523,5,FALSE)</f>
        <v>2</v>
      </c>
      <c r="AI22">
        <f t="shared" si="2"/>
        <v>2.25</v>
      </c>
    </row>
    <row r="23" spans="1:35" hidden="1" x14ac:dyDescent="0.4">
      <c r="A23">
        <v>47</v>
      </c>
      <c r="B23" t="s">
        <v>26</v>
      </c>
      <c r="C23">
        <f t="shared" si="0"/>
        <v>0</v>
      </c>
      <c r="D23" t="s">
        <v>39</v>
      </c>
      <c r="E23">
        <f t="shared" si="1"/>
        <v>0</v>
      </c>
      <c r="F23" t="s">
        <v>40</v>
      </c>
      <c r="G23">
        <v>5</v>
      </c>
      <c r="H23" s="1">
        <v>56196</v>
      </c>
      <c r="I23" s="10">
        <v>0.14000000000000001</v>
      </c>
      <c r="J23">
        <v>37.5</v>
      </c>
      <c r="K23" t="s">
        <v>26</v>
      </c>
      <c r="L23">
        <v>50</v>
      </c>
      <c r="M23" t="s">
        <v>41</v>
      </c>
      <c r="N23" t="s">
        <v>42</v>
      </c>
      <c r="O23" t="s">
        <v>31</v>
      </c>
      <c r="P23">
        <v>3</v>
      </c>
      <c r="Q23" t="s">
        <v>36</v>
      </c>
      <c r="R23" t="s">
        <v>56</v>
      </c>
      <c r="S23">
        <v>3</v>
      </c>
      <c r="T23">
        <v>0</v>
      </c>
      <c r="U23">
        <v>3</v>
      </c>
      <c r="V23">
        <v>2</v>
      </c>
      <c r="W23">
        <v>3</v>
      </c>
      <c r="X23">
        <v>2</v>
      </c>
      <c r="Y23">
        <v>0</v>
      </c>
      <c r="Z23">
        <v>2</v>
      </c>
      <c r="AA23" t="str">
        <f t="shared" si="3"/>
        <v>Mid Tenure</v>
      </c>
      <c r="AC23">
        <f t="shared" si="4"/>
        <v>0</v>
      </c>
      <c r="AE23">
        <f>VLOOKUP(A23,'Employee Engagement Survey'!A55:B1524,2,FALSE)</f>
        <v>1</v>
      </c>
      <c r="AF23">
        <f>VLOOKUP(A23,'Employee Engagement Survey'!A55:C1524,3,FALSE)</f>
        <v>3</v>
      </c>
      <c r="AG23">
        <f>VLOOKUP(A23,'Employee Engagement Survey'!A55:D1524,4,FALSE)</f>
        <v>3</v>
      </c>
      <c r="AH23">
        <f>VLOOKUP(A23,'Employee Engagement Survey'!A55:E1524,5,FALSE)</f>
        <v>3</v>
      </c>
      <c r="AI23">
        <f t="shared" si="2"/>
        <v>2.5</v>
      </c>
    </row>
    <row r="24" spans="1:35" hidden="1" x14ac:dyDescent="0.4">
      <c r="A24">
        <v>55</v>
      </c>
      <c r="B24" t="s">
        <v>26</v>
      </c>
      <c r="C24">
        <f t="shared" si="0"/>
        <v>0</v>
      </c>
      <c r="D24" t="s">
        <v>46</v>
      </c>
      <c r="E24">
        <f t="shared" si="1"/>
        <v>0</v>
      </c>
      <c r="F24" t="s">
        <v>28</v>
      </c>
      <c r="G24">
        <v>4</v>
      </c>
      <c r="H24" s="1">
        <v>51516</v>
      </c>
      <c r="I24" s="10">
        <v>0.12</v>
      </c>
      <c r="J24">
        <v>37.5</v>
      </c>
      <c r="K24" t="s">
        <v>34</v>
      </c>
      <c r="L24">
        <v>26</v>
      </c>
      <c r="M24" t="s">
        <v>41</v>
      </c>
      <c r="N24" t="s">
        <v>30</v>
      </c>
      <c r="O24" t="s">
        <v>31</v>
      </c>
      <c r="P24">
        <v>25</v>
      </c>
      <c r="Q24" t="s">
        <v>43</v>
      </c>
      <c r="R24" t="s">
        <v>37</v>
      </c>
      <c r="S24">
        <v>3</v>
      </c>
      <c r="T24">
        <v>0</v>
      </c>
      <c r="U24">
        <v>1</v>
      </c>
      <c r="V24">
        <v>2</v>
      </c>
      <c r="W24">
        <v>1</v>
      </c>
      <c r="X24">
        <v>0</v>
      </c>
      <c r="Y24">
        <v>0</v>
      </c>
      <c r="Z24">
        <v>1</v>
      </c>
      <c r="AA24" t="str">
        <f t="shared" si="3"/>
        <v>Early Tenure</v>
      </c>
      <c r="AC24">
        <f t="shared" si="4"/>
        <v>0</v>
      </c>
      <c r="AE24">
        <f>VLOOKUP(A24,'Employee Engagement Survey'!A58:B1527,2,FALSE)</f>
        <v>1</v>
      </c>
      <c r="AF24">
        <f>VLOOKUP(A24,'Employee Engagement Survey'!A58:C1527,3,FALSE)</f>
        <v>3</v>
      </c>
      <c r="AG24">
        <f>VLOOKUP(A24,'Employee Engagement Survey'!A58:D1527,4,FALSE)</f>
        <v>3</v>
      </c>
      <c r="AH24">
        <f>VLOOKUP(A24,'Employee Engagement Survey'!A58:E1527,5,FALSE)</f>
        <v>2</v>
      </c>
      <c r="AI24">
        <f t="shared" si="2"/>
        <v>2.25</v>
      </c>
    </row>
    <row r="25" spans="1:35" hidden="1" x14ac:dyDescent="0.4">
      <c r="A25">
        <v>1569</v>
      </c>
      <c r="B25" t="s">
        <v>26</v>
      </c>
      <c r="C25">
        <f t="shared" si="0"/>
        <v>0</v>
      </c>
      <c r="D25" t="s">
        <v>46</v>
      </c>
      <c r="E25">
        <f t="shared" si="1"/>
        <v>0</v>
      </c>
      <c r="F25" t="s">
        <v>28</v>
      </c>
      <c r="G25">
        <v>3</v>
      </c>
      <c r="H25" s="1">
        <v>48888</v>
      </c>
      <c r="I25" s="10">
        <v>0.12</v>
      </c>
      <c r="J25">
        <v>37.5</v>
      </c>
      <c r="K25" t="s">
        <v>26</v>
      </c>
      <c r="L25">
        <v>35</v>
      </c>
      <c r="M25" t="s">
        <v>47</v>
      </c>
      <c r="N25" t="s">
        <v>48</v>
      </c>
      <c r="O25" t="s">
        <v>31</v>
      </c>
      <c r="P25">
        <v>2</v>
      </c>
      <c r="Q25" t="s">
        <v>43</v>
      </c>
      <c r="R25" t="s">
        <v>37</v>
      </c>
      <c r="S25">
        <v>3</v>
      </c>
      <c r="T25">
        <v>1</v>
      </c>
      <c r="U25">
        <v>1</v>
      </c>
      <c r="V25">
        <v>2</v>
      </c>
      <c r="W25">
        <v>1</v>
      </c>
      <c r="X25">
        <v>0</v>
      </c>
      <c r="Y25">
        <v>0</v>
      </c>
      <c r="Z25">
        <v>0</v>
      </c>
      <c r="AA25" t="str">
        <f t="shared" si="3"/>
        <v>Early Tenure</v>
      </c>
      <c r="AC25">
        <f t="shared" si="4"/>
        <v>0</v>
      </c>
      <c r="AE25">
        <f>VLOOKUP(A25,'Employee Engagement Survey'!A64:B1533,2,FALSE)</f>
        <v>1</v>
      </c>
      <c r="AF25">
        <f>VLOOKUP(A25,'Employee Engagement Survey'!A64:C1533,3,FALSE)</f>
        <v>1</v>
      </c>
      <c r="AG25">
        <f>VLOOKUP(A25,'Employee Engagement Survey'!A64:D1533,4,FALSE)</f>
        <v>4</v>
      </c>
      <c r="AH25">
        <f>VLOOKUP(A25,'Employee Engagement Survey'!A64:E1533,5,FALSE)</f>
        <v>3</v>
      </c>
      <c r="AI25">
        <f t="shared" si="2"/>
        <v>2.25</v>
      </c>
    </row>
    <row r="26" spans="1:35" hidden="1" x14ac:dyDescent="0.4">
      <c r="A26">
        <v>64</v>
      </c>
      <c r="B26" t="s">
        <v>26</v>
      </c>
      <c r="C26">
        <f t="shared" si="0"/>
        <v>0</v>
      </c>
      <c r="D26" t="s">
        <v>46</v>
      </c>
      <c r="E26">
        <f t="shared" si="1"/>
        <v>0</v>
      </c>
      <c r="F26" t="s">
        <v>28</v>
      </c>
      <c r="G26">
        <v>7</v>
      </c>
      <c r="H26" s="1">
        <v>76572</v>
      </c>
      <c r="I26" s="10">
        <v>0.13</v>
      </c>
      <c r="J26">
        <v>37.5</v>
      </c>
      <c r="K26" t="s">
        <v>26</v>
      </c>
      <c r="L26">
        <v>48</v>
      </c>
      <c r="M26" t="s">
        <v>29</v>
      </c>
      <c r="N26" t="s">
        <v>30</v>
      </c>
      <c r="O26" t="s">
        <v>31</v>
      </c>
      <c r="P26">
        <v>1</v>
      </c>
      <c r="Q26" t="s">
        <v>36</v>
      </c>
      <c r="R26" t="s">
        <v>37</v>
      </c>
      <c r="S26">
        <v>3</v>
      </c>
      <c r="T26">
        <v>0</v>
      </c>
      <c r="U26">
        <v>23</v>
      </c>
      <c r="V26">
        <v>2</v>
      </c>
      <c r="W26">
        <v>1</v>
      </c>
      <c r="X26">
        <v>0</v>
      </c>
      <c r="Y26">
        <v>0</v>
      </c>
      <c r="Z26">
        <v>0</v>
      </c>
      <c r="AA26" t="str">
        <f t="shared" si="3"/>
        <v>Early Tenure</v>
      </c>
      <c r="AC26">
        <f t="shared" si="4"/>
        <v>0</v>
      </c>
      <c r="AE26">
        <f>VLOOKUP(A26,'Employee Engagement Survey'!A68:B1537,2,FALSE)</f>
        <v>1</v>
      </c>
      <c r="AF26">
        <f>VLOOKUP(A26,'Employee Engagement Survey'!A68:C1537,3,FALSE)</f>
        <v>3</v>
      </c>
      <c r="AG26">
        <f>VLOOKUP(A26,'Employee Engagement Survey'!A68:D1537,4,FALSE)</f>
        <v>4</v>
      </c>
      <c r="AH26">
        <f>VLOOKUP(A26,'Employee Engagement Survey'!A68:E1537,5,FALSE)</f>
        <v>3</v>
      </c>
      <c r="AI26">
        <f t="shared" si="2"/>
        <v>2.75</v>
      </c>
    </row>
    <row r="27" spans="1:35" hidden="1" x14ac:dyDescent="0.4">
      <c r="A27">
        <v>65</v>
      </c>
      <c r="B27" t="s">
        <v>26</v>
      </c>
      <c r="C27">
        <f t="shared" si="0"/>
        <v>0</v>
      </c>
      <c r="D27" t="s">
        <v>46</v>
      </c>
      <c r="E27">
        <f t="shared" si="1"/>
        <v>0</v>
      </c>
      <c r="F27" t="s">
        <v>28</v>
      </c>
      <c r="G27">
        <v>6</v>
      </c>
      <c r="H27" s="1">
        <v>65292</v>
      </c>
      <c r="I27" s="10">
        <v>0.13</v>
      </c>
      <c r="J27">
        <v>37.5</v>
      </c>
      <c r="K27" t="s">
        <v>26</v>
      </c>
      <c r="L27">
        <v>28</v>
      </c>
      <c r="M27" t="s">
        <v>29</v>
      </c>
      <c r="N27" t="s">
        <v>30</v>
      </c>
      <c r="O27" t="s">
        <v>31</v>
      </c>
      <c r="P27">
        <v>5</v>
      </c>
      <c r="Q27" t="s">
        <v>51</v>
      </c>
      <c r="R27" t="s">
        <v>45</v>
      </c>
      <c r="S27">
        <v>3</v>
      </c>
      <c r="T27">
        <v>0</v>
      </c>
      <c r="U27">
        <v>2</v>
      </c>
      <c r="V27">
        <v>3</v>
      </c>
      <c r="W27">
        <v>2</v>
      </c>
      <c r="X27">
        <v>2</v>
      </c>
      <c r="Y27">
        <v>2</v>
      </c>
      <c r="Z27">
        <v>2</v>
      </c>
      <c r="AA27" t="str">
        <f t="shared" si="3"/>
        <v>Early Tenure</v>
      </c>
      <c r="AC27">
        <f t="shared" si="4"/>
        <v>0</v>
      </c>
      <c r="AE27">
        <f>VLOOKUP(A27,'Employee Engagement Survey'!A69:B1538,2,FALSE)</f>
        <v>3</v>
      </c>
      <c r="AF27">
        <f>VLOOKUP(A27,'Employee Engagement Survey'!A69:C1538,3,FALSE)</f>
        <v>3</v>
      </c>
      <c r="AG27">
        <f>VLOOKUP(A27,'Employee Engagement Survey'!A69:D1538,4,FALSE)</f>
        <v>3</v>
      </c>
      <c r="AH27">
        <f>VLOOKUP(A27,'Employee Engagement Survey'!A69:E1538,5,FALSE)</f>
        <v>2</v>
      </c>
      <c r="AI27">
        <f t="shared" si="2"/>
        <v>2.75</v>
      </c>
    </row>
    <row r="28" spans="1:35" hidden="1" x14ac:dyDescent="0.4">
      <c r="A28">
        <v>90</v>
      </c>
      <c r="B28" t="s">
        <v>26</v>
      </c>
      <c r="C28">
        <f t="shared" si="0"/>
        <v>0</v>
      </c>
      <c r="D28" t="s">
        <v>27</v>
      </c>
      <c r="E28">
        <f t="shared" si="1"/>
        <v>0</v>
      </c>
      <c r="F28" t="s">
        <v>28</v>
      </c>
      <c r="G28">
        <v>6</v>
      </c>
      <c r="H28" s="1">
        <v>64656</v>
      </c>
      <c r="I28" s="10">
        <v>0.17</v>
      </c>
      <c r="J28">
        <v>37.5</v>
      </c>
      <c r="K28" t="s">
        <v>26</v>
      </c>
      <c r="L28">
        <v>36</v>
      </c>
      <c r="M28" t="s">
        <v>29</v>
      </c>
      <c r="N28" t="s">
        <v>42</v>
      </c>
      <c r="O28" t="s">
        <v>31</v>
      </c>
      <c r="P28">
        <v>9</v>
      </c>
      <c r="Q28" t="s">
        <v>43</v>
      </c>
      <c r="R28" t="s">
        <v>33</v>
      </c>
      <c r="S28">
        <v>3</v>
      </c>
      <c r="T28">
        <v>1</v>
      </c>
      <c r="U28">
        <v>2</v>
      </c>
      <c r="V28">
        <v>0</v>
      </c>
      <c r="W28">
        <v>1</v>
      </c>
      <c r="X28">
        <v>0</v>
      </c>
      <c r="Y28">
        <v>0</v>
      </c>
      <c r="Z28">
        <v>0</v>
      </c>
      <c r="AA28" t="str">
        <f t="shared" si="3"/>
        <v>Early Tenure</v>
      </c>
      <c r="AC28">
        <f t="shared" si="4"/>
        <v>0</v>
      </c>
      <c r="AE28">
        <f>VLOOKUP(A28,'Employee Engagement Survey'!A83:B1552,2,FALSE)</f>
        <v>4</v>
      </c>
      <c r="AF28">
        <f>VLOOKUP(A28,'Employee Engagement Survey'!A83:C1552,3,FALSE)</f>
        <v>3</v>
      </c>
      <c r="AG28">
        <f>VLOOKUP(A28,'Employee Engagement Survey'!A83:D1552,4,FALSE)</f>
        <v>1</v>
      </c>
      <c r="AH28">
        <f>VLOOKUP(A28,'Employee Engagement Survey'!A83:E1552,5,FALSE)</f>
        <v>2</v>
      </c>
      <c r="AI28">
        <f t="shared" si="2"/>
        <v>2.5</v>
      </c>
    </row>
    <row r="29" spans="1:35" hidden="1" x14ac:dyDescent="0.4">
      <c r="A29">
        <v>1004</v>
      </c>
      <c r="B29" t="s">
        <v>26</v>
      </c>
      <c r="C29">
        <f t="shared" si="0"/>
        <v>0</v>
      </c>
      <c r="D29" t="s">
        <v>27</v>
      </c>
      <c r="E29">
        <f t="shared" si="1"/>
        <v>0</v>
      </c>
      <c r="F29" t="s">
        <v>28</v>
      </c>
      <c r="G29">
        <v>3</v>
      </c>
      <c r="H29" s="1">
        <v>49584</v>
      </c>
      <c r="I29" s="10">
        <v>0.11</v>
      </c>
      <c r="J29">
        <v>37.5</v>
      </c>
      <c r="K29" t="s">
        <v>26</v>
      </c>
      <c r="L29">
        <v>30</v>
      </c>
      <c r="M29" t="s">
        <v>47</v>
      </c>
      <c r="N29" t="s">
        <v>42</v>
      </c>
      <c r="O29" t="s">
        <v>31</v>
      </c>
      <c r="P29">
        <v>22</v>
      </c>
      <c r="Q29" t="s">
        <v>43</v>
      </c>
      <c r="R29" t="s">
        <v>37</v>
      </c>
      <c r="S29">
        <v>3</v>
      </c>
      <c r="T29">
        <v>0</v>
      </c>
      <c r="U29">
        <v>7</v>
      </c>
      <c r="V29">
        <v>2</v>
      </c>
      <c r="W29">
        <v>5</v>
      </c>
      <c r="X29">
        <v>2</v>
      </c>
      <c r="Y29">
        <v>0</v>
      </c>
      <c r="Z29">
        <v>1</v>
      </c>
      <c r="AA29" t="str">
        <f t="shared" si="3"/>
        <v>Mid Tenure</v>
      </c>
      <c r="AC29">
        <f t="shared" si="4"/>
        <v>0</v>
      </c>
      <c r="AE29">
        <f>VLOOKUP(A29,'Employee Engagement Survey'!A86:B1555,2,FALSE)</f>
        <v>1</v>
      </c>
      <c r="AF29">
        <f>VLOOKUP(A29,'Employee Engagement Survey'!A86:C1555,3,FALSE)</f>
        <v>3</v>
      </c>
      <c r="AG29">
        <f>VLOOKUP(A29,'Employee Engagement Survey'!A86:D1555,4,FALSE)</f>
        <v>2</v>
      </c>
      <c r="AH29">
        <f>VLOOKUP(A29,'Employee Engagement Survey'!A86:E1555,5,FALSE)</f>
        <v>3</v>
      </c>
      <c r="AI29">
        <f t="shared" si="2"/>
        <v>2.25</v>
      </c>
    </row>
    <row r="30" spans="1:35" hidden="1" x14ac:dyDescent="0.4">
      <c r="A30">
        <v>1818</v>
      </c>
      <c r="B30" t="s">
        <v>26</v>
      </c>
      <c r="C30">
        <f t="shared" si="0"/>
        <v>0</v>
      </c>
      <c r="D30" t="s">
        <v>104</v>
      </c>
      <c r="E30">
        <f t="shared" si="1"/>
        <v>0</v>
      </c>
      <c r="F30" t="s">
        <v>59</v>
      </c>
      <c r="G30">
        <v>3</v>
      </c>
      <c r="H30" s="1">
        <v>49776</v>
      </c>
      <c r="I30" s="10">
        <v>0.11</v>
      </c>
      <c r="J30">
        <v>37.5</v>
      </c>
      <c r="K30" t="s">
        <v>26</v>
      </c>
      <c r="L30">
        <v>26</v>
      </c>
      <c r="M30" t="s">
        <v>47</v>
      </c>
      <c r="N30" t="s">
        <v>42</v>
      </c>
      <c r="O30" t="s">
        <v>31</v>
      </c>
      <c r="P30">
        <v>20</v>
      </c>
      <c r="Q30" t="s">
        <v>36</v>
      </c>
      <c r="R30" t="s">
        <v>33</v>
      </c>
      <c r="S30">
        <v>3</v>
      </c>
      <c r="T30">
        <v>0</v>
      </c>
      <c r="U30">
        <v>6</v>
      </c>
      <c r="V30">
        <v>3</v>
      </c>
      <c r="W30">
        <v>5</v>
      </c>
      <c r="X30">
        <v>1</v>
      </c>
      <c r="Y30">
        <v>1</v>
      </c>
      <c r="Z30">
        <v>4</v>
      </c>
      <c r="AA30" t="str">
        <f t="shared" si="3"/>
        <v>Mid Tenure</v>
      </c>
      <c r="AC30">
        <f t="shared" si="4"/>
        <v>0</v>
      </c>
      <c r="AE30">
        <f>VLOOKUP(A30,'Employee Engagement Survey'!A93:B1562,2,FALSE)</f>
        <v>4</v>
      </c>
      <c r="AF30">
        <f>VLOOKUP(A30,'Employee Engagement Survey'!A93:C1562,3,FALSE)</f>
        <v>2</v>
      </c>
      <c r="AG30">
        <f>VLOOKUP(A30,'Employee Engagement Survey'!A93:D1562,4,FALSE)</f>
        <v>3</v>
      </c>
      <c r="AH30">
        <f>VLOOKUP(A30,'Employee Engagement Survey'!A93:E1562,5,FALSE)</f>
        <v>3</v>
      </c>
      <c r="AI30">
        <f t="shared" si="2"/>
        <v>3</v>
      </c>
    </row>
    <row r="31" spans="1:35" hidden="1" x14ac:dyDescent="0.4">
      <c r="A31">
        <v>478</v>
      </c>
      <c r="B31" t="s">
        <v>26</v>
      </c>
      <c r="C31">
        <f t="shared" si="0"/>
        <v>0</v>
      </c>
      <c r="D31" t="s">
        <v>39</v>
      </c>
      <c r="E31">
        <f t="shared" si="1"/>
        <v>0</v>
      </c>
      <c r="F31" t="s">
        <v>40</v>
      </c>
      <c r="G31">
        <v>4</v>
      </c>
      <c r="H31" s="1">
        <v>50088</v>
      </c>
      <c r="I31" s="10">
        <v>0.11</v>
      </c>
      <c r="J31">
        <v>37.5</v>
      </c>
      <c r="K31" t="s">
        <v>26</v>
      </c>
      <c r="L31">
        <v>21</v>
      </c>
      <c r="M31" t="s">
        <v>47</v>
      </c>
      <c r="N31" t="s">
        <v>30</v>
      </c>
      <c r="O31" t="s">
        <v>44</v>
      </c>
      <c r="P31">
        <v>1</v>
      </c>
      <c r="Q31" t="s">
        <v>32</v>
      </c>
      <c r="R31" t="s">
        <v>45</v>
      </c>
      <c r="S31">
        <v>3</v>
      </c>
      <c r="T31">
        <v>0</v>
      </c>
      <c r="U31">
        <v>3</v>
      </c>
      <c r="V31">
        <v>3</v>
      </c>
      <c r="W31">
        <v>3</v>
      </c>
      <c r="X31">
        <v>2</v>
      </c>
      <c r="Y31">
        <v>1</v>
      </c>
      <c r="Z31">
        <v>2</v>
      </c>
      <c r="AA31" t="str">
        <f t="shared" si="3"/>
        <v>Mid Tenure</v>
      </c>
      <c r="AC31">
        <f t="shared" si="4"/>
        <v>0</v>
      </c>
      <c r="AE31">
        <f>VLOOKUP(A31,'Employee Engagement Survey'!A99:B1568,2,FALSE)</f>
        <v>1</v>
      </c>
      <c r="AF31">
        <f>VLOOKUP(A31,'Employee Engagement Survey'!A99:C1568,3,FALSE)</f>
        <v>2</v>
      </c>
      <c r="AG31">
        <f>VLOOKUP(A31,'Employee Engagement Survey'!A99:D1568,4,FALSE)</f>
        <v>3</v>
      </c>
      <c r="AH31">
        <f>VLOOKUP(A31,'Employee Engagement Survey'!A99:E1568,5,FALSE)</f>
        <v>3</v>
      </c>
      <c r="AI31">
        <f t="shared" si="2"/>
        <v>2.25</v>
      </c>
    </row>
    <row r="32" spans="1:35" hidden="1" x14ac:dyDescent="0.4">
      <c r="A32">
        <v>1747</v>
      </c>
      <c r="B32" t="s">
        <v>26</v>
      </c>
      <c r="C32">
        <f t="shared" si="0"/>
        <v>0</v>
      </c>
      <c r="D32" t="s">
        <v>106</v>
      </c>
      <c r="E32">
        <f t="shared" si="1"/>
        <v>0</v>
      </c>
      <c r="F32" t="s">
        <v>59</v>
      </c>
      <c r="G32">
        <v>4</v>
      </c>
      <c r="H32" s="1">
        <v>50160</v>
      </c>
      <c r="I32" s="10">
        <v>0.11</v>
      </c>
      <c r="J32">
        <v>37.5</v>
      </c>
      <c r="K32" t="s">
        <v>34</v>
      </c>
      <c r="L32">
        <v>30</v>
      </c>
      <c r="M32" t="s">
        <v>47</v>
      </c>
      <c r="N32" t="s">
        <v>48</v>
      </c>
      <c r="O32" t="s">
        <v>44</v>
      </c>
      <c r="P32">
        <v>8</v>
      </c>
      <c r="Q32" t="s">
        <v>43</v>
      </c>
      <c r="R32" t="s">
        <v>59</v>
      </c>
      <c r="S32">
        <v>3</v>
      </c>
      <c r="T32">
        <v>1</v>
      </c>
      <c r="U32">
        <v>6</v>
      </c>
      <c r="V32">
        <v>0</v>
      </c>
      <c r="W32">
        <v>4</v>
      </c>
      <c r="X32">
        <v>2</v>
      </c>
      <c r="Y32">
        <v>1</v>
      </c>
      <c r="Z32">
        <v>2</v>
      </c>
      <c r="AA32" t="str">
        <f t="shared" si="3"/>
        <v>Mid Tenure</v>
      </c>
      <c r="AC32">
        <f t="shared" si="4"/>
        <v>0</v>
      </c>
      <c r="AE32">
        <f>VLOOKUP(A32,'Employee Engagement Survey'!A103:B1572,2,FALSE)</f>
        <v>3</v>
      </c>
      <c r="AF32">
        <f>VLOOKUP(A32,'Employee Engagement Survey'!A103:C1572,3,FALSE)</f>
        <v>4</v>
      </c>
      <c r="AG32">
        <f>VLOOKUP(A32,'Employee Engagement Survey'!A103:D1572,4,FALSE)</f>
        <v>3</v>
      </c>
      <c r="AH32">
        <f>VLOOKUP(A32,'Employee Engagement Survey'!A103:E1572,5,FALSE)</f>
        <v>2</v>
      </c>
      <c r="AI32">
        <f t="shared" si="2"/>
        <v>3</v>
      </c>
    </row>
    <row r="33" spans="1:35" hidden="1" x14ac:dyDescent="0.4">
      <c r="A33">
        <v>118</v>
      </c>
      <c r="B33" t="s">
        <v>26</v>
      </c>
      <c r="C33">
        <f t="shared" si="0"/>
        <v>0</v>
      </c>
      <c r="D33" t="s">
        <v>57</v>
      </c>
      <c r="E33">
        <f t="shared" si="1"/>
        <v>0</v>
      </c>
      <c r="F33" t="s">
        <v>40</v>
      </c>
      <c r="G33">
        <v>9</v>
      </c>
      <c r="H33" s="1">
        <v>127428</v>
      </c>
      <c r="I33" s="10">
        <v>0.16</v>
      </c>
      <c r="J33">
        <v>37.5</v>
      </c>
      <c r="K33" t="s">
        <v>34</v>
      </c>
      <c r="L33">
        <v>46</v>
      </c>
      <c r="M33" t="s">
        <v>29</v>
      </c>
      <c r="N33" t="s">
        <v>30</v>
      </c>
      <c r="O33" t="s">
        <v>31</v>
      </c>
      <c r="P33">
        <v>9</v>
      </c>
      <c r="Q33" t="s">
        <v>36</v>
      </c>
      <c r="R33" t="s">
        <v>33</v>
      </c>
      <c r="S33">
        <v>3</v>
      </c>
      <c r="T33">
        <v>0</v>
      </c>
      <c r="U33">
        <v>9</v>
      </c>
      <c r="V33">
        <v>3</v>
      </c>
      <c r="W33">
        <v>9</v>
      </c>
      <c r="X33">
        <v>8</v>
      </c>
      <c r="Y33">
        <v>4</v>
      </c>
      <c r="Z33">
        <v>7</v>
      </c>
      <c r="AA33" t="str">
        <f t="shared" si="3"/>
        <v>Mid Tenure</v>
      </c>
      <c r="AC33">
        <f t="shared" si="4"/>
        <v>0</v>
      </c>
      <c r="AE33">
        <f>VLOOKUP(A33,'Employee Engagement Survey'!A109:B1578,2,FALSE)</f>
        <v>3</v>
      </c>
      <c r="AF33">
        <f>VLOOKUP(A33,'Employee Engagement Survey'!A109:C1578,3,FALSE)</f>
        <v>4</v>
      </c>
      <c r="AG33">
        <f>VLOOKUP(A33,'Employee Engagement Survey'!A109:D1578,4,FALSE)</f>
        <v>4</v>
      </c>
      <c r="AH33">
        <f>VLOOKUP(A33,'Employee Engagement Survey'!A109:E1578,5,FALSE)</f>
        <v>3</v>
      </c>
      <c r="AI33">
        <f t="shared" si="2"/>
        <v>3.5</v>
      </c>
    </row>
    <row r="34" spans="1:35" hidden="1" x14ac:dyDescent="0.4">
      <c r="A34">
        <v>1219</v>
      </c>
      <c r="B34" t="s">
        <v>26</v>
      </c>
      <c r="C34">
        <f t="shared" ref="C34:C65" si="5">IF(B34="No",1,0)</f>
        <v>0</v>
      </c>
      <c r="D34" t="s">
        <v>46</v>
      </c>
      <c r="E34">
        <f t="shared" si="1"/>
        <v>0</v>
      </c>
      <c r="F34" t="s">
        <v>28</v>
      </c>
      <c r="G34">
        <v>4</v>
      </c>
      <c r="H34" s="1">
        <v>50520</v>
      </c>
      <c r="I34" s="10">
        <v>0.13</v>
      </c>
      <c r="J34">
        <v>37.5</v>
      </c>
      <c r="K34" t="s">
        <v>34</v>
      </c>
      <c r="L34">
        <v>24</v>
      </c>
      <c r="M34" t="s">
        <v>47</v>
      </c>
      <c r="N34" t="s">
        <v>42</v>
      </c>
      <c r="O34" t="s">
        <v>31</v>
      </c>
      <c r="P34">
        <v>17</v>
      </c>
      <c r="Q34" t="s">
        <v>36</v>
      </c>
      <c r="R34" t="s">
        <v>37</v>
      </c>
      <c r="S34">
        <v>3</v>
      </c>
      <c r="T34">
        <v>1</v>
      </c>
      <c r="U34">
        <v>1</v>
      </c>
      <c r="V34">
        <v>3</v>
      </c>
      <c r="W34">
        <v>1</v>
      </c>
      <c r="X34">
        <v>0</v>
      </c>
      <c r="Y34">
        <v>0</v>
      </c>
      <c r="Z34">
        <v>0</v>
      </c>
      <c r="AA34" t="str">
        <f t="shared" si="3"/>
        <v>Early Tenure</v>
      </c>
      <c r="AC34">
        <f t="shared" si="4"/>
        <v>0</v>
      </c>
      <c r="AE34">
        <f>VLOOKUP(A34,'Employee Engagement Survey'!A110:B1579,2,FALSE)</f>
        <v>4</v>
      </c>
      <c r="AF34">
        <f>VLOOKUP(A34,'Employee Engagement Survey'!A110:C1579,3,FALSE)</f>
        <v>2</v>
      </c>
      <c r="AG34">
        <f>VLOOKUP(A34,'Employee Engagement Survey'!A110:D1579,4,FALSE)</f>
        <v>1</v>
      </c>
      <c r="AH34">
        <f>VLOOKUP(A34,'Employee Engagement Survey'!A110:E1579,5,FALSE)</f>
        <v>1</v>
      </c>
      <c r="AI34">
        <f t="shared" si="2"/>
        <v>2</v>
      </c>
    </row>
    <row r="35" spans="1:35" hidden="1" x14ac:dyDescent="0.4">
      <c r="A35">
        <v>741</v>
      </c>
      <c r="B35" t="s">
        <v>26</v>
      </c>
      <c r="C35">
        <f t="shared" si="5"/>
        <v>0</v>
      </c>
      <c r="D35" t="s">
        <v>27</v>
      </c>
      <c r="E35">
        <f t="shared" si="1"/>
        <v>0</v>
      </c>
      <c r="F35" t="s">
        <v>28</v>
      </c>
      <c r="G35">
        <v>4</v>
      </c>
      <c r="H35" s="1">
        <v>50592</v>
      </c>
      <c r="I35" s="10">
        <v>0.13</v>
      </c>
      <c r="J35">
        <v>37.5</v>
      </c>
      <c r="K35" t="s">
        <v>26</v>
      </c>
      <c r="L35">
        <v>28</v>
      </c>
      <c r="M35" t="s">
        <v>47</v>
      </c>
      <c r="N35" t="s">
        <v>30</v>
      </c>
      <c r="O35" t="s">
        <v>31</v>
      </c>
      <c r="P35">
        <v>1</v>
      </c>
      <c r="Q35" t="s">
        <v>36</v>
      </c>
      <c r="R35" t="s">
        <v>37</v>
      </c>
      <c r="S35">
        <v>3</v>
      </c>
      <c r="T35">
        <v>0</v>
      </c>
      <c r="U35">
        <v>10</v>
      </c>
      <c r="V35">
        <v>4</v>
      </c>
      <c r="W35">
        <v>7</v>
      </c>
      <c r="X35">
        <v>7</v>
      </c>
      <c r="Y35">
        <v>3</v>
      </c>
      <c r="Z35">
        <v>7</v>
      </c>
      <c r="AA35" t="str">
        <f t="shared" si="3"/>
        <v>Mid Tenure</v>
      </c>
      <c r="AC35">
        <f t="shared" si="4"/>
        <v>0</v>
      </c>
      <c r="AE35">
        <f>VLOOKUP(A35,'Employee Engagement Survey'!A112:B1581,2,FALSE)</f>
        <v>1</v>
      </c>
      <c r="AF35">
        <f>VLOOKUP(A35,'Employee Engagement Survey'!A112:C1581,3,FALSE)</f>
        <v>2</v>
      </c>
      <c r="AG35">
        <f>VLOOKUP(A35,'Employee Engagement Survey'!A112:D1581,4,FALSE)</f>
        <v>4</v>
      </c>
      <c r="AH35">
        <f>VLOOKUP(A35,'Employee Engagement Survey'!A112:E1581,5,FALSE)</f>
        <v>3</v>
      </c>
      <c r="AI35">
        <f t="shared" si="2"/>
        <v>2.5</v>
      </c>
    </row>
    <row r="36" spans="1:35" hidden="1" x14ac:dyDescent="0.4">
      <c r="A36">
        <v>133</v>
      </c>
      <c r="B36" t="s">
        <v>26</v>
      </c>
      <c r="C36">
        <f t="shared" si="5"/>
        <v>0</v>
      </c>
      <c r="D36" t="s">
        <v>105</v>
      </c>
      <c r="E36">
        <f t="shared" si="1"/>
        <v>0</v>
      </c>
      <c r="F36" t="s">
        <v>59</v>
      </c>
      <c r="G36">
        <v>3</v>
      </c>
      <c r="H36" s="1">
        <v>48876</v>
      </c>
      <c r="I36" s="10">
        <v>0.22</v>
      </c>
      <c r="J36">
        <v>37.5</v>
      </c>
      <c r="K36" t="s">
        <v>26</v>
      </c>
      <c r="L36">
        <v>37</v>
      </c>
      <c r="M36" t="s">
        <v>29</v>
      </c>
      <c r="N36" t="s">
        <v>48</v>
      </c>
      <c r="O36" t="s">
        <v>31</v>
      </c>
      <c r="P36">
        <v>6</v>
      </c>
      <c r="Q36" t="s">
        <v>51</v>
      </c>
      <c r="R36" t="s">
        <v>59</v>
      </c>
      <c r="S36">
        <v>4</v>
      </c>
      <c r="T36">
        <v>0</v>
      </c>
      <c r="U36">
        <v>7</v>
      </c>
      <c r="V36">
        <v>3</v>
      </c>
      <c r="W36">
        <v>3</v>
      </c>
      <c r="X36">
        <v>2</v>
      </c>
      <c r="Y36">
        <v>0</v>
      </c>
      <c r="Z36">
        <v>2</v>
      </c>
      <c r="AA36" t="str">
        <f t="shared" si="3"/>
        <v>Mid Tenure</v>
      </c>
      <c r="AC36">
        <f t="shared" si="4"/>
        <v>0</v>
      </c>
      <c r="AE36">
        <f>VLOOKUP(A36,'Employee Engagement Survey'!A124:B1593,2,FALSE)</f>
        <v>3</v>
      </c>
      <c r="AF36">
        <f>VLOOKUP(A36,'Employee Engagement Survey'!A124:C1593,3,FALSE)</f>
        <v>1</v>
      </c>
      <c r="AG36">
        <f>VLOOKUP(A36,'Employee Engagement Survey'!A124:D1593,4,FALSE)</f>
        <v>4</v>
      </c>
      <c r="AH36">
        <f>VLOOKUP(A36,'Employee Engagement Survey'!A124:E1593,5,FALSE)</f>
        <v>3</v>
      </c>
      <c r="AI36">
        <f t="shared" si="2"/>
        <v>2.75</v>
      </c>
    </row>
    <row r="37" spans="1:35" hidden="1" x14ac:dyDescent="0.4">
      <c r="A37">
        <v>142</v>
      </c>
      <c r="B37" t="s">
        <v>26</v>
      </c>
      <c r="C37">
        <f t="shared" si="5"/>
        <v>0</v>
      </c>
      <c r="D37" t="s">
        <v>57</v>
      </c>
      <c r="E37">
        <f t="shared" si="1"/>
        <v>0</v>
      </c>
      <c r="F37" t="s">
        <v>40</v>
      </c>
      <c r="G37">
        <v>7</v>
      </c>
      <c r="H37" s="1">
        <v>80928</v>
      </c>
      <c r="I37" s="10">
        <v>0.11</v>
      </c>
      <c r="J37">
        <v>37.5</v>
      </c>
      <c r="K37" t="s">
        <v>26</v>
      </c>
      <c r="L37">
        <v>25</v>
      </c>
      <c r="M37" t="s">
        <v>29</v>
      </c>
      <c r="N37" t="s">
        <v>30</v>
      </c>
      <c r="O37" t="s">
        <v>31</v>
      </c>
      <c r="P37">
        <v>5</v>
      </c>
      <c r="Q37" t="s">
        <v>43</v>
      </c>
      <c r="R37" t="s">
        <v>56</v>
      </c>
      <c r="S37">
        <v>3</v>
      </c>
      <c r="T37">
        <v>0</v>
      </c>
      <c r="U37">
        <v>6</v>
      </c>
      <c r="V37">
        <v>1</v>
      </c>
      <c r="W37">
        <v>6</v>
      </c>
      <c r="X37">
        <v>4</v>
      </c>
      <c r="Y37">
        <v>0</v>
      </c>
      <c r="Z37">
        <v>3</v>
      </c>
      <c r="AA37" t="str">
        <f t="shared" si="3"/>
        <v>Mid Tenure</v>
      </c>
      <c r="AC37">
        <f t="shared" si="4"/>
        <v>0</v>
      </c>
      <c r="AE37">
        <f>VLOOKUP(A37,'Employee Engagement Survey'!A128:B1597,2,FALSE)</f>
        <v>3</v>
      </c>
      <c r="AF37">
        <f>VLOOKUP(A37,'Employee Engagement Survey'!A128:C1597,3,FALSE)</f>
        <v>3</v>
      </c>
      <c r="AG37">
        <f>VLOOKUP(A37,'Employee Engagement Survey'!A128:D1597,4,FALSE)</f>
        <v>4</v>
      </c>
      <c r="AH37">
        <f>VLOOKUP(A37,'Employee Engagement Survey'!A128:E1597,5,FALSE)</f>
        <v>3</v>
      </c>
      <c r="AI37">
        <f t="shared" si="2"/>
        <v>3.25</v>
      </c>
    </row>
    <row r="38" spans="1:35" hidden="1" x14ac:dyDescent="0.4">
      <c r="A38">
        <v>147</v>
      </c>
      <c r="B38" t="s">
        <v>26</v>
      </c>
      <c r="C38">
        <f t="shared" si="5"/>
        <v>0</v>
      </c>
      <c r="D38" t="s">
        <v>46</v>
      </c>
      <c r="E38">
        <f t="shared" si="1"/>
        <v>0</v>
      </c>
      <c r="F38" t="s">
        <v>28</v>
      </c>
      <c r="G38">
        <v>7</v>
      </c>
      <c r="H38" s="1">
        <v>84888</v>
      </c>
      <c r="I38" s="10">
        <v>0.24</v>
      </c>
      <c r="J38">
        <v>37.5</v>
      </c>
      <c r="K38" t="s">
        <v>26</v>
      </c>
      <c r="L38">
        <v>34</v>
      </c>
      <c r="M38" t="s">
        <v>29</v>
      </c>
      <c r="N38" t="s">
        <v>30</v>
      </c>
      <c r="O38" t="s">
        <v>44</v>
      </c>
      <c r="P38">
        <v>7</v>
      </c>
      <c r="Q38" t="s">
        <v>43</v>
      </c>
      <c r="R38" t="s">
        <v>37</v>
      </c>
      <c r="S38">
        <v>4</v>
      </c>
      <c r="T38">
        <v>0</v>
      </c>
      <c r="U38">
        <v>9</v>
      </c>
      <c r="V38">
        <v>3</v>
      </c>
      <c r="W38">
        <v>9</v>
      </c>
      <c r="X38">
        <v>7</v>
      </c>
      <c r="Y38">
        <v>0</v>
      </c>
      <c r="Z38">
        <v>6</v>
      </c>
      <c r="AA38" t="str">
        <f t="shared" si="3"/>
        <v>Mid Tenure</v>
      </c>
      <c r="AC38">
        <f t="shared" si="4"/>
        <v>0</v>
      </c>
      <c r="AE38">
        <f>VLOOKUP(A38,'Employee Engagement Survey'!A131:B1600,2,FALSE)</f>
        <v>1</v>
      </c>
      <c r="AF38">
        <f>VLOOKUP(A38,'Employee Engagement Survey'!A131:C1600,3,FALSE)</f>
        <v>3</v>
      </c>
      <c r="AG38">
        <f>VLOOKUP(A38,'Employee Engagement Survey'!A131:D1600,4,FALSE)</f>
        <v>4</v>
      </c>
      <c r="AH38">
        <f>VLOOKUP(A38,'Employee Engagement Survey'!A131:E1600,5,FALSE)</f>
        <v>3</v>
      </c>
      <c r="AI38">
        <f t="shared" si="2"/>
        <v>2.75</v>
      </c>
    </row>
    <row r="39" spans="1:35" hidden="1" x14ac:dyDescent="0.4">
      <c r="A39">
        <v>163</v>
      </c>
      <c r="B39" t="s">
        <v>26</v>
      </c>
      <c r="C39">
        <f t="shared" si="5"/>
        <v>0</v>
      </c>
      <c r="D39" t="s">
        <v>57</v>
      </c>
      <c r="E39">
        <f t="shared" si="1"/>
        <v>0</v>
      </c>
      <c r="F39" t="s">
        <v>40</v>
      </c>
      <c r="G39">
        <v>8</v>
      </c>
      <c r="H39" s="1">
        <v>86064</v>
      </c>
      <c r="I39" s="10">
        <v>0.18</v>
      </c>
      <c r="J39">
        <v>37.5</v>
      </c>
      <c r="K39" t="s">
        <v>26</v>
      </c>
      <c r="L39">
        <v>31</v>
      </c>
      <c r="M39" t="s">
        <v>29</v>
      </c>
      <c r="N39" t="s">
        <v>42</v>
      </c>
      <c r="O39" t="s">
        <v>31</v>
      </c>
      <c r="P39">
        <v>6</v>
      </c>
      <c r="Q39" t="s">
        <v>51</v>
      </c>
      <c r="R39" t="s">
        <v>37</v>
      </c>
      <c r="S39">
        <v>3</v>
      </c>
      <c r="T39">
        <v>0</v>
      </c>
      <c r="U39">
        <v>12</v>
      </c>
      <c r="V39">
        <v>3</v>
      </c>
      <c r="W39">
        <v>7</v>
      </c>
      <c r="X39">
        <v>7</v>
      </c>
      <c r="Y39">
        <v>7</v>
      </c>
      <c r="Z39">
        <v>7</v>
      </c>
      <c r="AA39" t="str">
        <f t="shared" si="3"/>
        <v>Mid Tenure</v>
      </c>
      <c r="AC39">
        <f t="shared" si="4"/>
        <v>0</v>
      </c>
      <c r="AE39">
        <f>VLOOKUP(A39,'Employee Engagement Survey'!A140:B1609,2,FALSE)</f>
        <v>2</v>
      </c>
      <c r="AF39">
        <f>VLOOKUP(A39,'Employee Engagement Survey'!A140:C1609,3,FALSE)</f>
        <v>3</v>
      </c>
      <c r="AG39">
        <f>VLOOKUP(A39,'Employee Engagement Survey'!A140:D1609,4,FALSE)</f>
        <v>2</v>
      </c>
      <c r="AH39">
        <f>VLOOKUP(A39,'Employee Engagement Survey'!A140:E1609,5,FALSE)</f>
        <v>2</v>
      </c>
      <c r="AI39">
        <f t="shared" si="2"/>
        <v>2.25</v>
      </c>
    </row>
    <row r="40" spans="1:35" hidden="1" x14ac:dyDescent="0.4">
      <c r="A40">
        <v>1331</v>
      </c>
      <c r="B40" t="s">
        <v>26</v>
      </c>
      <c r="C40">
        <f t="shared" si="5"/>
        <v>0</v>
      </c>
      <c r="D40" t="s">
        <v>39</v>
      </c>
      <c r="E40">
        <f t="shared" si="1"/>
        <v>0</v>
      </c>
      <c r="F40" t="s">
        <v>40</v>
      </c>
      <c r="G40">
        <v>4</v>
      </c>
      <c r="H40" s="1">
        <v>51624</v>
      </c>
      <c r="I40" s="10">
        <v>0.11</v>
      </c>
      <c r="J40">
        <v>37.5</v>
      </c>
      <c r="K40" t="s">
        <v>26</v>
      </c>
      <c r="L40">
        <v>31</v>
      </c>
      <c r="M40" t="s">
        <v>41</v>
      </c>
      <c r="N40" t="s">
        <v>30</v>
      </c>
      <c r="O40" t="s">
        <v>44</v>
      </c>
      <c r="P40">
        <v>1</v>
      </c>
      <c r="Q40" t="s">
        <v>43</v>
      </c>
      <c r="R40" t="s">
        <v>37</v>
      </c>
      <c r="S40">
        <v>3</v>
      </c>
      <c r="T40">
        <v>0</v>
      </c>
      <c r="U40">
        <v>3</v>
      </c>
      <c r="V40">
        <v>2</v>
      </c>
      <c r="W40">
        <v>3</v>
      </c>
      <c r="X40">
        <v>2</v>
      </c>
      <c r="Y40">
        <v>2</v>
      </c>
      <c r="Z40">
        <v>2</v>
      </c>
      <c r="AA40" t="str">
        <f t="shared" si="3"/>
        <v>Mid Tenure</v>
      </c>
      <c r="AC40">
        <f t="shared" si="4"/>
        <v>0</v>
      </c>
      <c r="AE40">
        <f>VLOOKUP(A40,'Employee Engagement Survey'!A141:B1610,2,FALSE)</f>
        <v>4</v>
      </c>
      <c r="AF40">
        <f>VLOOKUP(A40,'Employee Engagement Survey'!A141:C1610,3,FALSE)</f>
        <v>2</v>
      </c>
      <c r="AG40">
        <f>VLOOKUP(A40,'Employee Engagement Survey'!A141:D1610,4,FALSE)</f>
        <v>1</v>
      </c>
      <c r="AH40">
        <f>VLOOKUP(A40,'Employee Engagement Survey'!A141:E1610,5,FALSE)</f>
        <v>4</v>
      </c>
      <c r="AI40">
        <f t="shared" si="2"/>
        <v>2.75</v>
      </c>
    </row>
    <row r="41" spans="1:35" hidden="1" x14ac:dyDescent="0.4">
      <c r="A41">
        <v>167</v>
      </c>
      <c r="B41" t="s">
        <v>26</v>
      </c>
      <c r="C41">
        <f t="shared" si="5"/>
        <v>0</v>
      </c>
      <c r="D41" t="s">
        <v>39</v>
      </c>
      <c r="E41">
        <f t="shared" si="1"/>
        <v>0</v>
      </c>
      <c r="F41" t="s">
        <v>40</v>
      </c>
      <c r="G41">
        <v>2</v>
      </c>
      <c r="H41" s="1">
        <v>44100</v>
      </c>
      <c r="I41" s="10">
        <v>0.19</v>
      </c>
      <c r="J41">
        <v>37.5</v>
      </c>
      <c r="K41" t="s">
        <v>26</v>
      </c>
      <c r="L41">
        <v>19</v>
      </c>
      <c r="M41" t="s">
        <v>29</v>
      </c>
      <c r="N41" t="s">
        <v>30</v>
      </c>
      <c r="O41" t="s">
        <v>31</v>
      </c>
      <c r="P41">
        <v>22</v>
      </c>
      <c r="Q41" t="s">
        <v>32</v>
      </c>
      <c r="R41" t="s">
        <v>56</v>
      </c>
      <c r="S41">
        <v>3</v>
      </c>
      <c r="T41">
        <v>0</v>
      </c>
      <c r="U41">
        <v>0</v>
      </c>
      <c r="V41">
        <v>2</v>
      </c>
      <c r="W41">
        <v>0</v>
      </c>
      <c r="X41">
        <v>0</v>
      </c>
      <c r="Y41">
        <v>0</v>
      </c>
      <c r="Z41">
        <v>0</v>
      </c>
      <c r="AA41" t="str">
        <f t="shared" si="3"/>
        <v>Early Tenure</v>
      </c>
      <c r="AC41">
        <f t="shared" si="4"/>
        <v>0</v>
      </c>
      <c r="AE41">
        <f>VLOOKUP(A41,'Employee Engagement Survey'!A142:B1611,2,FALSE)</f>
        <v>4</v>
      </c>
      <c r="AF41">
        <f>VLOOKUP(A41,'Employee Engagement Survey'!A142:C1611,3,FALSE)</f>
        <v>3</v>
      </c>
      <c r="AG41">
        <f>VLOOKUP(A41,'Employee Engagement Survey'!A142:D1611,4,FALSE)</f>
        <v>4</v>
      </c>
      <c r="AH41">
        <f>VLOOKUP(A41,'Employee Engagement Survey'!A142:E1611,5,FALSE)</f>
        <v>2</v>
      </c>
      <c r="AI41">
        <f t="shared" si="2"/>
        <v>3.25</v>
      </c>
    </row>
    <row r="42" spans="1:35" hidden="1" x14ac:dyDescent="0.4">
      <c r="A42">
        <v>179</v>
      </c>
      <c r="B42" t="s">
        <v>26</v>
      </c>
      <c r="C42">
        <f t="shared" si="5"/>
        <v>0</v>
      </c>
      <c r="D42" t="s">
        <v>54</v>
      </c>
      <c r="E42">
        <f t="shared" si="1"/>
        <v>1</v>
      </c>
      <c r="F42" t="s">
        <v>28</v>
      </c>
      <c r="G42">
        <v>9</v>
      </c>
      <c r="H42" s="1">
        <v>139800</v>
      </c>
      <c r="I42" s="10">
        <v>0.15</v>
      </c>
      <c r="J42">
        <v>37.5</v>
      </c>
      <c r="K42" t="s">
        <v>34</v>
      </c>
      <c r="L42">
        <v>51</v>
      </c>
      <c r="M42" t="s">
        <v>29</v>
      </c>
      <c r="N42" t="s">
        <v>30</v>
      </c>
      <c r="O42" t="s">
        <v>44</v>
      </c>
      <c r="P42">
        <v>8</v>
      </c>
      <c r="Q42" t="s">
        <v>51</v>
      </c>
      <c r="R42" t="s">
        <v>37</v>
      </c>
      <c r="S42">
        <v>3</v>
      </c>
      <c r="T42">
        <v>0</v>
      </c>
      <c r="U42">
        <v>18</v>
      </c>
      <c r="V42">
        <v>2</v>
      </c>
      <c r="W42">
        <v>4</v>
      </c>
      <c r="X42">
        <v>2</v>
      </c>
      <c r="Y42">
        <v>0</v>
      </c>
      <c r="Z42">
        <v>3</v>
      </c>
      <c r="AA42" t="str">
        <f t="shared" si="3"/>
        <v>Mid Tenure</v>
      </c>
      <c r="AC42">
        <f t="shared" si="4"/>
        <v>0</v>
      </c>
      <c r="AE42">
        <f>VLOOKUP(A42,'Employee Engagement Survey'!A147:B1616,2,FALSE)</f>
        <v>1</v>
      </c>
      <c r="AF42">
        <f>VLOOKUP(A42,'Employee Engagement Survey'!A147:C1616,3,FALSE)</f>
        <v>4</v>
      </c>
      <c r="AG42">
        <f>VLOOKUP(A42,'Employee Engagement Survey'!A147:D1616,4,FALSE)</f>
        <v>4</v>
      </c>
      <c r="AH42">
        <f>VLOOKUP(A42,'Employee Engagement Survey'!A147:E1616,5,FALSE)</f>
        <v>3</v>
      </c>
      <c r="AI42">
        <f t="shared" si="2"/>
        <v>3</v>
      </c>
    </row>
    <row r="43" spans="1:35" hidden="1" x14ac:dyDescent="0.4">
      <c r="A43">
        <v>816</v>
      </c>
      <c r="B43" t="s">
        <v>26</v>
      </c>
      <c r="C43">
        <f t="shared" si="5"/>
        <v>0</v>
      </c>
      <c r="D43" t="s">
        <v>46</v>
      </c>
      <c r="E43">
        <f t="shared" si="1"/>
        <v>0</v>
      </c>
      <c r="F43" t="s">
        <v>28</v>
      </c>
      <c r="G43">
        <v>4</v>
      </c>
      <c r="H43" s="1">
        <v>51828</v>
      </c>
      <c r="I43" s="10">
        <v>0.11</v>
      </c>
      <c r="J43">
        <v>37.5</v>
      </c>
      <c r="K43" t="s">
        <v>26</v>
      </c>
      <c r="L43">
        <v>29</v>
      </c>
      <c r="M43" t="s">
        <v>41</v>
      </c>
      <c r="N43" t="s">
        <v>42</v>
      </c>
      <c r="O43" t="s">
        <v>31</v>
      </c>
      <c r="P43">
        <v>1</v>
      </c>
      <c r="Q43" t="s">
        <v>36</v>
      </c>
      <c r="R43" t="s">
        <v>37</v>
      </c>
      <c r="S43">
        <v>3</v>
      </c>
      <c r="T43">
        <v>1</v>
      </c>
      <c r="U43">
        <v>1</v>
      </c>
      <c r="V43">
        <v>1</v>
      </c>
      <c r="W43">
        <v>1</v>
      </c>
      <c r="X43">
        <v>0</v>
      </c>
      <c r="Y43">
        <v>0</v>
      </c>
      <c r="Z43">
        <v>0</v>
      </c>
      <c r="AA43" t="str">
        <f t="shared" si="3"/>
        <v>Early Tenure</v>
      </c>
      <c r="AC43">
        <f t="shared" si="4"/>
        <v>0</v>
      </c>
      <c r="AE43">
        <f>VLOOKUP(A43,'Employee Engagement Survey'!A150:B1619,2,FALSE)</f>
        <v>2</v>
      </c>
      <c r="AF43">
        <f>VLOOKUP(A43,'Employee Engagement Survey'!A150:C1619,3,FALSE)</f>
        <v>1</v>
      </c>
      <c r="AG43">
        <f>VLOOKUP(A43,'Employee Engagement Survey'!A150:D1619,4,FALSE)</f>
        <v>4</v>
      </c>
      <c r="AH43">
        <f>VLOOKUP(A43,'Employee Engagement Survey'!A150:E1619,5,FALSE)</f>
        <v>3</v>
      </c>
      <c r="AI43">
        <f t="shared" si="2"/>
        <v>2.5</v>
      </c>
    </row>
    <row r="44" spans="1:35" hidden="1" x14ac:dyDescent="0.4">
      <c r="A44">
        <v>1077</v>
      </c>
      <c r="B44" t="s">
        <v>26</v>
      </c>
      <c r="C44">
        <f t="shared" si="5"/>
        <v>0</v>
      </c>
      <c r="D44" t="s">
        <v>39</v>
      </c>
      <c r="E44">
        <f t="shared" si="1"/>
        <v>0</v>
      </c>
      <c r="F44" t="s">
        <v>40</v>
      </c>
      <c r="G44">
        <v>4</v>
      </c>
      <c r="H44" s="1">
        <v>51876</v>
      </c>
      <c r="I44" s="10">
        <v>0.14000000000000001</v>
      </c>
      <c r="J44">
        <v>37.5</v>
      </c>
      <c r="K44" t="s">
        <v>26</v>
      </c>
      <c r="L44">
        <v>20</v>
      </c>
      <c r="M44" t="s">
        <v>41</v>
      </c>
      <c r="N44" t="s">
        <v>30</v>
      </c>
      <c r="O44" t="s">
        <v>44</v>
      </c>
      <c r="P44">
        <v>9</v>
      </c>
      <c r="Q44" t="s">
        <v>43</v>
      </c>
      <c r="R44" t="s">
        <v>56</v>
      </c>
      <c r="S44">
        <v>3</v>
      </c>
      <c r="T44">
        <v>0</v>
      </c>
      <c r="U44">
        <v>2</v>
      </c>
      <c r="V44">
        <v>3</v>
      </c>
      <c r="W44">
        <v>2</v>
      </c>
      <c r="X44">
        <v>2</v>
      </c>
      <c r="Y44">
        <v>0</v>
      </c>
      <c r="Z44">
        <v>2</v>
      </c>
      <c r="AA44" t="str">
        <f t="shared" si="3"/>
        <v>Early Tenure</v>
      </c>
      <c r="AC44">
        <f t="shared" si="4"/>
        <v>0</v>
      </c>
      <c r="AE44">
        <f>VLOOKUP(A44,'Employee Engagement Survey'!A154:B1623,2,FALSE)</f>
        <v>4</v>
      </c>
      <c r="AF44">
        <f>VLOOKUP(A44,'Employee Engagement Survey'!A154:C1623,3,FALSE)</f>
        <v>4</v>
      </c>
      <c r="AG44">
        <f>VLOOKUP(A44,'Employee Engagement Survey'!A154:D1623,4,FALSE)</f>
        <v>2</v>
      </c>
      <c r="AH44">
        <f>VLOOKUP(A44,'Employee Engagement Survey'!A154:E1623,5,FALSE)</f>
        <v>3</v>
      </c>
      <c r="AI44">
        <f t="shared" si="2"/>
        <v>3.25</v>
      </c>
    </row>
    <row r="45" spans="1:35" hidden="1" x14ac:dyDescent="0.4">
      <c r="A45">
        <v>235</v>
      </c>
      <c r="B45" t="s">
        <v>26</v>
      </c>
      <c r="C45">
        <f t="shared" si="5"/>
        <v>0</v>
      </c>
      <c r="D45" t="s">
        <v>39</v>
      </c>
      <c r="E45">
        <f t="shared" si="1"/>
        <v>0</v>
      </c>
      <c r="F45" t="s">
        <v>40</v>
      </c>
      <c r="G45">
        <v>4</v>
      </c>
      <c r="H45" s="1">
        <v>51900</v>
      </c>
      <c r="I45" s="10">
        <v>0.21</v>
      </c>
      <c r="J45">
        <v>37.5</v>
      </c>
      <c r="K45" t="s">
        <v>34</v>
      </c>
      <c r="L45">
        <v>19</v>
      </c>
      <c r="M45" t="s">
        <v>50</v>
      </c>
      <c r="N45" t="s">
        <v>30</v>
      </c>
      <c r="O45" t="s">
        <v>44</v>
      </c>
      <c r="P45">
        <v>1</v>
      </c>
      <c r="Q45" t="s">
        <v>32</v>
      </c>
      <c r="R45" t="s">
        <v>45</v>
      </c>
      <c r="S45">
        <v>4</v>
      </c>
      <c r="T45">
        <v>0</v>
      </c>
      <c r="U45">
        <v>1</v>
      </c>
      <c r="V45">
        <v>5</v>
      </c>
      <c r="W45">
        <v>0</v>
      </c>
      <c r="X45">
        <v>0</v>
      </c>
      <c r="Y45">
        <v>0</v>
      </c>
      <c r="Z45">
        <v>0</v>
      </c>
      <c r="AA45" t="str">
        <f t="shared" si="3"/>
        <v>Early Tenure</v>
      </c>
      <c r="AC45">
        <f t="shared" si="4"/>
        <v>0</v>
      </c>
      <c r="AE45">
        <f>VLOOKUP(A45,'Employee Engagement Survey'!A155:B1624,2,FALSE)</f>
        <v>3</v>
      </c>
      <c r="AF45">
        <f>VLOOKUP(A45,'Employee Engagement Survey'!A155:C1624,3,FALSE)</f>
        <v>1</v>
      </c>
      <c r="AG45">
        <f>VLOOKUP(A45,'Employee Engagement Survey'!A155:D1624,4,FALSE)</f>
        <v>1</v>
      </c>
      <c r="AH45">
        <f>VLOOKUP(A45,'Employee Engagement Survey'!A155:E1624,5,FALSE)</f>
        <v>4</v>
      </c>
      <c r="AI45">
        <f t="shared" si="2"/>
        <v>2.25</v>
      </c>
    </row>
    <row r="46" spans="1:35" hidden="1" x14ac:dyDescent="0.4">
      <c r="A46">
        <v>555</v>
      </c>
      <c r="B46" t="s">
        <v>26</v>
      </c>
      <c r="C46">
        <f t="shared" si="5"/>
        <v>0</v>
      </c>
      <c r="D46" t="s">
        <v>39</v>
      </c>
      <c r="E46">
        <f t="shared" si="1"/>
        <v>0</v>
      </c>
      <c r="F46" t="s">
        <v>40</v>
      </c>
      <c r="G46">
        <v>4</v>
      </c>
      <c r="H46" s="1">
        <v>52212</v>
      </c>
      <c r="I46" s="10">
        <v>0.16</v>
      </c>
      <c r="J46">
        <v>37.5</v>
      </c>
      <c r="K46" t="s">
        <v>34</v>
      </c>
      <c r="L46">
        <v>34</v>
      </c>
      <c r="M46" t="s">
        <v>50</v>
      </c>
      <c r="N46" t="s">
        <v>48</v>
      </c>
      <c r="O46" t="s">
        <v>44</v>
      </c>
      <c r="P46">
        <v>6</v>
      </c>
      <c r="Q46" t="s">
        <v>36</v>
      </c>
      <c r="R46" t="s">
        <v>56</v>
      </c>
      <c r="S46">
        <v>3</v>
      </c>
      <c r="T46">
        <v>1</v>
      </c>
      <c r="U46">
        <v>3</v>
      </c>
      <c r="V46">
        <v>3</v>
      </c>
      <c r="W46">
        <v>2</v>
      </c>
      <c r="X46">
        <v>2</v>
      </c>
      <c r="Y46">
        <v>1</v>
      </c>
      <c r="Z46">
        <v>0</v>
      </c>
      <c r="AA46" t="str">
        <f t="shared" si="3"/>
        <v>Early Tenure</v>
      </c>
      <c r="AC46">
        <f t="shared" si="4"/>
        <v>0</v>
      </c>
      <c r="AE46">
        <f>VLOOKUP(A46,'Employee Engagement Survey'!A171:B1640,2,FALSE)</f>
        <v>4</v>
      </c>
      <c r="AF46">
        <f>VLOOKUP(A46,'Employee Engagement Survey'!A171:C1640,3,FALSE)</f>
        <v>3</v>
      </c>
      <c r="AG46">
        <f>VLOOKUP(A46,'Employee Engagement Survey'!A171:D1640,4,FALSE)</f>
        <v>4</v>
      </c>
      <c r="AH46">
        <f>VLOOKUP(A46,'Employee Engagement Survey'!A171:E1640,5,FALSE)</f>
        <v>2</v>
      </c>
      <c r="AI46">
        <f t="shared" si="2"/>
        <v>3.25</v>
      </c>
    </row>
    <row r="47" spans="1:35" hidden="1" x14ac:dyDescent="0.4">
      <c r="A47">
        <v>848</v>
      </c>
      <c r="B47" t="s">
        <v>26</v>
      </c>
      <c r="C47">
        <f t="shared" si="5"/>
        <v>0</v>
      </c>
      <c r="D47" t="s">
        <v>27</v>
      </c>
      <c r="E47">
        <f t="shared" si="1"/>
        <v>0</v>
      </c>
      <c r="F47" t="s">
        <v>28</v>
      </c>
      <c r="G47">
        <v>4</v>
      </c>
      <c r="H47" s="1">
        <v>52392</v>
      </c>
      <c r="I47" s="10">
        <v>0.14000000000000001</v>
      </c>
      <c r="J47">
        <v>37.5</v>
      </c>
      <c r="K47" t="s">
        <v>26</v>
      </c>
      <c r="L47">
        <v>26</v>
      </c>
      <c r="M47" t="s">
        <v>50</v>
      </c>
      <c r="N47" t="s">
        <v>42</v>
      </c>
      <c r="O47" t="s">
        <v>44</v>
      </c>
      <c r="P47">
        <v>5</v>
      </c>
      <c r="Q47" t="s">
        <v>36</v>
      </c>
      <c r="R47" t="s">
        <v>33</v>
      </c>
      <c r="S47">
        <v>3</v>
      </c>
      <c r="T47">
        <v>1</v>
      </c>
      <c r="U47">
        <v>8</v>
      </c>
      <c r="V47">
        <v>2</v>
      </c>
      <c r="W47">
        <v>8</v>
      </c>
      <c r="X47">
        <v>7</v>
      </c>
      <c r="Y47">
        <v>1</v>
      </c>
      <c r="Z47">
        <v>7</v>
      </c>
      <c r="AA47" t="str">
        <f t="shared" si="3"/>
        <v>Mid Tenure</v>
      </c>
      <c r="AC47">
        <f t="shared" si="4"/>
        <v>0</v>
      </c>
      <c r="AE47">
        <f>VLOOKUP(A47,'Employee Engagement Survey'!A175:B1644,2,FALSE)</f>
        <v>3</v>
      </c>
      <c r="AF47">
        <f>VLOOKUP(A47,'Employee Engagement Survey'!A175:C1644,3,FALSE)</f>
        <v>3</v>
      </c>
      <c r="AG47">
        <f>VLOOKUP(A47,'Employee Engagement Survey'!A175:D1644,4,FALSE)</f>
        <v>1</v>
      </c>
      <c r="AH47">
        <f>VLOOKUP(A47,'Employee Engagement Survey'!A175:E1644,5,FALSE)</f>
        <v>3</v>
      </c>
      <c r="AI47">
        <f t="shared" si="2"/>
        <v>2.5</v>
      </c>
    </row>
    <row r="48" spans="1:35" hidden="1" x14ac:dyDescent="0.4">
      <c r="A48">
        <v>1405</v>
      </c>
      <c r="B48" t="s">
        <v>26</v>
      </c>
      <c r="C48">
        <f t="shared" si="5"/>
        <v>0</v>
      </c>
      <c r="D48" t="s">
        <v>27</v>
      </c>
      <c r="E48">
        <f t="shared" si="1"/>
        <v>0</v>
      </c>
      <c r="F48" t="s">
        <v>28</v>
      </c>
      <c r="G48">
        <v>4</v>
      </c>
      <c r="H48" s="1">
        <v>52728</v>
      </c>
      <c r="I48" s="10">
        <v>0.13</v>
      </c>
      <c r="J48">
        <v>37.5</v>
      </c>
      <c r="K48" t="s">
        <v>26</v>
      </c>
      <c r="L48">
        <v>27</v>
      </c>
      <c r="M48" t="s">
        <v>50</v>
      </c>
      <c r="N48" t="s">
        <v>30</v>
      </c>
      <c r="O48" t="s">
        <v>31</v>
      </c>
      <c r="P48">
        <v>17</v>
      </c>
      <c r="Q48" t="s">
        <v>51</v>
      </c>
      <c r="R48" t="s">
        <v>37</v>
      </c>
      <c r="S48">
        <v>3</v>
      </c>
      <c r="T48">
        <v>0</v>
      </c>
      <c r="U48">
        <v>8</v>
      </c>
      <c r="V48">
        <v>2</v>
      </c>
      <c r="W48">
        <v>8</v>
      </c>
      <c r="X48">
        <v>2</v>
      </c>
      <c r="Y48">
        <v>7</v>
      </c>
      <c r="Z48">
        <v>7</v>
      </c>
      <c r="AA48" t="str">
        <f t="shared" si="3"/>
        <v>Mid Tenure</v>
      </c>
      <c r="AC48">
        <f t="shared" si="4"/>
        <v>0</v>
      </c>
      <c r="AE48">
        <f>VLOOKUP(A48,'Employee Engagement Survey'!A192:B1661,2,FALSE)</f>
        <v>4</v>
      </c>
      <c r="AF48">
        <f>VLOOKUP(A48,'Employee Engagement Survey'!A192:C1661,3,FALSE)</f>
        <v>3</v>
      </c>
      <c r="AG48">
        <f>VLOOKUP(A48,'Employee Engagement Survey'!A192:D1661,4,FALSE)</f>
        <v>4</v>
      </c>
      <c r="AH48">
        <f>VLOOKUP(A48,'Employee Engagement Survey'!A192:E1661,5,FALSE)</f>
        <v>3</v>
      </c>
      <c r="AI48">
        <f t="shared" si="2"/>
        <v>3.5</v>
      </c>
    </row>
    <row r="49" spans="1:35" hidden="1" x14ac:dyDescent="0.4">
      <c r="A49">
        <v>1783</v>
      </c>
      <c r="B49" t="s">
        <v>26</v>
      </c>
      <c r="C49">
        <f t="shared" si="5"/>
        <v>0</v>
      </c>
      <c r="D49" t="s">
        <v>46</v>
      </c>
      <c r="E49">
        <f t="shared" si="1"/>
        <v>0</v>
      </c>
      <c r="F49" t="s">
        <v>28</v>
      </c>
      <c r="G49">
        <v>4</v>
      </c>
      <c r="H49" s="1">
        <v>52776</v>
      </c>
      <c r="I49" s="10">
        <v>0.17</v>
      </c>
      <c r="J49">
        <v>37.5</v>
      </c>
      <c r="K49" t="s">
        <v>26</v>
      </c>
      <c r="L49">
        <v>22</v>
      </c>
      <c r="M49" t="s">
        <v>50</v>
      </c>
      <c r="N49" t="s">
        <v>42</v>
      </c>
      <c r="O49" t="s">
        <v>31</v>
      </c>
      <c r="P49">
        <v>8</v>
      </c>
      <c r="Q49" t="s">
        <v>32</v>
      </c>
      <c r="R49" t="s">
        <v>33</v>
      </c>
      <c r="S49">
        <v>3</v>
      </c>
      <c r="T49">
        <v>0</v>
      </c>
      <c r="U49">
        <v>1</v>
      </c>
      <c r="V49">
        <v>6</v>
      </c>
      <c r="W49">
        <v>1</v>
      </c>
      <c r="X49">
        <v>0</v>
      </c>
      <c r="Y49">
        <v>0</v>
      </c>
      <c r="Z49">
        <v>0</v>
      </c>
      <c r="AA49" t="str">
        <f t="shared" si="3"/>
        <v>Early Tenure</v>
      </c>
      <c r="AC49">
        <f t="shared" si="4"/>
        <v>0</v>
      </c>
      <c r="AE49">
        <f>VLOOKUP(A49,'Employee Engagement Survey'!A193:B1662,2,FALSE)</f>
        <v>3</v>
      </c>
      <c r="AF49">
        <f>VLOOKUP(A49,'Employee Engagement Survey'!A193:C1662,3,FALSE)</f>
        <v>1</v>
      </c>
      <c r="AG49">
        <f>VLOOKUP(A49,'Employee Engagement Survey'!A193:D1662,4,FALSE)</f>
        <v>3</v>
      </c>
      <c r="AH49">
        <f>VLOOKUP(A49,'Employee Engagement Survey'!A193:E1662,5,FALSE)</f>
        <v>3</v>
      </c>
      <c r="AI49">
        <f t="shared" si="2"/>
        <v>2.5</v>
      </c>
    </row>
    <row r="50" spans="1:35" x14ac:dyDescent="0.4">
      <c r="A50">
        <v>261</v>
      </c>
      <c r="B50" t="s">
        <v>26</v>
      </c>
      <c r="C50">
        <f t="shared" si="5"/>
        <v>0</v>
      </c>
      <c r="D50" t="s">
        <v>54</v>
      </c>
      <c r="E50">
        <f t="shared" si="1"/>
        <v>1</v>
      </c>
      <c r="F50" t="s">
        <v>28</v>
      </c>
      <c r="G50">
        <v>7</v>
      </c>
      <c r="H50" s="1">
        <v>82992</v>
      </c>
      <c r="I50" s="10">
        <v>0.13</v>
      </c>
      <c r="J50">
        <v>37.5</v>
      </c>
      <c r="K50" t="s">
        <v>26</v>
      </c>
      <c r="L50">
        <v>35</v>
      </c>
      <c r="M50" t="s">
        <v>29</v>
      </c>
      <c r="N50" t="s">
        <v>42</v>
      </c>
      <c r="O50" t="s">
        <v>31</v>
      </c>
      <c r="P50">
        <v>23</v>
      </c>
      <c r="Q50" t="s">
        <v>36</v>
      </c>
      <c r="R50" t="s">
        <v>37</v>
      </c>
      <c r="S50">
        <v>3</v>
      </c>
      <c r="T50">
        <v>0</v>
      </c>
      <c r="U50">
        <v>8</v>
      </c>
      <c r="V50">
        <v>1</v>
      </c>
      <c r="W50">
        <v>1</v>
      </c>
      <c r="X50">
        <v>0</v>
      </c>
      <c r="Y50">
        <v>0</v>
      </c>
      <c r="Z50">
        <v>1</v>
      </c>
      <c r="AA50" t="str">
        <f t="shared" si="3"/>
        <v>Early Tenure</v>
      </c>
      <c r="AC50">
        <f t="shared" si="4"/>
        <v>0</v>
      </c>
      <c r="AE50">
        <f>VLOOKUP(A50,'Employee Engagement Survey'!A194:B1663,2,FALSE)</f>
        <v>2</v>
      </c>
      <c r="AF50">
        <f>VLOOKUP(A50,'Employee Engagement Survey'!A194:C1663,3,FALSE)</f>
        <v>3</v>
      </c>
      <c r="AG50">
        <f>VLOOKUP(A50,'Employee Engagement Survey'!A194:D1663,4,FALSE)</f>
        <v>1</v>
      </c>
      <c r="AH50">
        <f>VLOOKUP(A50,'Employee Engagement Survey'!A194:E1663,5,FALSE)</f>
        <v>3</v>
      </c>
      <c r="AI50">
        <f t="shared" si="2"/>
        <v>2.25</v>
      </c>
    </row>
    <row r="51" spans="1:35" hidden="1" x14ac:dyDescent="0.4">
      <c r="A51">
        <v>994</v>
      </c>
      <c r="B51" t="s">
        <v>26</v>
      </c>
      <c r="C51">
        <f t="shared" si="5"/>
        <v>0</v>
      </c>
      <c r="D51" t="s">
        <v>27</v>
      </c>
      <c r="E51">
        <f t="shared" si="1"/>
        <v>0</v>
      </c>
      <c r="F51" t="s">
        <v>28</v>
      </c>
      <c r="G51">
        <v>4</v>
      </c>
      <c r="H51" s="1">
        <v>52848</v>
      </c>
      <c r="I51" s="10">
        <v>0.2</v>
      </c>
      <c r="J51">
        <v>37.5</v>
      </c>
      <c r="K51" t="s">
        <v>26</v>
      </c>
      <c r="L51">
        <v>29</v>
      </c>
      <c r="M51" t="s">
        <v>50</v>
      </c>
      <c r="N51" t="s">
        <v>30</v>
      </c>
      <c r="O51" t="s">
        <v>31</v>
      </c>
      <c r="P51">
        <v>10</v>
      </c>
      <c r="Q51" t="s">
        <v>43</v>
      </c>
      <c r="R51" t="s">
        <v>37</v>
      </c>
      <c r="S51">
        <v>4</v>
      </c>
      <c r="T51">
        <v>0</v>
      </c>
      <c r="U51">
        <v>3</v>
      </c>
      <c r="V51">
        <v>5</v>
      </c>
      <c r="W51">
        <v>0</v>
      </c>
      <c r="X51">
        <v>0</v>
      </c>
      <c r="Y51">
        <v>0</v>
      </c>
      <c r="Z51">
        <v>0</v>
      </c>
      <c r="AA51" t="str">
        <f t="shared" si="3"/>
        <v>Early Tenure</v>
      </c>
      <c r="AC51">
        <f t="shared" si="4"/>
        <v>0</v>
      </c>
      <c r="AE51">
        <f>VLOOKUP(A51,'Employee Engagement Survey'!A196:B1665,2,FALSE)</f>
        <v>4</v>
      </c>
      <c r="AF51">
        <f>VLOOKUP(A51,'Employee Engagement Survey'!A196:C1665,3,FALSE)</f>
        <v>1</v>
      </c>
      <c r="AG51">
        <f>VLOOKUP(A51,'Employee Engagement Survey'!A196:D1665,4,FALSE)</f>
        <v>3</v>
      </c>
      <c r="AH51">
        <f>VLOOKUP(A51,'Employee Engagement Survey'!A196:E1665,5,FALSE)</f>
        <v>3</v>
      </c>
      <c r="AI51">
        <f t="shared" si="2"/>
        <v>2.75</v>
      </c>
    </row>
    <row r="52" spans="1:35" hidden="1" x14ac:dyDescent="0.4">
      <c r="A52">
        <v>1017</v>
      </c>
      <c r="B52" t="s">
        <v>26</v>
      </c>
      <c r="C52">
        <f t="shared" si="5"/>
        <v>0</v>
      </c>
      <c r="D52" t="s">
        <v>46</v>
      </c>
      <c r="E52">
        <f t="shared" si="1"/>
        <v>0</v>
      </c>
      <c r="F52" t="s">
        <v>28</v>
      </c>
      <c r="G52">
        <v>4</v>
      </c>
      <c r="H52" s="1">
        <v>53064</v>
      </c>
      <c r="I52" s="10">
        <v>0.17</v>
      </c>
      <c r="J52">
        <v>37.5</v>
      </c>
      <c r="K52" t="s">
        <v>34</v>
      </c>
      <c r="L52">
        <v>30</v>
      </c>
      <c r="M52" t="s">
        <v>47</v>
      </c>
      <c r="N52" t="s">
        <v>30</v>
      </c>
      <c r="O52" t="s">
        <v>44</v>
      </c>
      <c r="P52">
        <v>5</v>
      </c>
      <c r="Q52" t="s">
        <v>43</v>
      </c>
      <c r="R52" t="s">
        <v>33</v>
      </c>
      <c r="S52">
        <v>3</v>
      </c>
      <c r="T52">
        <v>0</v>
      </c>
      <c r="U52">
        <v>4</v>
      </c>
      <c r="V52">
        <v>3</v>
      </c>
      <c r="W52">
        <v>3</v>
      </c>
      <c r="X52">
        <v>2</v>
      </c>
      <c r="Y52">
        <v>1</v>
      </c>
      <c r="Z52">
        <v>2</v>
      </c>
      <c r="AA52" t="str">
        <f t="shared" si="3"/>
        <v>Mid Tenure</v>
      </c>
      <c r="AC52">
        <f t="shared" si="4"/>
        <v>0</v>
      </c>
      <c r="AE52">
        <f>VLOOKUP(A52,'Employee Engagement Survey'!A202:B1671,2,FALSE)</f>
        <v>2</v>
      </c>
      <c r="AF52">
        <f>VLOOKUP(A52,'Employee Engagement Survey'!A202:C1671,3,FALSE)</f>
        <v>2</v>
      </c>
      <c r="AG52">
        <f>VLOOKUP(A52,'Employee Engagement Survey'!A202:D1671,4,FALSE)</f>
        <v>1</v>
      </c>
      <c r="AH52">
        <f>VLOOKUP(A52,'Employee Engagement Survey'!A202:E1671,5,FALSE)</f>
        <v>3</v>
      </c>
      <c r="AI52">
        <f t="shared" si="2"/>
        <v>2</v>
      </c>
    </row>
    <row r="53" spans="1:35" hidden="1" x14ac:dyDescent="0.4">
      <c r="A53">
        <v>1939</v>
      </c>
      <c r="B53" t="s">
        <v>26</v>
      </c>
      <c r="C53">
        <f t="shared" si="5"/>
        <v>0</v>
      </c>
      <c r="D53" t="s">
        <v>27</v>
      </c>
      <c r="E53">
        <f t="shared" si="1"/>
        <v>0</v>
      </c>
      <c r="F53" t="s">
        <v>28</v>
      </c>
      <c r="G53">
        <v>4</v>
      </c>
      <c r="H53" s="1">
        <v>53184</v>
      </c>
      <c r="I53" s="10">
        <v>0.14000000000000001</v>
      </c>
      <c r="J53">
        <v>37.5</v>
      </c>
      <c r="K53" t="s">
        <v>26</v>
      </c>
      <c r="L53">
        <v>32</v>
      </c>
      <c r="M53" t="s">
        <v>47</v>
      </c>
      <c r="N53" t="s">
        <v>30</v>
      </c>
      <c r="O53" t="s">
        <v>44</v>
      </c>
      <c r="P53">
        <v>5</v>
      </c>
      <c r="Q53" t="s">
        <v>36</v>
      </c>
      <c r="R53" t="s">
        <v>37</v>
      </c>
      <c r="S53">
        <v>3</v>
      </c>
      <c r="T53">
        <v>0</v>
      </c>
      <c r="U53">
        <v>8</v>
      </c>
      <c r="V53">
        <v>2</v>
      </c>
      <c r="W53">
        <v>4</v>
      </c>
      <c r="X53">
        <v>1</v>
      </c>
      <c r="Y53">
        <v>0</v>
      </c>
      <c r="Z53">
        <v>3</v>
      </c>
      <c r="AA53" t="str">
        <f t="shared" si="3"/>
        <v>Mid Tenure</v>
      </c>
      <c r="AC53">
        <f t="shared" si="4"/>
        <v>0</v>
      </c>
      <c r="AE53">
        <f>VLOOKUP(A53,'Employee Engagement Survey'!A205:B1674,2,FALSE)</f>
        <v>1</v>
      </c>
      <c r="AF53">
        <f>VLOOKUP(A53,'Employee Engagement Survey'!A205:C1674,3,FALSE)</f>
        <v>3</v>
      </c>
      <c r="AG53">
        <f>VLOOKUP(A53,'Employee Engagement Survey'!A205:D1674,4,FALSE)</f>
        <v>1</v>
      </c>
      <c r="AH53">
        <f>VLOOKUP(A53,'Employee Engagement Survey'!A205:E1674,5,FALSE)</f>
        <v>3</v>
      </c>
      <c r="AI53">
        <f t="shared" si="2"/>
        <v>2</v>
      </c>
    </row>
    <row r="54" spans="1:35" hidden="1" x14ac:dyDescent="0.4">
      <c r="A54">
        <v>282</v>
      </c>
      <c r="B54" t="s">
        <v>26</v>
      </c>
      <c r="C54">
        <f t="shared" si="5"/>
        <v>0</v>
      </c>
      <c r="D54" t="s">
        <v>55</v>
      </c>
      <c r="E54">
        <f t="shared" si="1"/>
        <v>0</v>
      </c>
      <c r="F54" t="s">
        <v>28</v>
      </c>
      <c r="G54">
        <v>8</v>
      </c>
      <c r="H54" s="1">
        <v>92076</v>
      </c>
      <c r="I54" s="10">
        <v>0.19</v>
      </c>
      <c r="J54">
        <v>37.5</v>
      </c>
      <c r="K54" t="s">
        <v>26</v>
      </c>
      <c r="L54">
        <v>38</v>
      </c>
      <c r="M54" t="s">
        <v>29</v>
      </c>
      <c r="N54" t="s">
        <v>42</v>
      </c>
      <c r="O54" t="s">
        <v>31</v>
      </c>
      <c r="P54">
        <v>29</v>
      </c>
      <c r="Q54" t="s">
        <v>32</v>
      </c>
      <c r="R54" t="s">
        <v>33</v>
      </c>
      <c r="S54">
        <v>3</v>
      </c>
      <c r="T54">
        <v>0</v>
      </c>
      <c r="U54">
        <v>17</v>
      </c>
      <c r="V54">
        <v>2</v>
      </c>
      <c r="W54">
        <v>1</v>
      </c>
      <c r="X54">
        <v>0</v>
      </c>
      <c r="Y54">
        <v>0</v>
      </c>
      <c r="Z54">
        <v>0</v>
      </c>
      <c r="AA54" t="str">
        <f t="shared" si="3"/>
        <v>Early Tenure</v>
      </c>
      <c r="AC54">
        <f t="shared" si="4"/>
        <v>0</v>
      </c>
      <c r="AE54">
        <f>VLOOKUP(A54,'Employee Engagement Survey'!A209:B1678,2,FALSE)</f>
        <v>2</v>
      </c>
      <c r="AF54">
        <f>VLOOKUP(A54,'Employee Engagement Survey'!A209:C1678,3,FALSE)</f>
        <v>1</v>
      </c>
      <c r="AG54">
        <f>VLOOKUP(A54,'Employee Engagement Survey'!A209:D1678,4,FALSE)</f>
        <v>2</v>
      </c>
      <c r="AH54">
        <f>VLOOKUP(A54,'Employee Engagement Survey'!A209:E1678,5,FALSE)</f>
        <v>3</v>
      </c>
      <c r="AI54">
        <f t="shared" si="2"/>
        <v>2</v>
      </c>
    </row>
    <row r="55" spans="1:35" hidden="1" x14ac:dyDescent="0.4">
      <c r="A55">
        <v>291</v>
      </c>
      <c r="B55" t="s">
        <v>26</v>
      </c>
      <c r="C55">
        <f t="shared" si="5"/>
        <v>0</v>
      </c>
      <c r="D55" t="s">
        <v>57</v>
      </c>
      <c r="E55">
        <f t="shared" si="1"/>
        <v>0</v>
      </c>
      <c r="F55" t="s">
        <v>40</v>
      </c>
      <c r="G55">
        <v>9</v>
      </c>
      <c r="H55" s="1">
        <v>136800</v>
      </c>
      <c r="I55" s="10">
        <v>0.11</v>
      </c>
      <c r="J55">
        <v>37.5</v>
      </c>
      <c r="K55" t="s">
        <v>34</v>
      </c>
      <c r="L55">
        <v>32</v>
      </c>
      <c r="M55" t="s">
        <v>29</v>
      </c>
      <c r="N55" t="s">
        <v>42</v>
      </c>
      <c r="O55" t="s">
        <v>31</v>
      </c>
      <c r="P55">
        <v>4</v>
      </c>
      <c r="Q55" t="s">
        <v>51</v>
      </c>
      <c r="R55" t="s">
        <v>33</v>
      </c>
      <c r="S55">
        <v>3</v>
      </c>
      <c r="T55">
        <v>0</v>
      </c>
      <c r="U55">
        <v>14</v>
      </c>
      <c r="V55">
        <v>2</v>
      </c>
      <c r="W55">
        <v>14</v>
      </c>
      <c r="X55">
        <v>8</v>
      </c>
      <c r="Y55">
        <v>9</v>
      </c>
      <c r="Z55">
        <v>8</v>
      </c>
      <c r="AA55" t="str">
        <f t="shared" si="3"/>
        <v>Long Tenure</v>
      </c>
      <c r="AC55">
        <f t="shared" si="4"/>
        <v>0</v>
      </c>
      <c r="AE55">
        <f>VLOOKUP(A55,'Employee Engagement Survey'!A214:B1683,2,FALSE)</f>
        <v>4</v>
      </c>
      <c r="AF55">
        <f>VLOOKUP(A55,'Employee Engagement Survey'!A214:C1683,3,FALSE)</f>
        <v>4</v>
      </c>
      <c r="AG55">
        <f>VLOOKUP(A55,'Employee Engagement Survey'!A214:D1683,4,FALSE)</f>
        <v>3</v>
      </c>
      <c r="AH55">
        <f>VLOOKUP(A55,'Employee Engagement Survey'!A214:E1683,5,FALSE)</f>
        <v>2</v>
      </c>
      <c r="AI55">
        <f t="shared" si="2"/>
        <v>3.25</v>
      </c>
    </row>
    <row r="56" spans="1:35" hidden="1" x14ac:dyDescent="0.4">
      <c r="A56">
        <v>300</v>
      </c>
      <c r="B56" t="s">
        <v>26</v>
      </c>
      <c r="C56">
        <f t="shared" si="5"/>
        <v>0</v>
      </c>
      <c r="D56" t="s">
        <v>27</v>
      </c>
      <c r="E56">
        <f t="shared" si="1"/>
        <v>0</v>
      </c>
      <c r="F56" t="s">
        <v>28</v>
      </c>
      <c r="G56">
        <v>3</v>
      </c>
      <c r="H56" s="1">
        <v>48696</v>
      </c>
      <c r="I56" s="10">
        <v>0.14000000000000001</v>
      </c>
      <c r="J56">
        <v>37.5</v>
      </c>
      <c r="K56" t="s">
        <v>34</v>
      </c>
      <c r="L56">
        <v>29</v>
      </c>
      <c r="M56" t="s">
        <v>29</v>
      </c>
      <c r="N56" t="s">
        <v>30</v>
      </c>
      <c r="O56" t="s">
        <v>31</v>
      </c>
      <c r="P56">
        <v>1</v>
      </c>
      <c r="Q56" t="s">
        <v>43</v>
      </c>
      <c r="R56" t="s">
        <v>45</v>
      </c>
      <c r="S56">
        <v>3</v>
      </c>
      <c r="T56">
        <v>0</v>
      </c>
      <c r="U56">
        <v>7</v>
      </c>
      <c r="V56">
        <v>1</v>
      </c>
      <c r="W56">
        <v>6</v>
      </c>
      <c r="X56">
        <v>2</v>
      </c>
      <c r="Y56">
        <v>1</v>
      </c>
      <c r="Z56">
        <v>5</v>
      </c>
      <c r="AA56" t="str">
        <f t="shared" si="3"/>
        <v>Mid Tenure</v>
      </c>
      <c r="AC56">
        <f t="shared" si="4"/>
        <v>0</v>
      </c>
      <c r="AE56">
        <f>VLOOKUP(A56,'Employee Engagement Survey'!A217:B1686,2,FALSE)</f>
        <v>3</v>
      </c>
      <c r="AF56">
        <f>VLOOKUP(A56,'Employee Engagement Survey'!A217:C1686,3,FALSE)</f>
        <v>3</v>
      </c>
      <c r="AG56">
        <f>VLOOKUP(A56,'Employee Engagement Survey'!A217:D1686,4,FALSE)</f>
        <v>4</v>
      </c>
      <c r="AH56">
        <f>VLOOKUP(A56,'Employee Engagement Survey'!A217:E1686,5,FALSE)</f>
        <v>2</v>
      </c>
      <c r="AI56">
        <f t="shared" si="2"/>
        <v>3</v>
      </c>
    </row>
    <row r="57" spans="1:35" hidden="1" x14ac:dyDescent="0.4">
      <c r="A57">
        <v>315</v>
      </c>
      <c r="B57" t="s">
        <v>26</v>
      </c>
      <c r="C57">
        <f t="shared" si="5"/>
        <v>0</v>
      </c>
      <c r="D57" t="s">
        <v>27</v>
      </c>
      <c r="E57">
        <f t="shared" si="1"/>
        <v>0</v>
      </c>
      <c r="F57" t="s">
        <v>28</v>
      </c>
      <c r="G57">
        <v>4</v>
      </c>
      <c r="H57" s="1">
        <v>52668</v>
      </c>
      <c r="I57" s="10">
        <v>0.13</v>
      </c>
      <c r="J57">
        <v>37.5</v>
      </c>
      <c r="K57" t="s">
        <v>26</v>
      </c>
      <c r="L57">
        <v>29</v>
      </c>
      <c r="M57" t="s">
        <v>29</v>
      </c>
      <c r="N57" t="s">
        <v>30</v>
      </c>
      <c r="O57" t="s">
        <v>31</v>
      </c>
      <c r="P57">
        <v>18</v>
      </c>
      <c r="Q57" t="s">
        <v>32</v>
      </c>
      <c r="R57" t="s">
        <v>33</v>
      </c>
      <c r="S57">
        <v>3</v>
      </c>
      <c r="T57">
        <v>0</v>
      </c>
      <c r="U57">
        <v>4</v>
      </c>
      <c r="V57">
        <v>3</v>
      </c>
      <c r="W57">
        <v>4</v>
      </c>
      <c r="X57">
        <v>3</v>
      </c>
      <c r="Y57">
        <v>0</v>
      </c>
      <c r="Z57">
        <v>1</v>
      </c>
      <c r="AA57" t="str">
        <f t="shared" si="3"/>
        <v>Mid Tenure</v>
      </c>
      <c r="AC57">
        <f t="shared" si="4"/>
        <v>0</v>
      </c>
      <c r="AE57">
        <f>VLOOKUP(A57,'Employee Engagement Survey'!A227:B1696,2,FALSE)</f>
        <v>3</v>
      </c>
      <c r="AF57">
        <f>VLOOKUP(A57,'Employee Engagement Survey'!A227:C1696,3,FALSE)</f>
        <v>4</v>
      </c>
      <c r="AG57">
        <f>VLOOKUP(A57,'Employee Engagement Survey'!A227:D1696,4,FALSE)</f>
        <v>3</v>
      </c>
      <c r="AH57">
        <f>VLOOKUP(A57,'Employee Engagement Survey'!A227:E1696,5,FALSE)</f>
        <v>2</v>
      </c>
      <c r="AI57">
        <f t="shared" si="2"/>
        <v>3</v>
      </c>
    </row>
    <row r="58" spans="1:35" hidden="1" x14ac:dyDescent="0.4">
      <c r="A58">
        <v>1175</v>
      </c>
      <c r="B58" t="s">
        <v>26</v>
      </c>
      <c r="C58">
        <f t="shared" si="5"/>
        <v>0</v>
      </c>
      <c r="D58" t="s">
        <v>46</v>
      </c>
      <c r="E58">
        <f t="shared" si="1"/>
        <v>0</v>
      </c>
      <c r="F58" t="s">
        <v>28</v>
      </c>
      <c r="G58">
        <v>4</v>
      </c>
      <c r="H58" s="1">
        <v>54180</v>
      </c>
      <c r="I58" s="10">
        <v>0.11</v>
      </c>
      <c r="J58">
        <v>37.5</v>
      </c>
      <c r="K58" t="s">
        <v>26</v>
      </c>
      <c r="L58">
        <v>28</v>
      </c>
      <c r="M58" t="s">
        <v>47</v>
      </c>
      <c r="N58" t="s">
        <v>42</v>
      </c>
      <c r="O58" t="s">
        <v>31</v>
      </c>
      <c r="P58">
        <v>12</v>
      </c>
      <c r="Q58" t="s">
        <v>32</v>
      </c>
      <c r="R58" t="s">
        <v>37</v>
      </c>
      <c r="S58">
        <v>3</v>
      </c>
      <c r="T58">
        <v>0</v>
      </c>
      <c r="U58">
        <v>1</v>
      </c>
      <c r="V58">
        <v>4</v>
      </c>
      <c r="W58">
        <v>1</v>
      </c>
      <c r="X58">
        <v>1</v>
      </c>
      <c r="Y58">
        <v>0</v>
      </c>
      <c r="Z58">
        <v>0</v>
      </c>
      <c r="AA58" t="str">
        <f t="shared" si="3"/>
        <v>Early Tenure</v>
      </c>
      <c r="AC58">
        <f t="shared" si="4"/>
        <v>0</v>
      </c>
      <c r="AE58">
        <f>VLOOKUP(A58,'Employee Engagement Survey'!A232:B1701,2,FALSE)</f>
        <v>3</v>
      </c>
      <c r="AF58">
        <f>VLOOKUP(A58,'Employee Engagement Survey'!A232:C1701,3,FALSE)</f>
        <v>4</v>
      </c>
      <c r="AG58">
        <f>VLOOKUP(A58,'Employee Engagement Survey'!A232:D1701,4,FALSE)</f>
        <v>4</v>
      </c>
      <c r="AH58">
        <f>VLOOKUP(A58,'Employee Engagement Survey'!A232:E1701,5,FALSE)</f>
        <v>2</v>
      </c>
      <c r="AI58">
        <f t="shared" si="2"/>
        <v>3.25</v>
      </c>
    </row>
    <row r="59" spans="1:35" hidden="1" x14ac:dyDescent="0.4">
      <c r="A59">
        <v>325</v>
      </c>
      <c r="B59" t="s">
        <v>26</v>
      </c>
      <c r="C59">
        <f t="shared" si="5"/>
        <v>0</v>
      </c>
      <c r="D59" t="s">
        <v>46</v>
      </c>
      <c r="E59">
        <f t="shared" si="1"/>
        <v>0</v>
      </c>
      <c r="F59" t="s">
        <v>28</v>
      </c>
      <c r="G59">
        <v>4</v>
      </c>
      <c r="H59" s="1">
        <v>53232</v>
      </c>
      <c r="I59" s="10">
        <v>0.13</v>
      </c>
      <c r="J59">
        <v>37.5</v>
      </c>
      <c r="K59" t="s">
        <v>26</v>
      </c>
      <c r="L59">
        <v>33</v>
      </c>
      <c r="M59" t="s">
        <v>29</v>
      </c>
      <c r="N59" t="s">
        <v>42</v>
      </c>
      <c r="O59" t="s">
        <v>31</v>
      </c>
      <c r="P59">
        <v>14</v>
      </c>
      <c r="Q59" t="s">
        <v>43</v>
      </c>
      <c r="R59" t="s">
        <v>33</v>
      </c>
      <c r="S59">
        <v>3</v>
      </c>
      <c r="T59">
        <v>1</v>
      </c>
      <c r="U59">
        <v>8</v>
      </c>
      <c r="V59">
        <v>2</v>
      </c>
      <c r="W59">
        <v>5</v>
      </c>
      <c r="X59">
        <v>4</v>
      </c>
      <c r="Y59">
        <v>0</v>
      </c>
      <c r="Z59">
        <v>4</v>
      </c>
      <c r="AA59" t="str">
        <f t="shared" si="3"/>
        <v>Mid Tenure</v>
      </c>
      <c r="AC59">
        <f t="shared" si="4"/>
        <v>0</v>
      </c>
      <c r="AE59">
        <f>VLOOKUP(A59,'Employee Engagement Survey'!A233:B1702,2,FALSE)</f>
        <v>3</v>
      </c>
      <c r="AF59">
        <f>VLOOKUP(A59,'Employee Engagement Survey'!A233:C1702,3,FALSE)</f>
        <v>4</v>
      </c>
      <c r="AG59">
        <f>VLOOKUP(A59,'Employee Engagement Survey'!A233:D1702,4,FALSE)</f>
        <v>3</v>
      </c>
      <c r="AH59">
        <f>VLOOKUP(A59,'Employee Engagement Survey'!A233:E1702,5,FALSE)</f>
        <v>1</v>
      </c>
      <c r="AI59">
        <f t="shared" si="2"/>
        <v>2.75</v>
      </c>
    </row>
    <row r="60" spans="1:35" hidden="1" x14ac:dyDescent="0.4">
      <c r="A60">
        <v>331</v>
      </c>
      <c r="B60" t="s">
        <v>26</v>
      </c>
      <c r="C60">
        <f t="shared" si="5"/>
        <v>0</v>
      </c>
      <c r="D60" t="s">
        <v>46</v>
      </c>
      <c r="E60">
        <f t="shared" si="1"/>
        <v>0</v>
      </c>
      <c r="F60" t="s">
        <v>28</v>
      </c>
      <c r="G60">
        <v>6</v>
      </c>
      <c r="H60" s="1">
        <v>68760</v>
      </c>
      <c r="I60" s="10">
        <v>0.14000000000000001</v>
      </c>
      <c r="J60">
        <v>37.5</v>
      </c>
      <c r="K60" t="s">
        <v>26</v>
      </c>
      <c r="L60">
        <v>32</v>
      </c>
      <c r="M60" t="s">
        <v>29</v>
      </c>
      <c r="N60" t="s">
        <v>30</v>
      </c>
      <c r="O60" t="s">
        <v>31</v>
      </c>
      <c r="P60">
        <v>1</v>
      </c>
      <c r="Q60" t="s">
        <v>43</v>
      </c>
      <c r="R60" t="s">
        <v>37</v>
      </c>
      <c r="S60">
        <v>3</v>
      </c>
      <c r="T60">
        <v>0</v>
      </c>
      <c r="U60">
        <v>4</v>
      </c>
      <c r="V60">
        <v>2</v>
      </c>
      <c r="W60">
        <v>3</v>
      </c>
      <c r="X60">
        <v>2</v>
      </c>
      <c r="Y60">
        <v>1</v>
      </c>
      <c r="Z60">
        <v>2</v>
      </c>
      <c r="AA60" t="str">
        <f t="shared" si="3"/>
        <v>Mid Tenure</v>
      </c>
      <c r="AC60">
        <f t="shared" si="4"/>
        <v>0</v>
      </c>
      <c r="AE60">
        <f>VLOOKUP(A60,'Employee Engagement Survey'!A235:B1704,2,FALSE)</f>
        <v>4</v>
      </c>
      <c r="AF60">
        <f>VLOOKUP(A60,'Employee Engagement Survey'!A235:C1704,3,FALSE)</f>
        <v>3</v>
      </c>
      <c r="AG60">
        <f>VLOOKUP(A60,'Employee Engagement Survey'!A235:D1704,4,FALSE)</f>
        <v>4</v>
      </c>
      <c r="AH60">
        <f>VLOOKUP(A60,'Employee Engagement Survey'!A235:E1704,5,FALSE)</f>
        <v>1</v>
      </c>
      <c r="AI60">
        <f t="shared" si="2"/>
        <v>3</v>
      </c>
    </row>
    <row r="61" spans="1:35" hidden="1" x14ac:dyDescent="0.4">
      <c r="A61">
        <v>565</v>
      </c>
      <c r="B61" t="s">
        <v>26</v>
      </c>
      <c r="C61">
        <f t="shared" si="5"/>
        <v>0</v>
      </c>
      <c r="D61" t="s">
        <v>27</v>
      </c>
      <c r="E61">
        <f t="shared" si="1"/>
        <v>0</v>
      </c>
      <c r="F61" t="s">
        <v>28</v>
      </c>
      <c r="G61">
        <v>4</v>
      </c>
      <c r="H61" s="1">
        <v>54552</v>
      </c>
      <c r="I61" s="10">
        <v>0.16</v>
      </c>
      <c r="J61">
        <v>37.5</v>
      </c>
      <c r="K61" t="s">
        <v>34</v>
      </c>
      <c r="L61">
        <v>29</v>
      </c>
      <c r="M61" t="s">
        <v>47</v>
      </c>
      <c r="N61" t="s">
        <v>42</v>
      </c>
      <c r="O61" t="s">
        <v>31</v>
      </c>
      <c r="P61">
        <v>25</v>
      </c>
      <c r="Q61" t="s">
        <v>58</v>
      </c>
      <c r="R61" t="s">
        <v>45</v>
      </c>
      <c r="S61">
        <v>3</v>
      </c>
      <c r="T61">
        <v>0</v>
      </c>
      <c r="U61">
        <v>6</v>
      </c>
      <c r="V61">
        <v>2</v>
      </c>
      <c r="W61">
        <v>2</v>
      </c>
      <c r="X61">
        <v>2</v>
      </c>
      <c r="Y61">
        <v>1</v>
      </c>
      <c r="Z61">
        <v>1</v>
      </c>
      <c r="AA61" t="str">
        <f t="shared" si="3"/>
        <v>Early Tenure</v>
      </c>
      <c r="AC61">
        <f t="shared" si="4"/>
        <v>0</v>
      </c>
      <c r="AE61">
        <f>VLOOKUP(A61,'Employee Engagement Survey'!A241:B1710,2,FALSE)</f>
        <v>3</v>
      </c>
      <c r="AF61">
        <f>VLOOKUP(A61,'Employee Engagement Survey'!A241:C1710,3,FALSE)</f>
        <v>2</v>
      </c>
      <c r="AG61">
        <f>VLOOKUP(A61,'Employee Engagement Survey'!A241:D1710,4,FALSE)</f>
        <v>2</v>
      </c>
      <c r="AH61">
        <f>VLOOKUP(A61,'Employee Engagement Survey'!A241:E1710,5,FALSE)</f>
        <v>4</v>
      </c>
      <c r="AI61">
        <f t="shared" si="2"/>
        <v>2.75</v>
      </c>
    </row>
    <row r="62" spans="1:35" x14ac:dyDescent="0.4">
      <c r="A62">
        <v>342</v>
      </c>
      <c r="B62" t="s">
        <v>26</v>
      </c>
      <c r="C62">
        <f t="shared" si="5"/>
        <v>0</v>
      </c>
      <c r="D62" t="s">
        <v>54</v>
      </c>
      <c r="E62">
        <f t="shared" si="1"/>
        <v>1</v>
      </c>
      <c r="F62" t="s">
        <v>28</v>
      </c>
      <c r="G62">
        <v>9</v>
      </c>
      <c r="H62" s="1">
        <v>132576</v>
      </c>
      <c r="I62" s="10">
        <v>0.11</v>
      </c>
      <c r="J62">
        <v>37.5</v>
      </c>
      <c r="K62" t="s">
        <v>34</v>
      </c>
      <c r="L62">
        <v>37</v>
      </c>
      <c r="M62" t="s">
        <v>29</v>
      </c>
      <c r="N62" t="s">
        <v>48</v>
      </c>
      <c r="O62" t="s">
        <v>44</v>
      </c>
      <c r="P62">
        <v>10</v>
      </c>
      <c r="Q62" t="s">
        <v>43</v>
      </c>
      <c r="R62" t="s">
        <v>33</v>
      </c>
      <c r="S62">
        <v>3</v>
      </c>
      <c r="T62">
        <v>2</v>
      </c>
      <c r="U62">
        <v>17</v>
      </c>
      <c r="V62">
        <v>5</v>
      </c>
      <c r="W62">
        <v>1</v>
      </c>
      <c r="X62">
        <v>0</v>
      </c>
      <c r="Y62">
        <v>0</v>
      </c>
      <c r="Z62">
        <v>0</v>
      </c>
      <c r="AA62" t="str">
        <f t="shared" si="3"/>
        <v>Early Tenure</v>
      </c>
      <c r="AC62">
        <f t="shared" si="4"/>
        <v>0</v>
      </c>
      <c r="AE62">
        <f>VLOOKUP(A62,'Employee Engagement Survey'!A250:B1719,2,FALSE)</f>
        <v>1</v>
      </c>
      <c r="AF62">
        <f>VLOOKUP(A62,'Employee Engagement Survey'!A250:C1719,3,FALSE)</f>
        <v>3</v>
      </c>
      <c r="AG62">
        <f>VLOOKUP(A62,'Employee Engagement Survey'!A250:D1719,4,FALSE)</f>
        <v>2</v>
      </c>
      <c r="AH62">
        <f>VLOOKUP(A62,'Employee Engagement Survey'!A250:E1719,5,FALSE)</f>
        <v>3</v>
      </c>
      <c r="AI62">
        <f t="shared" si="2"/>
        <v>2.25</v>
      </c>
    </row>
    <row r="63" spans="1:35" hidden="1" x14ac:dyDescent="0.4">
      <c r="A63">
        <v>355</v>
      </c>
      <c r="B63" t="s">
        <v>26</v>
      </c>
      <c r="C63">
        <f t="shared" si="5"/>
        <v>0</v>
      </c>
      <c r="D63" t="s">
        <v>46</v>
      </c>
      <c r="E63">
        <f t="shared" si="1"/>
        <v>0</v>
      </c>
      <c r="F63" t="s">
        <v>28</v>
      </c>
      <c r="G63">
        <v>6</v>
      </c>
      <c r="H63" s="1">
        <v>65748</v>
      </c>
      <c r="I63" s="10">
        <v>0.11</v>
      </c>
      <c r="J63">
        <v>37.5</v>
      </c>
      <c r="K63" t="s">
        <v>34</v>
      </c>
      <c r="L63">
        <v>31</v>
      </c>
      <c r="M63" t="s">
        <v>29</v>
      </c>
      <c r="N63" t="s">
        <v>30</v>
      </c>
      <c r="O63" t="s">
        <v>44</v>
      </c>
      <c r="P63">
        <v>29</v>
      </c>
      <c r="Q63" t="s">
        <v>36</v>
      </c>
      <c r="R63" t="s">
        <v>33</v>
      </c>
      <c r="S63">
        <v>3</v>
      </c>
      <c r="T63">
        <v>0</v>
      </c>
      <c r="U63">
        <v>6</v>
      </c>
      <c r="V63">
        <v>2</v>
      </c>
      <c r="W63">
        <v>5</v>
      </c>
      <c r="X63">
        <v>4</v>
      </c>
      <c r="Y63">
        <v>1</v>
      </c>
      <c r="Z63">
        <v>4</v>
      </c>
      <c r="AA63" t="str">
        <f t="shared" si="3"/>
        <v>Mid Tenure</v>
      </c>
      <c r="AC63">
        <f t="shared" si="4"/>
        <v>0</v>
      </c>
      <c r="AE63">
        <f>VLOOKUP(A63,'Employee Engagement Survey'!A260:B1729,2,FALSE)</f>
        <v>3</v>
      </c>
      <c r="AF63">
        <f>VLOOKUP(A63,'Employee Engagement Survey'!A260:C1729,3,FALSE)</f>
        <v>2</v>
      </c>
      <c r="AG63">
        <f>VLOOKUP(A63,'Employee Engagement Survey'!A260:D1729,4,FALSE)</f>
        <v>2</v>
      </c>
      <c r="AH63">
        <f>VLOOKUP(A63,'Employee Engagement Survey'!A260:E1729,5,FALSE)</f>
        <v>4</v>
      </c>
      <c r="AI63">
        <f t="shared" si="2"/>
        <v>2.75</v>
      </c>
    </row>
    <row r="64" spans="1:35" hidden="1" x14ac:dyDescent="0.4">
      <c r="A64">
        <v>1016</v>
      </c>
      <c r="B64" t="s">
        <v>26</v>
      </c>
      <c r="C64">
        <f t="shared" si="5"/>
        <v>0</v>
      </c>
      <c r="D64" t="s">
        <v>27</v>
      </c>
      <c r="E64">
        <f t="shared" si="1"/>
        <v>0</v>
      </c>
      <c r="F64" t="s">
        <v>28</v>
      </c>
      <c r="G64">
        <v>5</v>
      </c>
      <c r="H64" s="1">
        <v>55200</v>
      </c>
      <c r="I64" s="10">
        <v>0.15</v>
      </c>
      <c r="J64">
        <v>37.5</v>
      </c>
      <c r="K64" t="s">
        <v>26</v>
      </c>
      <c r="L64">
        <v>20</v>
      </c>
      <c r="M64" t="s">
        <v>61</v>
      </c>
      <c r="N64" t="s">
        <v>30</v>
      </c>
      <c r="O64" t="s">
        <v>31</v>
      </c>
      <c r="P64">
        <v>11</v>
      </c>
      <c r="Q64" t="s">
        <v>43</v>
      </c>
      <c r="R64" t="s">
        <v>33</v>
      </c>
      <c r="S64">
        <v>3</v>
      </c>
      <c r="T64">
        <v>0</v>
      </c>
      <c r="U64">
        <v>1</v>
      </c>
      <c r="V64">
        <v>2</v>
      </c>
      <c r="W64">
        <v>1</v>
      </c>
      <c r="X64">
        <v>0</v>
      </c>
      <c r="Y64">
        <v>0</v>
      </c>
      <c r="Z64">
        <v>0</v>
      </c>
      <c r="AA64" t="str">
        <f t="shared" si="3"/>
        <v>Early Tenure</v>
      </c>
      <c r="AC64">
        <f t="shared" si="4"/>
        <v>0</v>
      </c>
      <c r="AE64">
        <f>VLOOKUP(A64,'Employee Engagement Survey'!A263:B1732,2,FALSE)</f>
        <v>4</v>
      </c>
      <c r="AF64">
        <f>VLOOKUP(A64,'Employee Engagement Survey'!A263:C1732,3,FALSE)</f>
        <v>1</v>
      </c>
      <c r="AG64">
        <f>VLOOKUP(A64,'Employee Engagement Survey'!A263:D1732,4,FALSE)</f>
        <v>1</v>
      </c>
      <c r="AH64">
        <f>VLOOKUP(A64,'Employee Engagement Survey'!A263:E1732,5,FALSE)</f>
        <v>3</v>
      </c>
      <c r="AI64">
        <f t="shared" si="2"/>
        <v>2.25</v>
      </c>
    </row>
    <row r="65" spans="1:35" hidden="1" x14ac:dyDescent="0.4">
      <c r="A65">
        <v>364</v>
      </c>
      <c r="B65" t="s">
        <v>26</v>
      </c>
      <c r="C65">
        <f t="shared" si="5"/>
        <v>0</v>
      </c>
      <c r="D65" t="s">
        <v>46</v>
      </c>
      <c r="E65">
        <f t="shared" si="1"/>
        <v>0</v>
      </c>
      <c r="F65" t="s">
        <v>28</v>
      </c>
      <c r="G65">
        <v>6</v>
      </c>
      <c r="H65" s="1">
        <v>65820</v>
      </c>
      <c r="I65" s="10">
        <v>0.11</v>
      </c>
      <c r="J65">
        <v>37.5</v>
      </c>
      <c r="K65" t="s">
        <v>34</v>
      </c>
      <c r="L65">
        <v>28</v>
      </c>
      <c r="M65" t="s">
        <v>29</v>
      </c>
      <c r="N65" t="s">
        <v>30</v>
      </c>
      <c r="O65" t="s">
        <v>31</v>
      </c>
      <c r="P65">
        <v>2</v>
      </c>
      <c r="Q65" t="s">
        <v>51</v>
      </c>
      <c r="R65" t="s">
        <v>37</v>
      </c>
      <c r="S65">
        <v>3</v>
      </c>
      <c r="T65">
        <v>0</v>
      </c>
      <c r="U65">
        <v>5</v>
      </c>
      <c r="V65">
        <v>5</v>
      </c>
      <c r="W65">
        <v>0</v>
      </c>
      <c r="X65">
        <v>0</v>
      </c>
      <c r="Y65">
        <v>0</v>
      </c>
      <c r="Z65">
        <v>0</v>
      </c>
      <c r="AA65" t="str">
        <f t="shared" si="3"/>
        <v>Early Tenure</v>
      </c>
      <c r="AC65">
        <f t="shared" si="4"/>
        <v>0</v>
      </c>
      <c r="AE65">
        <f>VLOOKUP(A65,'Employee Engagement Survey'!A266:B1735,2,FALSE)</f>
        <v>1</v>
      </c>
      <c r="AF65">
        <f>VLOOKUP(A65,'Employee Engagement Survey'!A266:C1735,3,FALSE)</f>
        <v>3</v>
      </c>
      <c r="AG65">
        <f>VLOOKUP(A65,'Employee Engagement Survey'!A266:D1735,4,FALSE)</f>
        <v>3</v>
      </c>
      <c r="AH65">
        <f>VLOOKUP(A65,'Employee Engagement Survey'!A266:E1735,5,FALSE)</f>
        <v>1</v>
      </c>
      <c r="AI65">
        <f t="shared" si="2"/>
        <v>2</v>
      </c>
    </row>
    <row r="66" spans="1:35" hidden="1" x14ac:dyDescent="0.4">
      <c r="A66">
        <v>1279</v>
      </c>
      <c r="B66" t="s">
        <v>26</v>
      </c>
      <c r="C66">
        <f t="shared" ref="C66:C97" si="6">IF(B66="No",1,0)</f>
        <v>0</v>
      </c>
      <c r="D66" t="s">
        <v>46</v>
      </c>
      <c r="E66">
        <f t="shared" ref="E66:E129" si="7">IF(OR(D66="Manager, HR", D66="Manager, Sales", D66="Manager, R&amp;D", D66="Manufacturing Director",D66="Research Director", D66="VP, HR", D66="CEO"),1,0)</f>
        <v>0</v>
      </c>
      <c r="F66" t="s">
        <v>28</v>
      </c>
      <c r="G66">
        <v>5</v>
      </c>
      <c r="H66" s="1">
        <v>55500</v>
      </c>
      <c r="I66" s="10">
        <v>0.2</v>
      </c>
      <c r="J66">
        <v>37.5</v>
      </c>
      <c r="K66" t="s">
        <v>34</v>
      </c>
      <c r="L66">
        <v>21</v>
      </c>
      <c r="M66" t="s">
        <v>47</v>
      </c>
      <c r="N66" t="s">
        <v>30</v>
      </c>
      <c r="O66" t="s">
        <v>44</v>
      </c>
      <c r="P66">
        <v>10</v>
      </c>
      <c r="Q66" t="s">
        <v>36</v>
      </c>
      <c r="R66" t="s">
        <v>37</v>
      </c>
      <c r="S66">
        <v>4</v>
      </c>
      <c r="T66">
        <v>0</v>
      </c>
      <c r="U66">
        <v>2</v>
      </c>
      <c r="V66">
        <v>2</v>
      </c>
      <c r="W66">
        <v>2</v>
      </c>
      <c r="X66">
        <v>2</v>
      </c>
      <c r="Y66">
        <v>2</v>
      </c>
      <c r="Z66">
        <v>2</v>
      </c>
      <c r="AA66" t="str">
        <f t="shared" si="3"/>
        <v>Early Tenure</v>
      </c>
      <c r="AC66">
        <f t="shared" si="4"/>
        <v>0</v>
      </c>
      <c r="AE66">
        <f>VLOOKUP(A66,'Employee Engagement Survey'!A270:B1739,2,FALSE)</f>
        <v>1</v>
      </c>
      <c r="AF66">
        <f>VLOOKUP(A66,'Employee Engagement Survey'!A270:C1739,3,FALSE)</f>
        <v>3</v>
      </c>
      <c r="AG66">
        <f>VLOOKUP(A66,'Employee Engagement Survey'!A270:D1739,4,FALSE)</f>
        <v>3</v>
      </c>
      <c r="AH66">
        <f>VLOOKUP(A66,'Employee Engagement Survey'!A270:E1739,5,FALSE)</f>
        <v>1</v>
      </c>
      <c r="AI66">
        <f t="shared" ref="AI66:AI129" si="8">AVERAGE(AE66:AH66)</f>
        <v>2</v>
      </c>
    </row>
    <row r="67" spans="1:35" hidden="1" x14ac:dyDescent="0.4">
      <c r="A67">
        <v>1691</v>
      </c>
      <c r="B67" t="s">
        <v>26</v>
      </c>
      <c r="C67">
        <f t="shared" si="6"/>
        <v>0</v>
      </c>
      <c r="D67" t="s">
        <v>39</v>
      </c>
      <c r="E67">
        <f t="shared" si="7"/>
        <v>0</v>
      </c>
      <c r="F67" t="s">
        <v>40</v>
      </c>
      <c r="G67">
        <v>5</v>
      </c>
      <c r="H67" s="1">
        <v>55860</v>
      </c>
      <c r="I67" s="10">
        <v>0.11</v>
      </c>
      <c r="J67">
        <v>37.5</v>
      </c>
      <c r="K67" t="s">
        <v>26</v>
      </c>
      <c r="L67">
        <v>48</v>
      </c>
      <c r="M67" t="s">
        <v>47</v>
      </c>
      <c r="N67" t="s">
        <v>42</v>
      </c>
      <c r="O67" t="s">
        <v>44</v>
      </c>
      <c r="P67">
        <v>7</v>
      </c>
      <c r="Q67" t="s">
        <v>36</v>
      </c>
      <c r="R67" t="s">
        <v>33</v>
      </c>
      <c r="S67">
        <v>3</v>
      </c>
      <c r="T67">
        <v>2</v>
      </c>
      <c r="U67">
        <v>19</v>
      </c>
      <c r="V67">
        <v>3</v>
      </c>
      <c r="W67">
        <v>9</v>
      </c>
      <c r="X67">
        <v>7</v>
      </c>
      <c r="Y67">
        <v>7</v>
      </c>
      <c r="Z67">
        <v>7</v>
      </c>
      <c r="AA67" t="str">
        <f t="shared" ref="AA67:AA130" si="9">IF(W67&lt;=2,"Early Tenure",IF(W67&lt;=9,"Mid Tenure","Long Tenure"))</f>
        <v>Mid Tenure</v>
      </c>
      <c r="AC67">
        <f t="shared" ref="AC67:AC130" si="10">IF(AND(AB67&lt;&gt;"",AB67&gt;DATE(2024,1,1)),1,0)</f>
        <v>0</v>
      </c>
      <c r="AE67">
        <f>VLOOKUP(A67,'Employee Engagement Survey'!A277:B1746,2,FALSE)</f>
        <v>4</v>
      </c>
      <c r="AF67">
        <f>VLOOKUP(A67,'Employee Engagement Survey'!A277:C1746,3,FALSE)</f>
        <v>3</v>
      </c>
      <c r="AG67">
        <f>VLOOKUP(A67,'Employee Engagement Survey'!A277:D1746,4,FALSE)</f>
        <v>3</v>
      </c>
      <c r="AH67">
        <f>VLOOKUP(A67,'Employee Engagement Survey'!A277:E1746,5,FALSE)</f>
        <v>3</v>
      </c>
      <c r="AI67">
        <f t="shared" si="8"/>
        <v>3.25</v>
      </c>
    </row>
    <row r="68" spans="1:35" hidden="1" x14ac:dyDescent="0.4">
      <c r="A68">
        <v>297</v>
      </c>
      <c r="B68" t="s">
        <v>26</v>
      </c>
      <c r="C68">
        <f t="shared" si="6"/>
        <v>0</v>
      </c>
      <c r="D68" t="s">
        <v>27</v>
      </c>
      <c r="E68">
        <f t="shared" si="7"/>
        <v>0</v>
      </c>
      <c r="F68" t="s">
        <v>28</v>
      </c>
      <c r="G68">
        <v>5</v>
      </c>
      <c r="H68" s="1">
        <v>55884</v>
      </c>
      <c r="I68" s="10">
        <v>0.11</v>
      </c>
      <c r="J68">
        <v>37.5</v>
      </c>
      <c r="K68" t="s">
        <v>26</v>
      </c>
      <c r="L68">
        <v>30</v>
      </c>
      <c r="M68" t="s">
        <v>47</v>
      </c>
      <c r="N68" t="s">
        <v>30</v>
      </c>
      <c r="O68" t="s">
        <v>31</v>
      </c>
      <c r="P68">
        <v>3</v>
      </c>
      <c r="Q68" t="s">
        <v>43</v>
      </c>
      <c r="R68" t="s">
        <v>45</v>
      </c>
      <c r="S68">
        <v>3</v>
      </c>
      <c r="T68">
        <v>0</v>
      </c>
      <c r="U68">
        <v>8</v>
      </c>
      <c r="V68">
        <v>5</v>
      </c>
      <c r="W68">
        <v>5</v>
      </c>
      <c r="X68">
        <v>2</v>
      </c>
      <c r="Y68">
        <v>0</v>
      </c>
      <c r="Z68">
        <v>4</v>
      </c>
      <c r="AA68" t="str">
        <f t="shared" si="9"/>
        <v>Mid Tenure</v>
      </c>
      <c r="AC68">
        <f t="shared" si="10"/>
        <v>0</v>
      </c>
      <c r="AE68">
        <f>VLOOKUP(A68,'Employee Engagement Survey'!A278:B1747,2,FALSE)</f>
        <v>4</v>
      </c>
      <c r="AF68">
        <f>VLOOKUP(A68,'Employee Engagement Survey'!A278:C1747,3,FALSE)</f>
        <v>1</v>
      </c>
      <c r="AG68">
        <f>VLOOKUP(A68,'Employee Engagement Survey'!A278:D1747,4,FALSE)</f>
        <v>3</v>
      </c>
      <c r="AH68">
        <f>VLOOKUP(A68,'Employee Engagement Survey'!A278:E1747,5,FALSE)</f>
        <v>3</v>
      </c>
      <c r="AI68">
        <f t="shared" si="8"/>
        <v>2.75</v>
      </c>
    </row>
    <row r="69" spans="1:35" hidden="1" x14ac:dyDescent="0.4">
      <c r="A69">
        <v>376</v>
      </c>
      <c r="B69" t="s">
        <v>26</v>
      </c>
      <c r="C69">
        <f t="shared" si="6"/>
        <v>0</v>
      </c>
      <c r="D69" t="s">
        <v>109</v>
      </c>
      <c r="E69">
        <f t="shared" si="7"/>
        <v>1</v>
      </c>
      <c r="F69" t="s">
        <v>28</v>
      </c>
      <c r="G69">
        <v>10</v>
      </c>
      <c r="H69" s="1">
        <v>154188</v>
      </c>
      <c r="I69" s="10">
        <v>0.12</v>
      </c>
      <c r="J69">
        <v>37.5</v>
      </c>
      <c r="K69" t="s">
        <v>26</v>
      </c>
      <c r="L69">
        <v>47</v>
      </c>
      <c r="M69" t="s">
        <v>29</v>
      </c>
      <c r="N69" t="s">
        <v>42</v>
      </c>
      <c r="O69" t="s">
        <v>35</v>
      </c>
      <c r="P69">
        <v>29</v>
      </c>
      <c r="Q69" t="s">
        <v>51</v>
      </c>
      <c r="R69" t="s">
        <v>37</v>
      </c>
      <c r="S69">
        <v>3</v>
      </c>
      <c r="T69">
        <v>1</v>
      </c>
      <c r="U69">
        <v>10</v>
      </c>
      <c r="V69">
        <v>2</v>
      </c>
      <c r="W69">
        <v>10</v>
      </c>
      <c r="X69">
        <v>7</v>
      </c>
      <c r="Y69">
        <v>9</v>
      </c>
      <c r="Z69">
        <v>9</v>
      </c>
      <c r="AA69" t="str">
        <f t="shared" si="9"/>
        <v>Long Tenure</v>
      </c>
      <c r="AC69">
        <f t="shared" si="10"/>
        <v>0</v>
      </c>
      <c r="AE69">
        <f>VLOOKUP(A69,'Employee Engagement Survey'!A281:B1750,2,FALSE)</f>
        <v>1</v>
      </c>
      <c r="AF69">
        <f>VLOOKUP(A69,'Employee Engagement Survey'!A281:C1750,3,FALSE)</f>
        <v>2</v>
      </c>
      <c r="AG69">
        <f>VLOOKUP(A69,'Employee Engagement Survey'!A281:D1750,4,FALSE)</f>
        <v>4</v>
      </c>
      <c r="AH69">
        <f>VLOOKUP(A69,'Employee Engagement Survey'!A281:E1750,5,FALSE)</f>
        <v>2</v>
      </c>
      <c r="AI69">
        <f t="shared" si="8"/>
        <v>2.25</v>
      </c>
    </row>
    <row r="70" spans="1:35" hidden="1" x14ac:dyDescent="0.4">
      <c r="A70">
        <v>392</v>
      </c>
      <c r="B70" t="s">
        <v>26</v>
      </c>
      <c r="C70">
        <f t="shared" si="6"/>
        <v>0</v>
      </c>
      <c r="D70" t="s">
        <v>46</v>
      </c>
      <c r="E70">
        <f t="shared" si="7"/>
        <v>0</v>
      </c>
      <c r="F70" t="s">
        <v>28</v>
      </c>
      <c r="G70">
        <v>6</v>
      </c>
      <c r="H70" s="1">
        <v>61932</v>
      </c>
      <c r="I70" s="10">
        <v>0.22</v>
      </c>
      <c r="J70">
        <v>37.5</v>
      </c>
      <c r="K70" t="s">
        <v>26</v>
      </c>
      <c r="L70">
        <v>44</v>
      </c>
      <c r="M70" t="s">
        <v>29</v>
      </c>
      <c r="N70" t="s">
        <v>48</v>
      </c>
      <c r="O70" t="s">
        <v>44</v>
      </c>
      <c r="P70">
        <v>24</v>
      </c>
      <c r="Q70" t="s">
        <v>43</v>
      </c>
      <c r="R70" t="s">
        <v>37</v>
      </c>
      <c r="S70">
        <v>4</v>
      </c>
      <c r="T70">
        <v>1</v>
      </c>
      <c r="U70">
        <v>19</v>
      </c>
      <c r="V70">
        <v>0</v>
      </c>
      <c r="W70">
        <v>1</v>
      </c>
      <c r="X70">
        <v>0</v>
      </c>
      <c r="Y70">
        <v>0</v>
      </c>
      <c r="Z70">
        <v>0</v>
      </c>
      <c r="AA70" t="str">
        <f t="shared" si="9"/>
        <v>Early Tenure</v>
      </c>
      <c r="AC70">
        <f t="shared" si="10"/>
        <v>0</v>
      </c>
      <c r="AE70">
        <f>VLOOKUP(A70,'Employee Engagement Survey'!A292:B1761,2,FALSE)</f>
        <v>4</v>
      </c>
      <c r="AF70">
        <f>VLOOKUP(A70,'Employee Engagement Survey'!A292:C1761,3,FALSE)</f>
        <v>3</v>
      </c>
      <c r="AG70">
        <f>VLOOKUP(A70,'Employee Engagement Survey'!A292:D1761,4,FALSE)</f>
        <v>4</v>
      </c>
      <c r="AH70">
        <f>VLOOKUP(A70,'Employee Engagement Survey'!A292:E1761,5,FALSE)</f>
        <v>1</v>
      </c>
      <c r="AI70">
        <f t="shared" si="8"/>
        <v>3</v>
      </c>
    </row>
    <row r="71" spans="1:35" hidden="1" x14ac:dyDescent="0.4">
      <c r="A71">
        <v>923</v>
      </c>
      <c r="B71" t="s">
        <v>26</v>
      </c>
      <c r="C71">
        <f t="shared" si="6"/>
        <v>0</v>
      </c>
      <c r="D71" t="s">
        <v>27</v>
      </c>
      <c r="E71">
        <f t="shared" si="7"/>
        <v>0</v>
      </c>
      <c r="F71" t="s">
        <v>28</v>
      </c>
      <c r="G71">
        <v>5</v>
      </c>
      <c r="H71" s="1">
        <v>56316</v>
      </c>
      <c r="I71" s="10">
        <v>0.19</v>
      </c>
      <c r="J71">
        <v>37.5</v>
      </c>
      <c r="K71" t="s">
        <v>34</v>
      </c>
      <c r="L71">
        <v>21</v>
      </c>
      <c r="M71" t="s">
        <v>47</v>
      </c>
      <c r="N71" t="s">
        <v>30</v>
      </c>
      <c r="O71" t="s">
        <v>31</v>
      </c>
      <c r="P71">
        <v>18</v>
      </c>
      <c r="Q71" t="s">
        <v>32</v>
      </c>
      <c r="R71" t="s">
        <v>53</v>
      </c>
      <c r="S71">
        <v>3</v>
      </c>
      <c r="T71">
        <v>0</v>
      </c>
      <c r="U71">
        <v>1</v>
      </c>
      <c r="V71">
        <v>3</v>
      </c>
      <c r="W71">
        <v>1</v>
      </c>
      <c r="X71">
        <v>0</v>
      </c>
      <c r="Y71">
        <v>0</v>
      </c>
      <c r="Z71">
        <v>0</v>
      </c>
      <c r="AA71" t="str">
        <f t="shared" si="9"/>
        <v>Early Tenure</v>
      </c>
      <c r="AC71">
        <f t="shared" si="10"/>
        <v>0</v>
      </c>
      <c r="AE71">
        <f>VLOOKUP(A71,'Employee Engagement Survey'!A293:B1762,2,FALSE)</f>
        <v>4</v>
      </c>
      <c r="AF71">
        <f>VLOOKUP(A71,'Employee Engagement Survey'!A293:C1762,3,FALSE)</f>
        <v>4</v>
      </c>
      <c r="AG71">
        <f>VLOOKUP(A71,'Employee Engagement Survey'!A293:D1762,4,FALSE)</f>
        <v>1</v>
      </c>
      <c r="AH71">
        <f>VLOOKUP(A71,'Employee Engagement Survey'!A293:E1762,5,FALSE)</f>
        <v>2</v>
      </c>
      <c r="AI71">
        <f t="shared" si="8"/>
        <v>2.75</v>
      </c>
    </row>
    <row r="72" spans="1:35" hidden="1" x14ac:dyDescent="0.4">
      <c r="A72">
        <v>394</v>
      </c>
      <c r="B72" t="s">
        <v>26</v>
      </c>
      <c r="C72">
        <f t="shared" si="6"/>
        <v>0</v>
      </c>
      <c r="D72" t="s">
        <v>46</v>
      </c>
      <c r="E72">
        <f t="shared" si="7"/>
        <v>0</v>
      </c>
      <c r="F72" t="s">
        <v>28</v>
      </c>
      <c r="G72">
        <v>4</v>
      </c>
      <c r="H72" s="1">
        <v>52476</v>
      </c>
      <c r="I72" s="10">
        <v>0.13</v>
      </c>
      <c r="J72">
        <v>37.5</v>
      </c>
      <c r="K72" t="s">
        <v>26</v>
      </c>
      <c r="L72">
        <v>26</v>
      </c>
      <c r="M72" t="s">
        <v>29</v>
      </c>
      <c r="N72" t="s">
        <v>48</v>
      </c>
      <c r="O72" t="s">
        <v>31</v>
      </c>
      <c r="P72">
        <v>16</v>
      </c>
      <c r="Q72" t="s">
        <v>51</v>
      </c>
      <c r="R72" t="s">
        <v>33</v>
      </c>
      <c r="S72">
        <v>3</v>
      </c>
      <c r="T72">
        <v>1</v>
      </c>
      <c r="U72">
        <v>5</v>
      </c>
      <c r="V72">
        <v>2</v>
      </c>
      <c r="W72">
        <v>3</v>
      </c>
      <c r="X72">
        <v>2</v>
      </c>
      <c r="Y72">
        <v>0</v>
      </c>
      <c r="Z72">
        <v>2</v>
      </c>
      <c r="AA72" t="str">
        <f t="shared" si="9"/>
        <v>Mid Tenure</v>
      </c>
      <c r="AC72">
        <f t="shared" si="10"/>
        <v>0</v>
      </c>
      <c r="AE72">
        <f>VLOOKUP(A72,'Employee Engagement Survey'!A295:B1764,2,FALSE)</f>
        <v>1</v>
      </c>
      <c r="AF72">
        <f>VLOOKUP(A72,'Employee Engagement Survey'!A295:C1764,3,FALSE)</f>
        <v>2</v>
      </c>
      <c r="AG72">
        <f>VLOOKUP(A72,'Employee Engagement Survey'!A295:D1764,4,FALSE)</f>
        <v>4</v>
      </c>
      <c r="AH72">
        <f>VLOOKUP(A72,'Employee Engagement Survey'!A295:E1764,5,FALSE)</f>
        <v>3</v>
      </c>
      <c r="AI72">
        <f t="shared" si="8"/>
        <v>2.5</v>
      </c>
    </row>
    <row r="73" spans="1:35" hidden="1" x14ac:dyDescent="0.4">
      <c r="A73">
        <v>401</v>
      </c>
      <c r="B73" t="s">
        <v>26</v>
      </c>
      <c r="C73">
        <f t="shared" si="6"/>
        <v>0</v>
      </c>
      <c r="D73" t="s">
        <v>57</v>
      </c>
      <c r="E73">
        <f t="shared" si="7"/>
        <v>0</v>
      </c>
      <c r="F73" t="s">
        <v>40</v>
      </c>
      <c r="G73">
        <v>7</v>
      </c>
      <c r="H73" s="1">
        <v>81936</v>
      </c>
      <c r="I73" s="10">
        <v>0.12</v>
      </c>
      <c r="J73">
        <v>37.5</v>
      </c>
      <c r="K73" t="s">
        <v>26</v>
      </c>
      <c r="L73">
        <v>26</v>
      </c>
      <c r="M73" t="s">
        <v>29</v>
      </c>
      <c r="N73" t="s">
        <v>30</v>
      </c>
      <c r="O73" t="s">
        <v>31</v>
      </c>
      <c r="P73">
        <v>4</v>
      </c>
      <c r="Q73" t="s">
        <v>51</v>
      </c>
      <c r="R73" t="s">
        <v>56</v>
      </c>
      <c r="S73">
        <v>3</v>
      </c>
      <c r="T73">
        <v>0</v>
      </c>
      <c r="U73">
        <v>8</v>
      </c>
      <c r="V73">
        <v>0</v>
      </c>
      <c r="W73">
        <v>8</v>
      </c>
      <c r="X73">
        <v>7</v>
      </c>
      <c r="Y73">
        <v>7</v>
      </c>
      <c r="Z73">
        <v>4</v>
      </c>
      <c r="AA73" t="str">
        <f t="shared" si="9"/>
        <v>Mid Tenure</v>
      </c>
      <c r="AC73">
        <f t="shared" si="10"/>
        <v>0</v>
      </c>
      <c r="AE73">
        <f>VLOOKUP(A73,'Employee Engagement Survey'!A297:B1766,2,FALSE)</f>
        <v>4</v>
      </c>
      <c r="AF73">
        <f>VLOOKUP(A73,'Employee Engagement Survey'!A297:C1766,3,FALSE)</f>
        <v>4</v>
      </c>
      <c r="AG73">
        <f>VLOOKUP(A73,'Employee Engagement Survey'!A297:D1766,4,FALSE)</f>
        <v>2</v>
      </c>
      <c r="AH73">
        <f>VLOOKUP(A73,'Employee Engagement Survey'!A297:E1766,5,FALSE)</f>
        <v>3</v>
      </c>
      <c r="AI73">
        <f t="shared" si="8"/>
        <v>3.25</v>
      </c>
    </row>
    <row r="74" spans="1:35" hidden="1" x14ac:dyDescent="0.4">
      <c r="A74">
        <v>328</v>
      </c>
      <c r="B74" t="s">
        <v>26</v>
      </c>
      <c r="C74">
        <f t="shared" si="6"/>
        <v>0</v>
      </c>
      <c r="D74" t="s">
        <v>46</v>
      </c>
      <c r="E74">
        <f t="shared" si="7"/>
        <v>0</v>
      </c>
      <c r="F74" t="s">
        <v>28</v>
      </c>
      <c r="G74">
        <v>5</v>
      </c>
      <c r="H74" s="1">
        <v>56484</v>
      </c>
      <c r="I74" s="10">
        <v>0.2</v>
      </c>
      <c r="J74">
        <v>37.5</v>
      </c>
      <c r="K74" t="s">
        <v>34</v>
      </c>
      <c r="L74">
        <v>33</v>
      </c>
      <c r="M74" t="s">
        <v>47</v>
      </c>
      <c r="N74" t="s">
        <v>42</v>
      </c>
      <c r="O74" t="s">
        <v>31</v>
      </c>
      <c r="P74">
        <v>2</v>
      </c>
      <c r="Q74" t="s">
        <v>36</v>
      </c>
      <c r="R74" t="s">
        <v>37</v>
      </c>
      <c r="S74">
        <v>4</v>
      </c>
      <c r="T74">
        <v>0</v>
      </c>
      <c r="U74">
        <v>13</v>
      </c>
      <c r="V74">
        <v>3</v>
      </c>
      <c r="W74">
        <v>9</v>
      </c>
      <c r="X74">
        <v>7</v>
      </c>
      <c r="Y74">
        <v>1</v>
      </c>
      <c r="Z74">
        <v>7</v>
      </c>
      <c r="AA74" t="str">
        <f t="shared" si="9"/>
        <v>Mid Tenure</v>
      </c>
      <c r="AC74">
        <f t="shared" si="10"/>
        <v>0</v>
      </c>
      <c r="AE74">
        <f>VLOOKUP(A74,'Employee Engagement Survey'!A302:B1771,2,FALSE)</f>
        <v>1</v>
      </c>
      <c r="AF74">
        <f>VLOOKUP(A74,'Employee Engagement Survey'!A302:C1771,3,FALSE)</f>
        <v>1</v>
      </c>
      <c r="AG74">
        <f>VLOOKUP(A74,'Employee Engagement Survey'!A302:D1771,4,FALSE)</f>
        <v>1</v>
      </c>
      <c r="AH74">
        <f>VLOOKUP(A74,'Employee Engagement Survey'!A302:E1771,5,FALSE)</f>
        <v>4</v>
      </c>
      <c r="AI74">
        <f t="shared" si="8"/>
        <v>1.75</v>
      </c>
    </row>
    <row r="75" spans="1:35" hidden="1" x14ac:dyDescent="0.4">
      <c r="A75">
        <v>494</v>
      </c>
      <c r="B75" t="s">
        <v>26</v>
      </c>
      <c r="C75">
        <f t="shared" si="6"/>
        <v>0</v>
      </c>
      <c r="D75" t="s">
        <v>39</v>
      </c>
      <c r="E75">
        <f t="shared" si="7"/>
        <v>0</v>
      </c>
      <c r="F75" t="s">
        <v>40</v>
      </c>
      <c r="G75">
        <v>5</v>
      </c>
      <c r="H75" s="1">
        <v>56592</v>
      </c>
      <c r="I75" s="10">
        <v>0.15</v>
      </c>
      <c r="J75">
        <v>37.5</v>
      </c>
      <c r="K75" t="s">
        <v>34</v>
      </c>
      <c r="L75">
        <v>21</v>
      </c>
      <c r="M75" t="s">
        <v>47</v>
      </c>
      <c r="N75" t="s">
        <v>30</v>
      </c>
      <c r="O75" t="s">
        <v>31</v>
      </c>
      <c r="P75">
        <v>12</v>
      </c>
      <c r="Q75" t="s">
        <v>43</v>
      </c>
      <c r="R75" t="s">
        <v>37</v>
      </c>
      <c r="S75">
        <v>3</v>
      </c>
      <c r="T75">
        <v>0</v>
      </c>
      <c r="U75">
        <v>1</v>
      </c>
      <c r="V75">
        <v>0</v>
      </c>
      <c r="W75">
        <v>1</v>
      </c>
      <c r="X75">
        <v>0</v>
      </c>
      <c r="Y75">
        <v>0</v>
      </c>
      <c r="Z75">
        <v>0</v>
      </c>
      <c r="AA75" t="str">
        <f t="shared" si="9"/>
        <v>Early Tenure</v>
      </c>
      <c r="AC75">
        <f t="shared" si="10"/>
        <v>0</v>
      </c>
      <c r="AE75">
        <f>VLOOKUP(A75,'Employee Engagement Survey'!A304:B1773,2,FALSE)</f>
        <v>3</v>
      </c>
      <c r="AF75">
        <f>VLOOKUP(A75,'Employee Engagement Survey'!A304:C1773,3,FALSE)</f>
        <v>2</v>
      </c>
      <c r="AG75">
        <f>VLOOKUP(A75,'Employee Engagement Survey'!A304:D1773,4,FALSE)</f>
        <v>4</v>
      </c>
      <c r="AH75">
        <f>VLOOKUP(A75,'Employee Engagement Survey'!A304:E1773,5,FALSE)</f>
        <v>3</v>
      </c>
      <c r="AI75">
        <f t="shared" si="8"/>
        <v>3</v>
      </c>
    </row>
    <row r="76" spans="1:35" hidden="1" x14ac:dyDescent="0.4">
      <c r="A76">
        <v>608</v>
      </c>
      <c r="B76" t="s">
        <v>26</v>
      </c>
      <c r="C76">
        <f t="shared" si="6"/>
        <v>0</v>
      </c>
      <c r="D76" t="s">
        <v>106</v>
      </c>
      <c r="E76">
        <f t="shared" si="7"/>
        <v>0</v>
      </c>
      <c r="F76" t="s">
        <v>59</v>
      </c>
      <c r="G76">
        <v>5</v>
      </c>
      <c r="H76" s="1">
        <v>56892</v>
      </c>
      <c r="I76" s="10">
        <v>0.11</v>
      </c>
      <c r="J76">
        <v>37.5</v>
      </c>
      <c r="K76" t="s">
        <v>26</v>
      </c>
      <c r="L76">
        <v>26</v>
      </c>
      <c r="M76" t="s">
        <v>47</v>
      </c>
      <c r="N76" t="s">
        <v>48</v>
      </c>
      <c r="O76" t="s">
        <v>44</v>
      </c>
      <c r="P76">
        <v>17</v>
      </c>
      <c r="Q76" t="s">
        <v>51</v>
      </c>
      <c r="R76" t="s">
        <v>37</v>
      </c>
      <c r="S76">
        <v>3</v>
      </c>
      <c r="T76">
        <v>1</v>
      </c>
      <c r="U76">
        <v>8</v>
      </c>
      <c r="V76">
        <v>2</v>
      </c>
      <c r="W76">
        <v>7</v>
      </c>
      <c r="X76">
        <v>7</v>
      </c>
      <c r="Y76">
        <v>1</v>
      </c>
      <c r="Z76">
        <v>0</v>
      </c>
      <c r="AA76" t="str">
        <f t="shared" si="9"/>
        <v>Mid Tenure</v>
      </c>
      <c r="AC76">
        <f t="shared" si="10"/>
        <v>0</v>
      </c>
      <c r="AE76">
        <f>VLOOKUP(A76,'Employee Engagement Survey'!A312:B1781,2,FALSE)</f>
        <v>2</v>
      </c>
      <c r="AF76">
        <f>VLOOKUP(A76,'Employee Engagement Survey'!A312:C1781,3,FALSE)</f>
        <v>3</v>
      </c>
      <c r="AG76">
        <f>VLOOKUP(A76,'Employee Engagement Survey'!A312:D1781,4,FALSE)</f>
        <v>2</v>
      </c>
      <c r="AH76">
        <f>VLOOKUP(A76,'Employee Engagement Survey'!A312:E1781,5,FALSE)</f>
        <v>2</v>
      </c>
      <c r="AI76">
        <f t="shared" si="8"/>
        <v>2.25</v>
      </c>
    </row>
    <row r="77" spans="1:35" hidden="1" x14ac:dyDescent="0.4">
      <c r="A77">
        <v>1467</v>
      </c>
      <c r="B77" t="s">
        <v>26</v>
      </c>
      <c r="C77">
        <f t="shared" si="6"/>
        <v>0</v>
      </c>
      <c r="D77" t="s">
        <v>105</v>
      </c>
      <c r="E77">
        <f t="shared" si="7"/>
        <v>0</v>
      </c>
      <c r="F77" t="s">
        <v>59</v>
      </c>
      <c r="G77">
        <v>5</v>
      </c>
      <c r="H77" s="1">
        <v>56904</v>
      </c>
      <c r="I77" s="10">
        <v>0.15</v>
      </c>
      <c r="J77">
        <v>37.5</v>
      </c>
      <c r="K77" t="s">
        <v>34</v>
      </c>
      <c r="L77">
        <v>34</v>
      </c>
      <c r="M77" t="s">
        <v>47</v>
      </c>
      <c r="N77" t="s">
        <v>42</v>
      </c>
      <c r="O77" t="s">
        <v>31</v>
      </c>
      <c r="P77">
        <v>9</v>
      </c>
      <c r="Q77" t="s">
        <v>51</v>
      </c>
      <c r="R77" t="s">
        <v>45</v>
      </c>
      <c r="S77">
        <v>3</v>
      </c>
      <c r="T77">
        <v>0</v>
      </c>
      <c r="U77">
        <v>2</v>
      </c>
      <c r="V77">
        <v>0</v>
      </c>
      <c r="W77">
        <v>2</v>
      </c>
      <c r="X77">
        <v>2</v>
      </c>
      <c r="Y77">
        <v>2</v>
      </c>
      <c r="Z77">
        <v>2</v>
      </c>
      <c r="AA77" t="str">
        <f t="shared" si="9"/>
        <v>Early Tenure</v>
      </c>
      <c r="AC77">
        <f t="shared" si="10"/>
        <v>0</v>
      </c>
      <c r="AE77">
        <f>VLOOKUP(A77,'Employee Engagement Survey'!A314:B1783,2,FALSE)</f>
        <v>1</v>
      </c>
      <c r="AF77">
        <f>VLOOKUP(A77,'Employee Engagement Survey'!A314:C1783,3,FALSE)</f>
        <v>3</v>
      </c>
      <c r="AG77">
        <f>VLOOKUP(A77,'Employee Engagement Survey'!A314:D1783,4,FALSE)</f>
        <v>4</v>
      </c>
      <c r="AH77">
        <f>VLOOKUP(A77,'Employee Engagement Survey'!A314:E1783,5,FALSE)</f>
        <v>3</v>
      </c>
      <c r="AI77">
        <f t="shared" si="8"/>
        <v>2.75</v>
      </c>
    </row>
    <row r="78" spans="1:35" hidden="1" x14ac:dyDescent="0.4">
      <c r="A78">
        <v>1042</v>
      </c>
      <c r="B78" t="s">
        <v>26</v>
      </c>
      <c r="C78">
        <f t="shared" si="6"/>
        <v>0</v>
      </c>
      <c r="D78" t="s">
        <v>46</v>
      </c>
      <c r="E78">
        <f t="shared" si="7"/>
        <v>0</v>
      </c>
      <c r="F78" t="s">
        <v>28</v>
      </c>
      <c r="G78">
        <v>5</v>
      </c>
      <c r="H78" s="1">
        <v>56916</v>
      </c>
      <c r="I78" s="10">
        <v>0.16</v>
      </c>
      <c r="J78">
        <v>37.5</v>
      </c>
      <c r="K78" t="s">
        <v>34</v>
      </c>
      <c r="L78">
        <v>36</v>
      </c>
      <c r="M78" t="s">
        <v>47</v>
      </c>
      <c r="N78" t="s">
        <v>30</v>
      </c>
      <c r="O78" t="s">
        <v>31</v>
      </c>
      <c r="P78">
        <v>16</v>
      </c>
      <c r="Q78" t="s">
        <v>51</v>
      </c>
      <c r="R78" t="s">
        <v>37</v>
      </c>
      <c r="S78">
        <v>3</v>
      </c>
      <c r="T78">
        <v>0</v>
      </c>
      <c r="U78">
        <v>18</v>
      </c>
      <c r="V78">
        <v>1</v>
      </c>
      <c r="W78">
        <v>17</v>
      </c>
      <c r="X78">
        <v>13</v>
      </c>
      <c r="Y78">
        <v>15</v>
      </c>
      <c r="Z78">
        <v>14</v>
      </c>
      <c r="AA78" t="str">
        <f t="shared" si="9"/>
        <v>Long Tenure</v>
      </c>
      <c r="AC78">
        <f t="shared" si="10"/>
        <v>0</v>
      </c>
      <c r="AE78">
        <f>VLOOKUP(A78,'Employee Engagement Survey'!A315:B1784,2,FALSE)</f>
        <v>3</v>
      </c>
      <c r="AF78">
        <f>VLOOKUP(A78,'Employee Engagement Survey'!A315:C1784,3,FALSE)</f>
        <v>1</v>
      </c>
      <c r="AG78">
        <f>VLOOKUP(A78,'Employee Engagement Survey'!A315:D1784,4,FALSE)</f>
        <v>3</v>
      </c>
      <c r="AH78">
        <f>VLOOKUP(A78,'Employee Engagement Survey'!A315:E1784,5,FALSE)</f>
        <v>3</v>
      </c>
      <c r="AI78">
        <f t="shared" si="8"/>
        <v>2.5</v>
      </c>
    </row>
    <row r="79" spans="1:35" hidden="1" x14ac:dyDescent="0.4">
      <c r="A79">
        <v>1752</v>
      </c>
      <c r="B79" t="s">
        <v>26</v>
      </c>
      <c r="C79">
        <f t="shared" si="6"/>
        <v>0</v>
      </c>
      <c r="D79" t="s">
        <v>39</v>
      </c>
      <c r="E79">
        <f t="shared" si="7"/>
        <v>0</v>
      </c>
      <c r="F79" t="s">
        <v>40</v>
      </c>
      <c r="G79">
        <v>5</v>
      </c>
      <c r="H79" s="1">
        <v>57120</v>
      </c>
      <c r="I79" s="10">
        <v>0.13</v>
      </c>
      <c r="J79">
        <v>37.5</v>
      </c>
      <c r="K79" t="s">
        <v>34</v>
      </c>
      <c r="L79">
        <v>29</v>
      </c>
      <c r="M79" t="s">
        <v>47</v>
      </c>
      <c r="N79" t="s">
        <v>30</v>
      </c>
      <c r="O79" t="s">
        <v>31</v>
      </c>
      <c r="P79">
        <v>9</v>
      </c>
      <c r="Q79" t="s">
        <v>43</v>
      </c>
      <c r="R79" t="s">
        <v>56</v>
      </c>
      <c r="S79">
        <v>3</v>
      </c>
      <c r="T79">
        <v>0</v>
      </c>
      <c r="U79">
        <v>2</v>
      </c>
      <c r="V79">
        <v>3</v>
      </c>
      <c r="W79">
        <v>2</v>
      </c>
      <c r="X79">
        <v>2</v>
      </c>
      <c r="Y79">
        <v>2</v>
      </c>
      <c r="Z79">
        <v>2</v>
      </c>
      <c r="AA79" t="str">
        <f t="shared" si="9"/>
        <v>Early Tenure</v>
      </c>
      <c r="AC79">
        <f t="shared" si="10"/>
        <v>0</v>
      </c>
      <c r="AE79">
        <f>VLOOKUP(A79,'Employee Engagement Survey'!A319:B1788,2,FALSE)</f>
        <v>2</v>
      </c>
      <c r="AF79">
        <f>VLOOKUP(A79,'Employee Engagement Survey'!A319:C1788,3,FALSE)</f>
        <v>2</v>
      </c>
      <c r="AG79">
        <f>VLOOKUP(A79,'Employee Engagement Survey'!A319:D1788,4,FALSE)</f>
        <v>3</v>
      </c>
      <c r="AH79">
        <f>VLOOKUP(A79,'Employee Engagement Survey'!A319:E1788,5,FALSE)</f>
        <v>3</v>
      </c>
      <c r="AI79">
        <f t="shared" si="8"/>
        <v>2.5</v>
      </c>
    </row>
    <row r="80" spans="1:35" hidden="1" x14ac:dyDescent="0.4">
      <c r="A80">
        <v>433</v>
      </c>
      <c r="B80" t="s">
        <v>26</v>
      </c>
      <c r="C80">
        <f t="shared" si="6"/>
        <v>0</v>
      </c>
      <c r="D80" t="s">
        <v>27</v>
      </c>
      <c r="E80">
        <f t="shared" si="7"/>
        <v>0</v>
      </c>
      <c r="F80" t="s">
        <v>28</v>
      </c>
      <c r="G80">
        <v>7</v>
      </c>
      <c r="H80" s="1">
        <v>71292</v>
      </c>
      <c r="I80" s="10">
        <v>0.15</v>
      </c>
      <c r="J80">
        <v>37.5</v>
      </c>
      <c r="K80" t="s">
        <v>34</v>
      </c>
      <c r="L80">
        <v>52</v>
      </c>
      <c r="M80" t="s">
        <v>29</v>
      </c>
      <c r="N80" t="s">
        <v>42</v>
      </c>
      <c r="O80" t="s">
        <v>31</v>
      </c>
      <c r="P80">
        <v>8</v>
      </c>
      <c r="Q80" t="s">
        <v>51</v>
      </c>
      <c r="R80" t="s">
        <v>33</v>
      </c>
      <c r="S80">
        <v>3</v>
      </c>
      <c r="T80">
        <v>0</v>
      </c>
      <c r="U80">
        <v>11</v>
      </c>
      <c r="V80">
        <v>3</v>
      </c>
      <c r="W80">
        <v>8</v>
      </c>
      <c r="X80">
        <v>2</v>
      </c>
      <c r="Y80">
        <v>7</v>
      </c>
      <c r="Z80">
        <v>7</v>
      </c>
      <c r="AA80" t="str">
        <f t="shared" si="9"/>
        <v>Mid Tenure</v>
      </c>
      <c r="AC80">
        <f t="shared" si="10"/>
        <v>0</v>
      </c>
      <c r="AE80">
        <f>VLOOKUP(A80,'Employee Engagement Survey'!A321:B1790,2,FALSE)</f>
        <v>3</v>
      </c>
      <c r="AF80">
        <f>VLOOKUP(A80,'Employee Engagement Survey'!A321:C1790,3,FALSE)</f>
        <v>2</v>
      </c>
      <c r="AG80">
        <f>VLOOKUP(A80,'Employee Engagement Survey'!A321:D1790,4,FALSE)</f>
        <v>1</v>
      </c>
      <c r="AH80">
        <f>VLOOKUP(A80,'Employee Engagement Survey'!A321:E1790,5,FALSE)</f>
        <v>2</v>
      </c>
      <c r="AI80">
        <f t="shared" si="8"/>
        <v>2</v>
      </c>
    </row>
    <row r="81" spans="1:35" hidden="1" x14ac:dyDescent="0.4">
      <c r="A81">
        <v>927</v>
      </c>
      <c r="B81" t="s">
        <v>26</v>
      </c>
      <c r="C81">
        <f t="shared" si="6"/>
        <v>0</v>
      </c>
      <c r="D81" t="s">
        <v>46</v>
      </c>
      <c r="E81">
        <f t="shared" si="7"/>
        <v>0</v>
      </c>
      <c r="F81" t="s">
        <v>28</v>
      </c>
      <c r="G81">
        <v>5</v>
      </c>
      <c r="H81" s="1">
        <v>57336</v>
      </c>
      <c r="I81" s="10">
        <v>0.13</v>
      </c>
      <c r="J81">
        <v>37.5</v>
      </c>
      <c r="K81" t="s">
        <v>26</v>
      </c>
      <c r="L81">
        <v>41</v>
      </c>
      <c r="M81" t="s">
        <v>47</v>
      </c>
      <c r="N81" t="s">
        <v>48</v>
      </c>
      <c r="O81" t="s">
        <v>31</v>
      </c>
      <c r="P81">
        <v>2</v>
      </c>
      <c r="Q81" t="s">
        <v>51</v>
      </c>
      <c r="R81" t="s">
        <v>37</v>
      </c>
      <c r="S81">
        <v>3</v>
      </c>
      <c r="T81">
        <v>1</v>
      </c>
      <c r="U81">
        <v>10</v>
      </c>
      <c r="V81">
        <v>1</v>
      </c>
      <c r="W81">
        <v>7</v>
      </c>
      <c r="X81">
        <v>7</v>
      </c>
      <c r="Y81">
        <v>1</v>
      </c>
      <c r="Z81">
        <v>0</v>
      </c>
      <c r="AA81" t="str">
        <f t="shared" si="9"/>
        <v>Mid Tenure</v>
      </c>
      <c r="AC81">
        <f t="shared" si="10"/>
        <v>0</v>
      </c>
      <c r="AE81">
        <f>VLOOKUP(A81,'Employee Engagement Survey'!A324:B1793,2,FALSE)</f>
        <v>2</v>
      </c>
      <c r="AF81">
        <f>VLOOKUP(A81,'Employee Engagement Survey'!A324:C1793,3,FALSE)</f>
        <v>4</v>
      </c>
      <c r="AG81">
        <f>VLOOKUP(A81,'Employee Engagement Survey'!A324:D1793,4,FALSE)</f>
        <v>3</v>
      </c>
      <c r="AH81">
        <f>VLOOKUP(A81,'Employee Engagement Survey'!A324:E1793,5,FALSE)</f>
        <v>2</v>
      </c>
      <c r="AI81">
        <f t="shared" si="8"/>
        <v>2.75</v>
      </c>
    </row>
    <row r="82" spans="1:35" hidden="1" x14ac:dyDescent="0.4">
      <c r="A82">
        <v>440</v>
      </c>
      <c r="B82" t="s">
        <v>26</v>
      </c>
      <c r="C82">
        <f t="shared" si="6"/>
        <v>0</v>
      </c>
      <c r="D82" t="s">
        <v>27</v>
      </c>
      <c r="E82">
        <f t="shared" si="7"/>
        <v>0</v>
      </c>
      <c r="F82" t="s">
        <v>28</v>
      </c>
      <c r="G82">
        <v>6</v>
      </c>
      <c r="H82" s="1">
        <v>65568</v>
      </c>
      <c r="I82" s="10">
        <v>0.13</v>
      </c>
      <c r="J82">
        <v>37.5</v>
      </c>
      <c r="K82" t="s">
        <v>26</v>
      </c>
      <c r="L82">
        <v>28</v>
      </c>
      <c r="M82" t="s">
        <v>29</v>
      </c>
      <c r="N82" t="s">
        <v>42</v>
      </c>
      <c r="O82" t="s">
        <v>31</v>
      </c>
      <c r="P82">
        <v>2</v>
      </c>
      <c r="Q82" t="s">
        <v>51</v>
      </c>
      <c r="R82" t="s">
        <v>33</v>
      </c>
      <c r="S82">
        <v>3</v>
      </c>
      <c r="T82">
        <v>0</v>
      </c>
      <c r="U82">
        <v>5</v>
      </c>
      <c r="V82">
        <v>4</v>
      </c>
      <c r="W82">
        <v>3</v>
      </c>
      <c r="X82">
        <v>2</v>
      </c>
      <c r="Y82">
        <v>2</v>
      </c>
      <c r="Z82">
        <v>2</v>
      </c>
      <c r="AA82" t="str">
        <f t="shared" si="9"/>
        <v>Mid Tenure</v>
      </c>
      <c r="AC82">
        <f t="shared" si="10"/>
        <v>0</v>
      </c>
      <c r="AE82">
        <f>VLOOKUP(A82,'Employee Engagement Survey'!A325:B1794,2,FALSE)</f>
        <v>1</v>
      </c>
      <c r="AF82">
        <f>VLOOKUP(A82,'Employee Engagement Survey'!A325:C1794,3,FALSE)</f>
        <v>4</v>
      </c>
      <c r="AG82">
        <f>VLOOKUP(A82,'Employee Engagement Survey'!A325:D1794,4,FALSE)</f>
        <v>4</v>
      </c>
      <c r="AH82">
        <f>VLOOKUP(A82,'Employee Engagement Survey'!A325:E1794,5,FALSE)</f>
        <v>2</v>
      </c>
      <c r="AI82">
        <f t="shared" si="8"/>
        <v>2.75</v>
      </c>
    </row>
    <row r="83" spans="1:35" hidden="1" x14ac:dyDescent="0.4">
      <c r="A83">
        <v>1379</v>
      </c>
      <c r="B83" t="s">
        <v>26</v>
      </c>
      <c r="C83">
        <f t="shared" si="6"/>
        <v>0</v>
      </c>
      <c r="D83" t="s">
        <v>39</v>
      </c>
      <c r="E83">
        <f t="shared" si="7"/>
        <v>0</v>
      </c>
      <c r="F83" t="s">
        <v>40</v>
      </c>
      <c r="G83">
        <v>5</v>
      </c>
      <c r="H83" s="1">
        <v>57420</v>
      </c>
      <c r="I83" s="10">
        <v>0.14000000000000001</v>
      </c>
      <c r="J83">
        <v>37.5</v>
      </c>
      <c r="K83" t="s">
        <v>34</v>
      </c>
      <c r="L83">
        <v>31</v>
      </c>
      <c r="M83" t="s">
        <v>47</v>
      </c>
      <c r="N83" t="s">
        <v>30</v>
      </c>
      <c r="O83" t="s">
        <v>44</v>
      </c>
      <c r="P83">
        <v>2</v>
      </c>
      <c r="Q83" t="s">
        <v>43</v>
      </c>
      <c r="R83" t="s">
        <v>37</v>
      </c>
      <c r="S83">
        <v>3</v>
      </c>
      <c r="T83">
        <v>0</v>
      </c>
      <c r="U83">
        <v>3</v>
      </c>
      <c r="V83">
        <v>3</v>
      </c>
      <c r="W83">
        <v>1</v>
      </c>
      <c r="X83">
        <v>0</v>
      </c>
      <c r="Y83">
        <v>0</v>
      </c>
      <c r="Z83">
        <v>0</v>
      </c>
      <c r="AA83" t="str">
        <f t="shared" si="9"/>
        <v>Early Tenure</v>
      </c>
      <c r="AC83">
        <f t="shared" si="10"/>
        <v>0</v>
      </c>
      <c r="AE83">
        <f>VLOOKUP(A83,'Employee Engagement Survey'!A329:B1798,2,FALSE)</f>
        <v>3</v>
      </c>
      <c r="AF83">
        <f>VLOOKUP(A83,'Employee Engagement Survey'!A329:C1798,3,FALSE)</f>
        <v>4</v>
      </c>
      <c r="AG83">
        <f>VLOOKUP(A83,'Employee Engagement Survey'!A329:D1798,4,FALSE)</f>
        <v>3</v>
      </c>
      <c r="AH83">
        <f>VLOOKUP(A83,'Employee Engagement Survey'!A329:E1798,5,FALSE)</f>
        <v>4</v>
      </c>
      <c r="AI83">
        <f t="shared" si="8"/>
        <v>3.5</v>
      </c>
    </row>
    <row r="84" spans="1:35" hidden="1" x14ac:dyDescent="0.4">
      <c r="A84">
        <v>896</v>
      </c>
      <c r="B84" t="s">
        <v>26</v>
      </c>
      <c r="C84">
        <f t="shared" si="6"/>
        <v>0</v>
      </c>
      <c r="D84" t="s">
        <v>39</v>
      </c>
      <c r="E84">
        <f t="shared" si="7"/>
        <v>0</v>
      </c>
      <c r="F84" t="s">
        <v>40</v>
      </c>
      <c r="G84">
        <v>5</v>
      </c>
      <c r="H84" s="1">
        <v>57600</v>
      </c>
      <c r="I84" s="10">
        <v>0.19</v>
      </c>
      <c r="J84">
        <v>37.5</v>
      </c>
      <c r="K84" t="s">
        <v>26</v>
      </c>
      <c r="L84">
        <v>29</v>
      </c>
      <c r="M84" t="s">
        <v>47</v>
      </c>
      <c r="N84" t="s">
        <v>48</v>
      </c>
      <c r="O84" t="s">
        <v>31</v>
      </c>
      <c r="P84">
        <v>1</v>
      </c>
      <c r="Q84" t="s">
        <v>43</v>
      </c>
      <c r="R84" t="s">
        <v>33</v>
      </c>
      <c r="S84">
        <v>3</v>
      </c>
      <c r="T84">
        <v>3</v>
      </c>
      <c r="U84">
        <v>5</v>
      </c>
      <c r="V84">
        <v>3</v>
      </c>
      <c r="W84">
        <v>3</v>
      </c>
      <c r="X84">
        <v>2</v>
      </c>
      <c r="Y84">
        <v>0</v>
      </c>
      <c r="Z84">
        <v>2</v>
      </c>
      <c r="AA84" t="str">
        <f t="shared" si="9"/>
        <v>Mid Tenure</v>
      </c>
      <c r="AC84">
        <f t="shared" si="10"/>
        <v>0</v>
      </c>
      <c r="AE84">
        <f>VLOOKUP(A84,'Employee Engagement Survey'!A336:B1805,2,FALSE)</f>
        <v>2</v>
      </c>
      <c r="AF84">
        <f>VLOOKUP(A84,'Employee Engagement Survey'!A336:C1805,3,FALSE)</f>
        <v>3</v>
      </c>
      <c r="AG84">
        <f>VLOOKUP(A84,'Employee Engagement Survey'!A336:D1805,4,FALSE)</f>
        <v>3</v>
      </c>
      <c r="AH84">
        <f>VLOOKUP(A84,'Employee Engagement Survey'!A336:E1805,5,FALSE)</f>
        <v>3</v>
      </c>
      <c r="AI84">
        <f t="shared" si="8"/>
        <v>2.75</v>
      </c>
    </row>
    <row r="85" spans="1:35" hidden="1" x14ac:dyDescent="0.4">
      <c r="A85">
        <v>454</v>
      </c>
      <c r="B85" t="s">
        <v>26</v>
      </c>
      <c r="C85">
        <f t="shared" si="6"/>
        <v>0</v>
      </c>
      <c r="D85" t="s">
        <v>46</v>
      </c>
      <c r="E85">
        <f t="shared" si="7"/>
        <v>0</v>
      </c>
      <c r="F85" t="s">
        <v>28</v>
      </c>
      <c r="G85">
        <v>3</v>
      </c>
      <c r="H85" s="1">
        <v>49428</v>
      </c>
      <c r="I85" s="10">
        <v>0.11</v>
      </c>
      <c r="J85">
        <v>37.5</v>
      </c>
      <c r="K85" t="s">
        <v>26</v>
      </c>
      <c r="L85">
        <v>29</v>
      </c>
      <c r="M85" t="s">
        <v>29</v>
      </c>
      <c r="N85" t="s">
        <v>42</v>
      </c>
      <c r="O85" t="s">
        <v>31</v>
      </c>
      <c r="P85">
        <v>8</v>
      </c>
      <c r="Q85" t="s">
        <v>51</v>
      </c>
      <c r="R85" t="s">
        <v>53</v>
      </c>
      <c r="S85">
        <v>3</v>
      </c>
      <c r="T85">
        <v>0</v>
      </c>
      <c r="U85">
        <v>7</v>
      </c>
      <c r="V85">
        <v>4</v>
      </c>
      <c r="W85">
        <v>7</v>
      </c>
      <c r="X85">
        <v>7</v>
      </c>
      <c r="Y85">
        <v>0</v>
      </c>
      <c r="Z85">
        <v>7</v>
      </c>
      <c r="AA85" t="str">
        <f t="shared" si="9"/>
        <v>Mid Tenure</v>
      </c>
      <c r="AC85">
        <f t="shared" si="10"/>
        <v>0</v>
      </c>
      <c r="AE85">
        <f>VLOOKUP(A85,'Employee Engagement Survey'!A337:B1806,2,FALSE)</f>
        <v>2</v>
      </c>
      <c r="AF85">
        <f>VLOOKUP(A85,'Employee Engagement Survey'!A337:C1806,3,FALSE)</f>
        <v>1</v>
      </c>
      <c r="AG85">
        <f>VLOOKUP(A85,'Employee Engagement Survey'!A337:D1806,4,FALSE)</f>
        <v>4</v>
      </c>
      <c r="AH85">
        <f>VLOOKUP(A85,'Employee Engagement Survey'!A337:E1806,5,FALSE)</f>
        <v>2</v>
      </c>
      <c r="AI85">
        <f t="shared" si="8"/>
        <v>2.25</v>
      </c>
    </row>
    <row r="86" spans="1:35" hidden="1" x14ac:dyDescent="0.4">
      <c r="A86">
        <v>485</v>
      </c>
      <c r="B86" t="s">
        <v>26</v>
      </c>
      <c r="C86">
        <f t="shared" si="6"/>
        <v>0</v>
      </c>
      <c r="D86" t="s">
        <v>39</v>
      </c>
      <c r="E86">
        <f t="shared" si="7"/>
        <v>0</v>
      </c>
      <c r="F86" t="s">
        <v>40</v>
      </c>
      <c r="G86">
        <v>5</v>
      </c>
      <c r="H86" s="1">
        <v>58212</v>
      </c>
      <c r="I86" s="10">
        <v>0.13</v>
      </c>
      <c r="J86">
        <v>37.5</v>
      </c>
      <c r="K86" t="s">
        <v>26</v>
      </c>
      <c r="L86">
        <v>33</v>
      </c>
      <c r="M86" t="s">
        <v>47</v>
      </c>
      <c r="N86" t="s">
        <v>30</v>
      </c>
      <c r="O86" t="s">
        <v>31</v>
      </c>
      <c r="P86">
        <v>5</v>
      </c>
      <c r="Q86" t="s">
        <v>43</v>
      </c>
      <c r="R86" t="s">
        <v>56</v>
      </c>
      <c r="S86">
        <v>3</v>
      </c>
      <c r="T86">
        <v>0</v>
      </c>
      <c r="U86">
        <v>1</v>
      </c>
      <c r="V86">
        <v>2</v>
      </c>
      <c r="W86">
        <v>1</v>
      </c>
      <c r="X86">
        <v>0</v>
      </c>
      <c r="Y86">
        <v>0</v>
      </c>
      <c r="Z86">
        <v>0</v>
      </c>
      <c r="AA86" t="str">
        <f t="shared" si="9"/>
        <v>Early Tenure</v>
      </c>
      <c r="AC86">
        <f t="shared" si="10"/>
        <v>0</v>
      </c>
      <c r="AE86">
        <f>VLOOKUP(A86,'Employee Engagement Survey'!A351:B1820,2,FALSE)</f>
        <v>4</v>
      </c>
      <c r="AF86">
        <f>VLOOKUP(A86,'Employee Engagement Survey'!A351:C1820,3,FALSE)</f>
        <v>3</v>
      </c>
      <c r="AG86">
        <f>VLOOKUP(A86,'Employee Engagement Survey'!A351:D1820,4,FALSE)</f>
        <v>2</v>
      </c>
      <c r="AH86">
        <f>VLOOKUP(A86,'Employee Engagement Survey'!A351:E1820,5,FALSE)</f>
        <v>3</v>
      </c>
      <c r="AI86">
        <f t="shared" si="8"/>
        <v>3</v>
      </c>
    </row>
    <row r="87" spans="1:35" hidden="1" x14ac:dyDescent="0.4">
      <c r="A87">
        <v>1944</v>
      </c>
      <c r="B87" t="s">
        <v>26</v>
      </c>
      <c r="C87">
        <f t="shared" si="6"/>
        <v>0</v>
      </c>
      <c r="D87" t="s">
        <v>105</v>
      </c>
      <c r="E87">
        <f t="shared" si="7"/>
        <v>0</v>
      </c>
      <c r="F87" t="s">
        <v>59</v>
      </c>
      <c r="G87">
        <v>5</v>
      </c>
      <c r="H87" s="1">
        <v>58356</v>
      </c>
      <c r="I87" s="10">
        <v>0.12</v>
      </c>
      <c r="J87">
        <v>37.5</v>
      </c>
      <c r="K87" t="s">
        <v>34</v>
      </c>
      <c r="L87">
        <v>27</v>
      </c>
      <c r="M87" t="s">
        <v>47</v>
      </c>
      <c r="N87" t="s">
        <v>42</v>
      </c>
      <c r="O87" t="s">
        <v>44</v>
      </c>
      <c r="P87">
        <v>22</v>
      </c>
      <c r="Q87" t="s">
        <v>43</v>
      </c>
      <c r="R87" t="s">
        <v>59</v>
      </c>
      <c r="S87">
        <v>3</v>
      </c>
      <c r="T87">
        <v>0</v>
      </c>
      <c r="U87">
        <v>1</v>
      </c>
      <c r="V87">
        <v>2</v>
      </c>
      <c r="W87">
        <v>1</v>
      </c>
      <c r="X87">
        <v>0</v>
      </c>
      <c r="Y87">
        <v>0</v>
      </c>
      <c r="Z87">
        <v>0</v>
      </c>
      <c r="AA87" t="str">
        <f t="shared" si="9"/>
        <v>Early Tenure</v>
      </c>
      <c r="AC87">
        <f t="shared" si="10"/>
        <v>0</v>
      </c>
      <c r="AE87">
        <f>VLOOKUP(A87,'Employee Engagement Survey'!A357:B1826,2,FALSE)</f>
        <v>1</v>
      </c>
      <c r="AF87">
        <f>VLOOKUP(A87,'Employee Engagement Survey'!A357:C1826,3,FALSE)</f>
        <v>2</v>
      </c>
      <c r="AG87">
        <f>VLOOKUP(A87,'Employee Engagement Survey'!A357:D1826,4,FALSE)</f>
        <v>1</v>
      </c>
      <c r="AH87">
        <f>VLOOKUP(A87,'Employee Engagement Survey'!A357:E1826,5,FALSE)</f>
        <v>3</v>
      </c>
      <c r="AI87">
        <f t="shared" si="8"/>
        <v>1.75</v>
      </c>
    </row>
    <row r="88" spans="1:35" hidden="1" x14ac:dyDescent="0.4">
      <c r="A88">
        <v>647</v>
      </c>
      <c r="B88" t="s">
        <v>26</v>
      </c>
      <c r="C88">
        <f t="shared" si="6"/>
        <v>0</v>
      </c>
      <c r="D88" t="s">
        <v>46</v>
      </c>
      <c r="E88">
        <f t="shared" si="7"/>
        <v>0</v>
      </c>
      <c r="F88" t="s">
        <v>28</v>
      </c>
      <c r="G88">
        <v>5</v>
      </c>
      <c r="H88" s="1">
        <v>58632</v>
      </c>
      <c r="I88" s="10">
        <v>0.16</v>
      </c>
      <c r="J88">
        <v>37.5</v>
      </c>
      <c r="K88" t="s">
        <v>26</v>
      </c>
      <c r="L88">
        <v>24</v>
      </c>
      <c r="M88" t="s">
        <v>47</v>
      </c>
      <c r="N88" t="s">
        <v>42</v>
      </c>
      <c r="O88" t="s">
        <v>44</v>
      </c>
      <c r="P88">
        <v>7</v>
      </c>
      <c r="Q88" t="s">
        <v>43</v>
      </c>
      <c r="R88" t="s">
        <v>37</v>
      </c>
      <c r="S88">
        <v>3</v>
      </c>
      <c r="T88">
        <v>1</v>
      </c>
      <c r="U88">
        <v>6</v>
      </c>
      <c r="V88">
        <v>4</v>
      </c>
      <c r="W88">
        <v>6</v>
      </c>
      <c r="X88">
        <v>3</v>
      </c>
      <c r="Y88">
        <v>1</v>
      </c>
      <c r="Z88">
        <v>2</v>
      </c>
      <c r="AA88" t="str">
        <f t="shared" si="9"/>
        <v>Mid Tenure</v>
      </c>
      <c r="AC88">
        <f t="shared" si="10"/>
        <v>0</v>
      </c>
      <c r="AE88">
        <f>VLOOKUP(A88,'Employee Engagement Survey'!A362:B1831,2,FALSE)</f>
        <v>1</v>
      </c>
      <c r="AF88">
        <f>VLOOKUP(A88,'Employee Engagement Survey'!A362:C1831,3,FALSE)</f>
        <v>3</v>
      </c>
      <c r="AG88">
        <f>VLOOKUP(A88,'Employee Engagement Survey'!A362:D1831,4,FALSE)</f>
        <v>4</v>
      </c>
      <c r="AH88">
        <f>VLOOKUP(A88,'Employee Engagement Survey'!A362:E1831,5,FALSE)</f>
        <v>3</v>
      </c>
      <c r="AI88">
        <f t="shared" si="8"/>
        <v>2.75</v>
      </c>
    </row>
    <row r="89" spans="1:35" hidden="1" x14ac:dyDescent="0.4">
      <c r="A89">
        <v>488</v>
      </c>
      <c r="B89" t="s">
        <v>26</v>
      </c>
      <c r="C89">
        <f t="shared" si="6"/>
        <v>0</v>
      </c>
      <c r="D89" t="s">
        <v>57</v>
      </c>
      <c r="E89">
        <f t="shared" si="7"/>
        <v>0</v>
      </c>
      <c r="F89" t="s">
        <v>40</v>
      </c>
      <c r="G89">
        <v>9</v>
      </c>
      <c r="H89" s="1">
        <v>124260</v>
      </c>
      <c r="I89" s="10">
        <v>0.18</v>
      </c>
      <c r="J89">
        <v>37.5</v>
      </c>
      <c r="K89" t="s">
        <v>34</v>
      </c>
      <c r="L89">
        <v>41</v>
      </c>
      <c r="M89" t="s">
        <v>29</v>
      </c>
      <c r="N89" t="s">
        <v>30</v>
      </c>
      <c r="O89" t="s">
        <v>44</v>
      </c>
      <c r="P89">
        <v>4</v>
      </c>
      <c r="Q89" t="s">
        <v>43</v>
      </c>
      <c r="R89" t="s">
        <v>56</v>
      </c>
      <c r="S89">
        <v>3</v>
      </c>
      <c r="T89">
        <v>0</v>
      </c>
      <c r="U89">
        <v>8</v>
      </c>
      <c r="V89">
        <v>5</v>
      </c>
      <c r="W89">
        <v>8</v>
      </c>
      <c r="X89">
        <v>7</v>
      </c>
      <c r="Y89">
        <v>7</v>
      </c>
      <c r="Z89">
        <v>7</v>
      </c>
      <c r="AA89" t="str">
        <f t="shared" si="9"/>
        <v>Mid Tenure</v>
      </c>
      <c r="AC89">
        <f t="shared" si="10"/>
        <v>0</v>
      </c>
      <c r="AE89">
        <f>VLOOKUP(A89,'Employee Engagement Survey'!A368:B1837,2,FALSE)</f>
        <v>1</v>
      </c>
      <c r="AF89">
        <f>VLOOKUP(A89,'Employee Engagement Survey'!A368:C1837,3,FALSE)</f>
        <v>2</v>
      </c>
      <c r="AG89">
        <f>VLOOKUP(A89,'Employee Engagement Survey'!A368:D1837,4,FALSE)</f>
        <v>3</v>
      </c>
      <c r="AH89">
        <f>VLOOKUP(A89,'Employee Engagement Survey'!A368:E1837,5,FALSE)</f>
        <v>3</v>
      </c>
      <c r="AI89">
        <f t="shared" si="8"/>
        <v>2.25</v>
      </c>
    </row>
    <row r="90" spans="1:35" hidden="1" x14ac:dyDescent="0.4">
      <c r="A90">
        <v>137</v>
      </c>
      <c r="B90" t="s">
        <v>26</v>
      </c>
      <c r="C90">
        <f t="shared" si="6"/>
        <v>0</v>
      </c>
      <c r="D90" t="s">
        <v>46</v>
      </c>
      <c r="E90">
        <f t="shared" si="7"/>
        <v>0</v>
      </c>
      <c r="F90" t="s">
        <v>28</v>
      </c>
      <c r="G90">
        <v>5</v>
      </c>
      <c r="H90" s="1">
        <v>59112</v>
      </c>
      <c r="I90" s="10">
        <v>0.18</v>
      </c>
      <c r="J90">
        <v>37.5</v>
      </c>
      <c r="K90" t="s">
        <v>26</v>
      </c>
      <c r="L90">
        <v>20</v>
      </c>
      <c r="M90" t="s">
        <v>47</v>
      </c>
      <c r="N90" t="s">
        <v>30</v>
      </c>
      <c r="O90" t="s">
        <v>44</v>
      </c>
      <c r="P90">
        <v>6</v>
      </c>
      <c r="Q90" t="s">
        <v>43</v>
      </c>
      <c r="R90" t="s">
        <v>37</v>
      </c>
      <c r="S90">
        <v>3</v>
      </c>
      <c r="T90">
        <v>0</v>
      </c>
      <c r="U90">
        <v>1</v>
      </c>
      <c r="V90">
        <v>5</v>
      </c>
      <c r="W90">
        <v>1</v>
      </c>
      <c r="X90">
        <v>0</v>
      </c>
      <c r="Y90">
        <v>1</v>
      </c>
      <c r="Z90">
        <v>0</v>
      </c>
      <c r="AA90" t="str">
        <f t="shared" si="9"/>
        <v>Early Tenure</v>
      </c>
      <c r="AC90">
        <f t="shared" si="10"/>
        <v>0</v>
      </c>
      <c r="AE90">
        <f>VLOOKUP(A90,'Employee Engagement Survey'!A371:B1840,2,FALSE)</f>
        <v>4</v>
      </c>
      <c r="AF90">
        <f>VLOOKUP(A90,'Employee Engagement Survey'!A371:C1840,3,FALSE)</f>
        <v>4</v>
      </c>
      <c r="AG90">
        <f>VLOOKUP(A90,'Employee Engagement Survey'!A371:D1840,4,FALSE)</f>
        <v>2</v>
      </c>
      <c r="AH90">
        <f>VLOOKUP(A90,'Employee Engagement Survey'!A371:E1840,5,FALSE)</f>
        <v>3</v>
      </c>
      <c r="AI90">
        <f t="shared" si="8"/>
        <v>3.25</v>
      </c>
    </row>
    <row r="91" spans="1:35" hidden="1" x14ac:dyDescent="0.4">
      <c r="A91">
        <v>492</v>
      </c>
      <c r="B91" t="s">
        <v>26</v>
      </c>
      <c r="C91">
        <f t="shared" si="6"/>
        <v>0</v>
      </c>
      <c r="D91" t="s">
        <v>57</v>
      </c>
      <c r="E91">
        <f t="shared" si="7"/>
        <v>0</v>
      </c>
      <c r="F91" t="s">
        <v>40</v>
      </c>
      <c r="G91">
        <v>8</v>
      </c>
      <c r="H91" s="1">
        <v>88560</v>
      </c>
      <c r="I91" s="10">
        <v>0.12</v>
      </c>
      <c r="J91">
        <v>37.5</v>
      </c>
      <c r="K91" t="s">
        <v>26</v>
      </c>
      <c r="L91">
        <v>40</v>
      </c>
      <c r="M91" t="s">
        <v>29</v>
      </c>
      <c r="N91" t="s">
        <v>42</v>
      </c>
      <c r="O91" t="s">
        <v>31</v>
      </c>
      <c r="P91">
        <v>22</v>
      </c>
      <c r="Q91" t="s">
        <v>36</v>
      </c>
      <c r="R91" t="s">
        <v>56</v>
      </c>
      <c r="S91">
        <v>3</v>
      </c>
      <c r="T91">
        <v>2</v>
      </c>
      <c r="U91">
        <v>8</v>
      </c>
      <c r="V91">
        <v>6</v>
      </c>
      <c r="W91">
        <v>6</v>
      </c>
      <c r="X91">
        <v>4</v>
      </c>
      <c r="Y91">
        <v>1</v>
      </c>
      <c r="Z91">
        <v>0</v>
      </c>
      <c r="AA91" t="str">
        <f t="shared" si="9"/>
        <v>Mid Tenure</v>
      </c>
      <c r="AC91">
        <f t="shared" si="10"/>
        <v>0</v>
      </c>
      <c r="AE91">
        <f>VLOOKUP(A91,'Employee Engagement Survey'!A373:B1842,2,FALSE)</f>
        <v>3</v>
      </c>
      <c r="AF91">
        <f>VLOOKUP(A91,'Employee Engagement Survey'!A373:C1842,3,FALSE)</f>
        <v>3</v>
      </c>
      <c r="AG91">
        <f>VLOOKUP(A91,'Employee Engagement Survey'!A373:D1842,4,FALSE)</f>
        <v>1</v>
      </c>
      <c r="AH91">
        <f>VLOOKUP(A91,'Employee Engagement Survey'!A373:E1842,5,FALSE)</f>
        <v>3</v>
      </c>
      <c r="AI91">
        <f t="shared" si="8"/>
        <v>2.5</v>
      </c>
    </row>
    <row r="92" spans="1:35" hidden="1" x14ac:dyDescent="0.4">
      <c r="A92">
        <v>502</v>
      </c>
      <c r="B92" t="s">
        <v>26</v>
      </c>
      <c r="C92">
        <f t="shared" si="6"/>
        <v>0</v>
      </c>
      <c r="D92" t="s">
        <v>57</v>
      </c>
      <c r="E92">
        <f t="shared" si="7"/>
        <v>0</v>
      </c>
      <c r="F92" t="s">
        <v>40</v>
      </c>
      <c r="G92">
        <v>7</v>
      </c>
      <c r="H92" s="1">
        <v>75648</v>
      </c>
      <c r="I92" s="10">
        <v>0.13</v>
      </c>
      <c r="J92">
        <v>37.5</v>
      </c>
      <c r="K92" t="s">
        <v>26</v>
      </c>
      <c r="L92">
        <v>34</v>
      </c>
      <c r="M92" t="s">
        <v>29</v>
      </c>
      <c r="N92" t="s">
        <v>30</v>
      </c>
      <c r="O92" t="s">
        <v>35</v>
      </c>
      <c r="P92">
        <v>19</v>
      </c>
      <c r="Q92" t="s">
        <v>43</v>
      </c>
      <c r="R92" t="s">
        <v>56</v>
      </c>
      <c r="S92">
        <v>3</v>
      </c>
      <c r="T92">
        <v>0</v>
      </c>
      <c r="U92">
        <v>9</v>
      </c>
      <c r="V92">
        <v>3</v>
      </c>
      <c r="W92">
        <v>5</v>
      </c>
      <c r="X92">
        <v>2</v>
      </c>
      <c r="Y92">
        <v>0</v>
      </c>
      <c r="Z92">
        <v>4</v>
      </c>
      <c r="AA92" t="str">
        <f t="shared" si="9"/>
        <v>Mid Tenure</v>
      </c>
      <c r="AC92">
        <f t="shared" si="10"/>
        <v>0</v>
      </c>
      <c r="AE92">
        <f>VLOOKUP(A92,'Employee Engagement Survey'!A385:B1854,2,FALSE)</f>
        <v>1</v>
      </c>
      <c r="AF92">
        <f>VLOOKUP(A92,'Employee Engagement Survey'!A385:C1854,3,FALSE)</f>
        <v>4</v>
      </c>
      <c r="AG92">
        <f>VLOOKUP(A92,'Employee Engagement Survey'!A385:D1854,4,FALSE)</f>
        <v>2</v>
      </c>
      <c r="AH92">
        <f>VLOOKUP(A92,'Employee Engagement Survey'!A385:E1854,5,FALSE)</f>
        <v>2</v>
      </c>
      <c r="AI92">
        <f t="shared" si="8"/>
        <v>2.25</v>
      </c>
    </row>
    <row r="93" spans="1:35" hidden="1" x14ac:dyDescent="0.4">
      <c r="A93">
        <v>510</v>
      </c>
      <c r="B93" t="s">
        <v>26</v>
      </c>
      <c r="C93">
        <f t="shared" si="6"/>
        <v>0</v>
      </c>
      <c r="D93" t="s">
        <v>27</v>
      </c>
      <c r="E93">
        <f t="shared" si="7"/>
        <v>0</v>
      </c>
      <c r="F93" t="s">
        <v>28</v>
      </c>
      <c r="G93">
        <v>6</v>
      </c>
      <c r="H93" s="1">
        <v>61224</v>
      </c>
      <c r="I93" s="10">
        <v>0.22</v>
      </c>
      <c r="J93">
        <v>37.5</v>
      </c>
      <c r="K93" t="s">
        <v>34</v>
      </c>
      <c r="L93">
        <v>26</v>
      </c>
      <c r="M93" t="s">
        <v>29</v>
      </c>
      <c r="N93" t="s">
        <v>30</v>
      </c>
      <c r="O93" t="s">
        <v>44</v>
      </c>
      <c r="P93">
        <v>3</v>
      </c>
      <c r="Q93" t="s">
        <v>32</v>
      </c>
      <c r="R93" t="s">
        <v>45</v>
      </c>
      <c r="S93">
        <v>4</v>
      </c>
      <c r="T93">
        <v>0</v>
      </c>
      <c r="U93">
        <v>7</v>
      </c>
      <c r="V93">
        <v>2</v>
      </c>
      <c r="W93">
        <v>6</v>
      </c>
      <c r="X93">
        <v>4</v>
      </c>
      <c r="Y93">
        <v>0</v>
      </c>
      <c r="Z93">
        <v>4</v>
      </c>
      <c r="AA93" t="str">
        <f t="shared" si="9"/>
        <v>Mid Tenure</v>
      </c>
      <c r="AC93">
        <f t="shared" si="10"/>
        <v>0</v>
      </c>
      <c r="AE93">
        <f>VLOOKUP(A93,'Employee Engagement Survey'!A389:B1858,2,FALSE)</f>
        <v>3</v>
      </c>
      <c r="AF93">
        <f>VLOOKUP(A93,'Employee Engagement Survey'!A389:C1858,3,FALSE)</f>
        <v>1</v>
      </c>
      <c r="AG93">
        <f>VLOOKUP(A93,'Employee Engagement Survey'!A389:D1858,4,FALSE)</f>
        <v>3</v>
      </c>
      <c r="AH93">
        <f>VLOOKUP(A93,'Employee Engagement Survey'!A389:E1858,5,FALSE)</f>
        <v>3</v>
      </c>
      <c r="AI93">
        <f t="shared" si="8"/>
        <v>2.5</v>
      </c>
    </row>
    <row r="94" spans="1:35" hidden="1" x14ac:dyDescent="0.4">
      <c r="A94">
        <v>514</v>
      </c>
      <c r="B94" t="s">
        <v>26</v>
      </c>
      <c r="C94">
        <f t="shared" si="6"/>
        <v>0</v>
      </c>
      <c r="D94" t="s">
        <v>27</v>
      </c>
      <c r="E94">
        <f t="shared" si="7"/>
        <v>0</v>
      </c>
      <c r="F94" t="s">
        <v>28</v>
      </c>
      <c r="G94">
        <v>4</v>
      </c>
      <c r="H94" s="1">
        <v>51420</v>
      </c>
      <c r="I94" s="10">
        <v>0.23</v>
      </c>
      <c r="J94">
        <v>37.5</v>
      </c>
      <c r="K94" t="s">
        <v>26</v>
      </c>
      <c r="L94">
        <v>30</v>
      </c>
      <c r="M94" t="s">
        <v>29</v>
      </c>
      <c r="N94" t="s">
        <v>30</v>
      </c>
      <c r="O94" t="s">
        <v>44</v>
      </c>
      <c r="P94">
        <v>4</v>
      </c>
      <c r="Q94" t="s">
        <v>43</v>
      </c>
      <c r="R94" t="s">
        <v>45</v>
      </c>
      <c r="S94">
        <v>4</v>
      </c>
      <c r="T94">
        <v>0</v>
      </c>
      <c r="U94">
        <v>3</v>
      </c>
      <c r="V94">
        <v>4</v>
      </c>
      <c r="W94">
        <v>1</v>
      </c>
      <c r="X94">
        <v>0</v>
      </c>
      <c r="Y94">
        <v>0</v>
      </c>
      <c r="Z94">
        <v>0</v>
      </c>
      <c r="AA94" t="str">
        <f t="shared" si="9"/>
        <v>Early Tenure</v>
      </c>
      <c r="AC94">
        <f t="shared" si="10"/>
        <v>0</v>
      </c>
      <c r="AE94">
        <f>VLOOKUP(A94,'Employee Engagement Survey'!A392:B1861,2,FALSE)</f>
        <v>3</v>
      </c>
      <c r="AF94">
        <f>VLOOKUP(A94,'Employee Engagement Survey'!A392:C1861,3,FALSE)</f>
        <v>4</v>
      </c>
      <c r="AG94">
        <f>VLOOKUP(A94,'Employee Engagement Survey'!A392:D1861,4,FALSE)</f>
        <v>3</v>
      </c>
      <c r="AH94">
        <f>VLOOKUP(A94,'Employee Engagement Survey'!A392:E1861,5,FALSE)</f>
        <v>3</v>
      </c>
      <c r="AI94">
        <f t="shared" si="8"/>
        <v>3.25</v>
      </c>
    </row>
    <row r="95" spans="1:35" hidden="1" x14ac:dyDescent="0.4">
      <c r="A95">
        <v>538</v>
      </c>
      <c r="B95" t="s">
        <v>26</v>
      </c>
      <c r="C95">
        <f t="shared" si="6"/>
        <v>0</v>
      </c>
      <c r="D95" t="s">
        <v>46</v>
      </c>
      <c r="E95">
        <f t="shared" si="7"/>
        <v>0</v>
      </c>
      <c r="F95" t="s">
        <v>28</v>
      </c>
      <c r="G95">
        <v>6</v>
      </c>
      <c r="H95" s="1">
        <v>60372</v>
      </c>
      <c r="I95" s="10">
        <v>0.13</v>
      </c>
      <c r="J95">
        <v>37.5</v>
      </c>
      <c r="K95" t="s">
        <v>34</v>
      </c>
      <c r="L95">
        <v>25</v>
      </c>
      <c r="M95" t="s">
        <v>29</v>
      </c>
      <c r="N95" t="s">
        <v>42</v>
      </c>
      <c r="O95" t="s">
        <v>31</v>
      </c>
      <c r="P95">
        <v>3</v>
      </c>
      <c r="Q95" t="s">
        <v>43</v>
      </c>
      <c r="R95" t="s">
        <v>33</v>
      </c>
      <c r="S95">
        <v>3</v>
      </c>
      <c r="T95">
        <v>1</v>
      </c>
      <c r="U95">
        <v>6</v>
      </c>
      <c r="V95">
        <v>5</v>
      </c>
      <c r="W95">
        <v>2</v>
      </c>
      <c r="X95">
        <v>2</v>
      </c>
      <c r="Y95">
        <v>0</v>
      </c>
      <c r="Z95">
        <v>2</v>
      </c>
      <c r="AA95" t="str">
        <f t="shared" si="9"/>
        <v>Early Tenure</v>
      </c>
      <c r="AC95">
        <f t="shared" si="10"/>
        <v>0</v>
      </c>
      <c r="AE95">
        <f>VLOOKUP(A95,'Employee Engagement Survey'!A408:B1877,2,FALSE)</f>
        <v>1</v>
      </c>
      <c r="AF95">
        <f>VLOOKUP(A95,'Employee Engagement Survey'!A408:C1877,3,FALSE)</f>
        <v>1</v>
      </c>
      <c r="AG95">
        <f>VLOOKUP(A95,'Employee Engagement Survey'!A408:D1877,4,FALSE)</f>
        <v>3</v>
      </c>
      <c r="AH95">
        <f>VLOOKUP(A95,'Employee Engagement Survey'!A408:E1877,5,FALSE)</f>
        <v>3</v>
      </c>
      <c r="AI95">
        <f t="shared" si="8"/>
        <v>2</v>
      </c>
    </row>
    <row r="96" spans="1:35" hidden="1" x14ac:dyDescent="0.4">
      <c r="A96">
        <v>566</v>
      </c>
      <c r="B96" t="s">
        <v>26</v>
      </c>
      <c r="C96">
        <f t="shared" si="6"/>
        <v>0</v>
      </c>
      <c r="D96" t="s">
        <v>105</v>
      </c>
      <c r="E96">
        <f t="shared" si="7"/>
        <v>0</v>
      </c>
      <c r="F96" t="s">
        <v>59</v>
      </c>
      <c r="G96">
        <v>4</v>
      </c>
      <c r="H96" s="1">
        <v>54768</v>
      </c>
      <c r="I96" s="10">
        <v>0.12</v>
      </c>
      <c r="J96">
        <v>37.5</v>
      </c>
      <c r="K96" t="s">
        <v>34</v>
      </c>
      <c r="L96">
        <v>19</v>
      </c>
      <c r="M96" t="s">
        <v>29</v>
      </c>
      <c r="N96" t="s">
        <v>30</v>
      </c>
      <c r="O96" t="s">
        <v>31</v>
      </c>
      <c r="P96">
        <v>2</v>
      </c>
      <c r="Q96" t="s">
        <v>36</v>
      </c>
      <c r="R96" t="s">
        <v>45</v>
      </c>
      <c r="S96">
        <v>3</v>
      </c>
      <c r="T96">
        <v>0</v>
      </c>
      <c r="U96">
        <v>1</v>
      </c>
      <c r="V96">
        <v>3</v>
      </c>
      <c r="W96">
        <v>1</v>
      </c>
      <c r="X96">
        <v>0</v>
      </c>
      <c r="Y96">
        <v>0</v>
      </c>
      <c r="Z96">
        <v>0</v>
      </c>
      <c r="AA96" t="str">
        <f t="shared" si="9"/>
        <v>Early Tenure</v>
      </c>
      <c r="AC96">
        <f t="shared" si="10"/>
        <v>0</v>
      </c>
      <c r="AE96">
        <f>VLOOKUP(A96,'Employee Engagement Survey'!A417:B1886,2,FALSE)</f>
        <v>1</v>
      </c>
      <c r="AF96">
        <f>VLOOKUP(A96,'Employee Engagement Survey'!A417:C1886,3,FALSE)</f>
        <v>4</v>
      </c>
      <c r="AG96">
        <f>VLOOKUP(A96,'Employee Engagement Survey'!A417:D1886,4,FALSE)</f>
        <v>3</v>
      </c>
      <c r="AH96">
        <f>VLOOKUP(A96,'Employee Engagement Survey'!A417:E1886,5,FALSE)</f>
        <v>4</v>
      </c>
      <c r="AI96">
        <f t="shared" si="8"/>
        <v>3</v>
      </c>
    </row>
    <row r="97" spans="1:35" hidden="1" x14ac:dyDescent="0.4">
      <c r="A97">
        <v>582</v>
      </c>
      <c r="B97" t="s">
        <v>26</v>
      </c>
      <c r="C97">
        <f t="shared" si="6"/>
        <v>0</v>
      </c>
      <c r="D97" t="s">
        <v>109</v>
      </c>
      <c r="E97">
        <f t="shared" si="7"/>
        <v>1</v>
      </c>
      <c r="F97" t="s">
        <v>28</v>
      </c>
      <c r="G97">
        <v>3</v>
      </c>
      <c r="H97" s="1">
        <v>175320</v>
      </c>
      <c r="I97" s="10">
        <v>0.12</v>
      </c>
      <c r="J97">
        <v>37.5</v>
      </c>
      <c r="K97" t="s">
        <v>26</v>
      </c>
      <c r="L97">
        <v>33</v>
      </c>
      <c r="M97" t="s">
        <v>29</v>
      </c>
      <c r="N97" t="s">
        <v>42</v>
      </c>
      <c r="O97" t="s">
        <v>31</v>
      </c>
      <c r="P97">
        <v>15</v>
      </c>
      <c r="Q97" t="s">
        <v>32</v>
      </c>
      <c r="R97" t="s">
        <v>33</v>
      </c>
      <c r="S97">
        <v>3</v>
      </c>
      <c r="T97">
        <v>0</v>
      </c>
      <c r="U97">
        <v>15</v>
      </c>
      <c r="V97">
        <v>2</v>
      </c>
      <c r="W97">
        <v>7</v>
      </c>
      <c r="X97">
        <v>6</v>
      </c>
      <c r="Y97">
        <v>7</v>
      </c>
      <c r="Z97">
        <v>7</v>
      </c>
      <c r="AA97" t="str">
        <f t="shared" si="9"/>
        <v>Mid Tenure</v>
      </c>
      <c r="AC97">
        <f t="shared" si="10"/>
        <v>0</v>
      </c>
      <c r="AE97">
        <f>VLOOKUP(A97,'Employee Engagement Survey'!A424:B1893,2,FALSE)</f>
        <v>2</v>
      </c>
      <c r="AF97">
        <f>VLOOKUP(A97,'Employee Engagement Survey'!A424:C1893,3,FALSE)</f>
        <v>3</v>
      </c>
      <c r="AG97">
        <f>VLOOKUP(A97,'Employee Engagement Survey'!A424:D1893,4,FALSE)</f>
        <v>4</v>
      </c>
      <c r="AH97">
        <f>VLOOKUP(A97,'Employee Engagement Survey'!A424:E1893,5,FALSE)</f>
        <v>4</v>
      </c>
      <c r="AI97">
        <f t="shared" si="8"/>
        <v>3.25</v>
      </c>
    </row>
    <row r="98" spans="1:35" hidden="1" x14ac:dyDescent="0.4">
      <c r="A98">
        <v>584</v>
      </c>
      <c r="B98" t="s">
        <v>26</v>
      </c>
      <c r="C98">
        <f t="shared" ref="C98:C129" si="11">IF(B98="No",1,0)</f>
        <v>0</v>
      </c>
      <c r="D98" t="s">
        <v>46</v>
      </c>
      <c r="E98">
        <f t="shared" si="7"/>
        <v>0</v>
      </c>
      <c r="F98" t="s">
        <v>28</v>
      </c>
      <c r="G98">
        <v>6</v>
      </c>
      <c r="H98" s="1">
        <v>64896</v>
      </c>
      <c r="I98" s="10">
        <v>0.13</v>
      </c>
      <c r="J98">
        <v>37.5</v>
      </c>
      <c r="K98" t="s">
        <v>34</v>
      </c>
      <c r="L98">
        <v>33</v>
      </c>
      <c r="M98" t="s">
        <v>29</v>
      </c>
      <c r="N98" t="s">
        <v>48</v>
      </c>
      <c r="O98" t="s">
        <v>31</v>
      </c>
      <c r="P98">
        <v>10</v>
      </c>
      <c r="Q98" t="s">
        <v>32</v>
      </c>
      <c r="R98" t="s">
        <v>33</v>
      </c>
      <c r="S98">
        <v>3</v>
      </c>
      <c r="T98">
        <v>3</v>
      </c>
      <c r="U98">
        <v>8</v>
      </c>
      <c r="V98">
        <v>2</v>
      </c>
      <c r="W98">
        <v>4</v>
      </c>
      <c r="X98">
        <v>3</v>
      </c>
      <c r="Y98">
        <v>1</v>
      </c>
      <c r="Z98">
        <v>3</v>
      </c>
      <c r="AA98" t="str">
        <f t="shared" si="9"/>
        <v>Mid Tenure</v>
      </c>
      <c r="AC98">
        <f t="shared" si="10"/>
        <v>0</v>
      </c>
      <c r="AE98">
        <f>VLOOKUP(A98,'Employee Engagement Survey'!A425:B1894,2,FALSE)</f>
        <v>1</v>
      </c>
      <c r="AF98">
        <f>VLOOKUP(A98,'Employee Engagement Survey'!A425:C1894,3,FALSE)</f>
        <v>4</v>
      </c>
      <c r="AG98">
        <f>VLOOKUP(A98,'Employee Engagement Survey'!A425:D1894,4,FALSE)</f>
        <v>1</v>
      </c>
      <c r="AH98">
        <f>VLOOKUP(A98,'Employee Engagement Survey'!A425:E1894,5,FALSE)</f>
        <v>3</v>
      </c>
      <c r="AI98">
        <f t="shared" si="8"/>
        <v>2.25</v>
      </c>
    </row>
    <row r="99" spans="1:35" hidden="1" x14ac:dyDescent="0.4">
      <c r="A99">
        <v>587</v>
      </c>
      <c r="B99" t="s">
        <v>26</v>
      </c>
      <c r="C99">
        <f t="shared" si="11"/>
        <v>0</v>
      </c>
      <c r="D99" t="s">
        <v>55</v>
      </c>
      <c r="E99">
        <f t="shared" si="7"/>
        <v>0</v>
      </c>
      <c r="F99" t="s">
        <v>28</v>
      </c>
      <c r="G99">
        <v>9</v>
      </c>
      <c r="H99" s="1">
        <v>129888</v>
      </c>
      <c r="I99" s="10">
        <v>0.12</v>
      </c>
      <c r="J99">
        <v>37.5</v>
      </c>
      <c r="K99" t="s">
        <v>34</v>
      </c>
      <c r="L99">
        <v>31</v>
      </c>
      <c r="M99" t="s">
        <v>29</v>
      </c>
      <c r="N99" t="s">
        <v>42</v>
      </c>
      <c r="O99" t="s">
        <v>44</v>
      </c>
      <c r="P99">
        <v>20</v>
      </c>
      <c r="Q99" t="s">
        <v>43</v>
      </c>
      <c r="R99" t="s">
        <v>37</v>
      </c>
      <c r="S99">
        <v>3</v>
      </c>
      <c r="T99">
        <v>0</v>
      </c>
      <c r="U99">
        <v>12</v>
      </c>
      <c r="V99">
        <v>2</v>
      </c>
      <c r="W99">
        <v>1</v>
      </c>
      <c r="X99">
        <v>0</v>
      </c>
      <c r="Y99">
        <v>0</v>
      </c>
      <c r="Z99">
        <v>0</v>
      </c>
      <c r="AA99" t="str">
        <f t="shared" si="9"/>
        <v>Early Tenure</v>
      </c>
      <c r="AC99">
        <f t="shared" si="10"/>
        <v>0</v>
      </c>
      <c r="AE99">
        <f>VLOOKUP(A99,'Employee Engagement Survey'!A428:B1897,2,FALSE)</f>
        <v>1</v>
      </c>
      <c r="AF99">
        <f>VLOOKUP(A99,'Employee Engagement Survey'!A428:C1897,3,FALSE)</f>
        <v>3</v>
      </c>
      <c r="AG99">
        <f>VLOOKUP(A99,'Employee Engagement Survey'!A428:D1897,4,FALSE)</f>
        <v>1</v>
      </c>
      <c r="AH99">
        <f>VLOOKUP(A99,'Employee Engagement Survey'!A428:E1897,5,FALSE)</f>
        <v>3</v>
      </c>
      <c r="AI99">
        <f t="shared" si="8"/>
        <v>2</v>
      </c>
    </row>
    <row r="100" spans="1:35" hidden="1" x14ac:dyDescent="0.4">
      <c r="A100">
        <v>1537</v>
      </c>
      <c r="B100" t="s">
        <v>26</v>
      </c>
      <c r="C100">
        <f t="shared" si="11"/>
        <v>0</v>
      </c>
      <c r="D100" t="s">
        <v>27</v>
      </c>
      <c r="E100">
        <f t="shared" si="7"/>
        <v>0</v>
      </c>
      <c r="F100" t="s">
        <v>28</v>
      </c>
      <c r="G100">
        <v>6</v>
      </c>
      <c r="H100" s="1">
        <v>61008</v>
      </c>
      <c r="I100" s="10">
        <v>0.12</v>
      </c>
      <c r="J100">
        <v>37.5</v>
      </c>
      <c r="K100" t="s">
        <v>34</v>
      </c>
      <c r="L100">
        <v>31</v>
      </c>
      <c r="M100" t="s">
        <v>47</v>
      </c>
      <c r="N100" t="s">
        <v>30</v>
      </c>
      <c r="O100" t="s">
        <v>44</v>
      </c>
      <c r="P100">
        <v>3</v>
      </c>
      <c r="Q100" t="s">
        <v>43</v>
      </c>
      <c r="R100" t="s">
        <v>37</v>
      </c>
      <c r="S100">
        <v>3</v>
      </c>
      <c r="T100">
        <v>0</v>
      </c>
      <c r="U100">
        <v>7</v>
      </c>
      <c r="V100">
        <v>2</v>
      </c>
      <c r="W100">
        <v>7</v>
      </c>
      <c r="X100">
        <v>2</v>
      </c>
      <c r="Y100">
        <v>7</v>
      </c>
      <c r="Z100">
        <v>7</v>
      </c>
      <c r="AA100" t="str">
        <f t="shared" si="9"/>
        <v>Mid Tenure</v>
      </c>
      <c r="AC100">
        <f t="shared" si="10"/>
        <v>0</v>
      </c>
      <c r="AE100">
        <f>VLOOKUP(A100,'Employee Engagement Survey'!A431:B1900,2,FALSE)</f>
        <v>4</v>
      </c>
      <c r="AF100">
        <f>VLOOKUP(A100,'Employee Engagement Survey'!A431:C1900,3,FALSE)</f>
        <v>3</v>
      </c>
      <c r="AG100">
        <f>VLOOKUP(A100,'Employee Engagement Survey'!A431:D1900,4,FALSE)</f>
        <v>1</v>
      </c>
      <c r="AH100">
        <f>VLOOKUP(A100,'Employee Engagement Survey'!A431:E1900,5,FALSE)</f>
        <v>1</v>
      </c>
      <c r="AI100">
        <f t="shared" si="8"/>
        <v>2.25</v>
      </c>
    </row>
    <row r="101" spans="1:35" hidden="1" x14ac:dyDescent="0.4">
      <c r="A101">
        <v>593</v>
      </c>
      <c r="B101" t="s">
        <v>26</v>
      </c>
      <c r="C101">
        <f t="shared" si="11"/>
        <v>0</v>
      </c>
      <c r="D101" t="s">
        <v>46</v>
      </c>
      <c r="E101">
        <f t="shared" si="7"/>
        <v>0</v>
      </c>
      <c r="F101" t="s">
        <v>28</v>
      </c>
      <c r="G101">
        <v>7</v>
      </c>
      <c r="H101" s="1">
        <v>70728</v>
      </c>
      <c r="I101" s="10">
        <v>0.16</v>
      </c>
      <c r="J101">
        <v>37.5</v>
      </c>
      <c r="K101" t="s">
        <v>34</v>
      </c>
      <c r="L101">
        <v>22</v>
      </c>
      <c r="M101" t="s">
        <v>29</v>
      </c>
      <c r="N101" t="s">
        <v>30</v>
      </c>
      <c r="O101" t="s">
        <v>44</v>
      </c>
      <c r="P101">
        <v>4</v>
      </c>
      <c r="Q101" t="s">
        <v>32</v>
      </c>
      <c r="R101" t="s">
        <v>45</v>
      </c>
      <c r="S101">
        <v>3</v>
      </c>
      <c r="T101">
        <v>0</v>
      </c>
      <c r="U101">
        <v>4</v>
      </c>
      <c r="V101">
        <v>3</v>
      </c>
      <c r="W101">
        <v>2</v>
      </c>
      <c r="X101">
        <v>2</v>
      </c>
      <c r="Y101">
        <v>1</v>
      </c>
      <c r="Z101">
        <v>2</v>
      </c>
      <c r="AA101" t="str">
        <f t="shared" si="9"/>
        <v>Early Tenure</v>
      </c>
      <c r="AC101">
        <f t="shared" si="10"/>
        <v>0</v>
      </c>
      <c r="AE101">
        <f>VLOOKUP(A101,'Employee Engagement Survey'!A434:B1903,2,FALSE)</f>
        <v>3</v>
      </c>
      <c r="AF101">
        <f>VLOOKUP(A101,'Employee Engagement Survey'!A434:C1903,3,FALSE)</f>
        <v>3</v>
      </c>
      <c r="AG101">
        <f>VLOOKUP(A101,'Employee Engagement Survey'!A434:D1903,4,FALSE)</f>
        <v>3</v>
      </c>
      <c r="AH101">
        <f>VLOOKUP(A101,'Employee Engagement Survey'!A434:E1903,5,FALSE)</f>
        <v>3</v>
      </c>
      <c r="AI101">
        <f t="shared" si="8"/>
        <v>3</v>
      </c>
    </row>
    <row r="102" spans="1:35" hidden="1" x14ac:dyDescent="0.4">
      <c r="A102">
        <v>248</v>
      </c>
      <c r="B102" t="s">
        <v>26</v>
      </c>
      <c r="C102">
        <f t="shared" si="11"/>
        <v>0</v>
      </c>
      <c r="D102" t="s">
        <v>39</v>
      </c>
      <c r="E102">
        <f t="shared" si="7"/>
        <v>0</v>
      </c>
      <c r="F102" t="s">
        <v>40</v>
      </c>
      <c r="G102">
        <v>6</v>
      </c>
      <c r="H102" s="1">
        <v>61680</v>
      </c>
      <c r="I102" s="10">
        <v>0.22</v>
      </c>
      <c r="J102">
        <v>37.5</v>
      </c>
      <c r="K102" t="s">
        <v>26</v>
      </c>
      <c r="L102">
        <v>41</v>
      </c>
      <c r="M102" t="s">
        <v>47</v>
      </c>
      <c r="N102" t="s">
        <v>30</v>
      </c>
      <c r="O102" t="s">
        <v>31</v>
      </c>
      <c r="P102">
        <v>20</v>
      </c>
      <c r="Q102" t="s">
        <v>36</v>
      </c>
      <c r="R102" t="s">
        <v>56</v>
      </c>
      <c r="S102">
        <v>4</v>
      </c>
      <c r="T102">
        <v>0</v>
      </c>
      <c r="U102">
        <v>4</v>
      </c>
      <c r="V102">
        <v>5</v>
      </c>
      <c r="W102">
        <v>4</v>
      </c>
      <c r="X102">
        <v>3</v>
      </c>
      <c r="Y102">
        <v>0</v>
      </c>
      <c r="Z102">
        <v>2</v>
      </c>
      <c r="AA102" t="str">
        <f t="shared" si="9"/>
        <v>Mid Tenure</v>
      </c>
      <c r="AC102">
        <f t="shared" si="10"/>
        <v>0</v>
      </c>
      <c r="AE102">
        <f>VLOOKUP(A102,'Employee Engagement Survey'!A443:B1912,2,FALSE)</f>
        <v>2</v>
      </c>
      <c r="AF102">
        <f>VLOOKUP(A102,'Employee Engagement Survey'!A443:C1912,3,FALSE)</f>
        <v>2</v>
      </c>
      <c r="AG102">
        <f>VLOOKUP(A102,'Employee Engagement Survey'!A443:D1912,4,FALSE)</f>
        <v>4</v>
      </c>
      <c r="AH102">
        <f>VLOOKUP(A102,'Employee Engagement Survey'!A443:E1912,5,FALSE)</f>
        <v>2</v>
      </c>
      <c r="AI102">
        <f t="shared" si="8"/>
        <v>2.5</v>
      </c>
    </row>
    <row r="103" spans="1:35" hidden="1" x14ac:dyDescent="0.4">
      <c r="A103">
        <v>614</v>
      </c>
      <c r="B103" t="s">
        <v>26</v>
      </c>
      <c r="C103">
        <f t="shared" si="11"/>
        <v>0</v>
      </c>
      <c r="D103" t="s">
        <v>39</v>
      </c>
      <c r="E103">
        <f t="shared" si="7"/>
        <v>0</v>
      </c>
      <c r="F103" t="s">
        <v>40</v>
      </c>
      <c r="G103">
        <v>3</v>
      </c>
      <c r="H103" s="1">
        <v>46536</v>
      </c>
      <c r="I103" s="10">
        <v>0.14000000000000001</v>
      </c>
      <c r="J103">
        <v>37.5</v>
      </c>
      <c r="K103" t="s">
        <v>26</v>
      </c>
      <c r="L103">
        <v>18</v>
      </c>
      <c r="M103" t="s">
        <v>29</v>
      </c>
      <c r="N103" t="s">
        <v>30</v>
      </c>
      <c r="O103" t="s">
        <v>44</v>
      </c>
      <c r="P103">
        <v>5</v>
      </c>
      <c r="Q103" t="s">
        <v>43</v>
      </c>
      <c r="R103" t="s">
        <v>56</v>
      </c>
      <c r="S103">
        <v>3</v>
      </c>
      <c r="T103">
        <v>0</v>
      </c>
      <c r="U103">
        <v>0</v>
      </c>
      <c r="V103">
        <v>3</v>
      </c>
      <c r="W103">
        <v>0</v>
      </c>
      <c r="X103">
        <v>0</v>
      </c>
      <c r="Y103">
        <v>0</v>
      </c>
      <c r="Z103">
        <v>0</v>
      </c>
      <c r="AA103" t="str">
        <f t="shared" si="9"/>
        <v>Early Tenure</v>
      </c>
      <c r="AC103">
        <f t="shared" si="10"/>
        <v>0</v>
      </c>
      <c r="AE103">
        <f>VLOOKUP(A103,'Employee Engagement Survey'!A450:B1919,2,FALSE)</f>
        <v>2</v>
      </c>
      <c r="AF103">
        <f>VLOOKUP(A103,'Employee Engagement Survey'!A450:C1919,3,FALSE)</f>
        <v>2</v>
      </c>
      <c r="AG103">
        <f>VLOOKUP(A103,'Employee Engagement Survey'!A450:D1919,4,FALSE)</f>
        <v>4</v>
      </c>
      <c r="AH103">
        <f>VLOOKUP(A103,'Employee Engagement Survey'!A450:E1919,5,FALSE)</f>
        <v>3</v>
      </c>
      <c r="AI103">
        <f t="shared" si="8"/>
        <v>2.75</v>
      </c>
    </row>
    <row r="104" spans="1:35" hidden="1" x14ac:dyDescent="0.4">
      <c r="A104">
        <v>926</v>
      </c>
      <c r="B104" t="s">
        <v>26</v>
      </c>
      <c r="C104">
        <f t="shared" si="11"/>
        <v>0</v>
      </c>
      <c r="D104" t="s">
        <v>54</v>
      </c>
      <c r="E104">
        <f t="shared" si="7"/>
        <v>1</v>
      </c>
      <c r="F104" t="s">
        <v>28</v>
      </c>
      <c r="G104">
        <v>6</v>
      </c>
      <c r="H104" s="1">
        <v>62052</v>
      </c>
      <c r="I104" s="10">
        <v>0.19</v>
      </c>
      <c r="J104">
        <v>37.5</v>
      </c>
      <c r="K104" t="s">
        <v>26</v>
      </c>
      <c r="L104">
        <v>22</v>
      </c>
      <c r="M104" t="s">
        <v>47</v>
      </c>
      <c r="N104" t="s">
        <v>42</v>
      </c>
      <c r="O104" t="s">
        <v>31</v>
      </c>
      <c r="P104">
        <v>3</v>
      </c>
      <c r="Q104" t="s">
        <v>32</v>
      </c>
      <c r="R104" t="s">
        <v>37</v>
      </c>
      <c r="S104">
        <v>3</v>
      </c>
      <c r="T104">
        <v>1</v>
      </c>
      <c r="U104">
        <v>4</v>
      </c>
      <c r="V104">
        <v>3</v>
      </c>
      <c r="W104">
        <v>3</v>
      </c>
      <c r="X104">
        <v>2</v>
      </c>
      <c r="Y104">
        <v>0</v>
      </c>
      <c r="Z104">
        <v>2</v>
      </c>
      <c r="AA104" t="str">
        <f t="shared" si="9"/>
        <v>Mid Tenure</v>
      </c>
      <c r="AC104">
        <f t="shared" si="10"/>
        <v>0</v>
      </c>
      <c r="AE104">
        <f>VLOOKUP(A104,'Employee Engagement Survey'!A455:B1924,2,FALSE)</f>
        <v>2</v>
      </c>
      <c r="AF104">
        <f>VLOOKUP(A104,'Employee Engagement Survey'!A455:C1924,3,FALSE)</f>
        <v>3</v>
      </c>
      <c r="AG104">
        <f>VLOOKUP(A104,'Employee Engagement Survey'!A455:D1924,4,FALSE)</f>
        <v>1</v>
      </c>
      <c r="AH104">
        <f>VLOOKUP(A104,'Employee Engagement Survey'!A455:E1924,5,FALSE)</f>
        <v>4</v>
      </c>
      <c r="AI104">
        <f t="shared" si="8"/>
        <v>2.5</v>
      </c>
    </row>
    <row r="105" spans="1:35" hidden="1" x14ac:dyDescent="0.4">
      <c r="A105">
        <v>622</v>
      </c>
      <c r="B105" t="s">
        <v>26</v>
      </c>
      <c r="C105">
        <f t="shared" si="11"/>
        <v>0</v>
      </c>
      <c r="D105" t="s">
        <v>46</v>
      </c>
      <c r="E105">
        <f t="shared" si="7"/>
        <v>0</v>
      </c>
      <c r="F105" t="s">
        <v>28</v>
      </c>
      <c r="G105">
        <v>4</v>
      </c>
      <c r="H105" s="1">
        <v>52080</v>
      </c>
      <c r="I105" s="10">
        <v>0.18</v>
      </c>
      <c r="J105">
        <v>37.5</v>
      </c>
      <c r="K105" t="s">
        <v>26</v>
      </c>
      <c r="L105">
        <v>26</v>
      </c>
      <c r="M105" t="s">
        <v>29</v>
      </c>
      <c r="N105" t="s">
        <v>30</v>
      </c>
      <c r="O105" t="s">
        <v>31</v>
      </c>
      <c r="P105">
        <v>24</v>
      </c>
      <c r="Q105" t="s">
        <v>43</v>
      </c>
      <c r="R105" t="s">
        <v>45</v>
      </c>
      <c r="S105">
        <v>3</v>
      </c>
      <c r="T105">
        <v>0</v>
      </c>
      <c r="U105">
        <v>1</v>
      </c>
      <c r="V105">
        <v>3</v>
      </c>
      <c r="W105">
        <v>1</v>
      </c>
      <c r="X105">
        <v>0</v>
      </c>
      <c r="Y105">
        <v>0</v>
      </c>
      <c r="Z105">
        <v>0</v>
      </c>
      <c r="AA105" t="str">
        <f t="shared" si="9"/>
        <v>Early Tenure</v>
      </c>
      <c r="AC105">
        <f t="shared" si="10"/>
        <v>0</v>
      </c>
      <c r="AE105">
        <f>VLOOKUP(A105,'Employee Engagement Survey'!A458:B1927,2,FALSE)</f>
        <v>3</v>
      </c>
      <c r="AF105">
        <f>VLOOKUP(A105,'Employee Engagement Survey'!A458:C1927,3,FALSE)</f>
        <v>4</v>
      </c>
      <c r="AG105">
        <f>VLOOKUP(A105,'Employee Engagement Survey'!A458:D1927,4,FALSE)</f>
        <v>2</v>
      </c>
      <c r="AH105">
        <f>VLOOKUP(A105,'Employee Engagement Survey'!A458:E1927,5,FALSE)</f>
        <v>1</v>
      </c>
      <c r="AI105">
        <f t="shared" si="8"/>
        <v>2.5</v>
      </c>
    </row>
    <row r="106" spans="1:35" hidden="1" x14ac:dyDescent="0.4">
      <c r="A106">
        <v>631</v>
      </c>
      <c r="B106" t="s">
        <v>26</v>
      </c>
      <c r="C106">
        <f t="shared" si="11"/>
        <v>0</v>
      </c>
      <c r="D106" t="s">
        <v>57</v>
      </c>
      <c r="E106">
        <f t="shared" si="7"/>
        <v>0</v>
      </c>
      <c r="F106" t="s">
        <v>40</v>
      </c>
      <c r="G106">
        <v>6</v>
      </c>
      <c r="H106" s="1">
        <v>68484</v>
      </c>
      <c r="I106" s="10">
        <v>0.12</v>
      </c>
      <c r="J106">
        <v>37.5</v>
      </c>
      <c r="K106" t="s">
        <v>34</v>
      </c>
      <c r="L106">
        <v>32</v>
      </c>
      <c r="M106" t="s">
        <v>29</v>
      </c>
      <c r="N106" t="s">
        <v>42</v>
      </c>
      <c r="O106" t="s">
        <v>35</v>
      </c>
      <c r="P106">
        <v>11</v>
      </c>
      <c r="Q106" t="s">
        <v>51</v>
      </c>
      <c r="R106" t="s">
        <v>53</v>
      </c>
      <c r="S106">
        <v>3</v>
      </c>
      <c r="T106">
        <v>0</v>
      </c>
      <c r="U106">
        <v>6</v>
      </c>
      <c r="V106">
        <v>2</v>
      </c>
      <c r="W106">
        <v>4</v>
      </c>
      <c r="X106">
        <v>2</v>
      </c>
      <c r="Y106">
        <v>1</v>
      </c>
      <c r="Z106">
        <v>2</v>
      </c>
      <c r="AA106" t="str">
        <f t="shared" si="9"/>
        <v>Mid Tenure</v>
      </c>
      <c r="AC106">
        <f t="shared" si="10"/>
        <v>0</v>
      </c>
      <c r="AE106">
        <f>VLOOKUP(A106,'Employee Engagement Survey'!A463:B1932,2,FALSE)</f>
        <v>4</v>
      </c>
      <c r="AF106">
        <f>VLOOKUP(A106,'Employee Engagement Survey'!A463:C1932,3,FALSE)</f>
        <v>3</v>
      </c>
      <c r="AG106">
        <f>VLOOKUP(A106,'Employee Engagement Survey'!A463:D1932,4,FALSE)</f>
        <v>4</v>
      </c>
      <c r="AH106">
        <f>VLOOKUP(A106,'Employee Engagement Survey'!A463:E1932,5,FALSE)</f>
        <v>3</v>
      </c>
      <c r="AI106">
        <f t="shared" si="8"/>
        <v>3.5</v>
      </c>
    </row>
    <row r="107" spans="1:35" hidden="1" x14ac:dyDescent="0.4">
      <c r="A107">
        <v>190</v>
      </c>
      <c r="B107" t="s">
        <v>26</v>
      </c>
      <c r="C107">
        <f t="shared" si="11"/>
        <v>0</v>
      </c>
      <c r="D107" t="s">
        <v>46</v>
      </c>
      <c r="E107">
        <f t="shared" si="7"/>
        <v>0</v>
      </c>
      <c r="F107" t="s">
        <v>28</v>
      </c>
      <c r="G107">
        <v>6</v>
      </c>
      <c r="H107" s="1">
        <v>62400</v>
      </c>
      <c r="I107" s="10">
        <v>0.22</v>
      </c>
      <c r="J107">
        <v>37.5</v>
      </c>
      <c r="K107" t="s">
        <v>34</v>
      </c>
      <c r="L107">
        <v>32</v>
      </c>
      <c r="M107" t="s">
        <v>47</v>
      </c>
      <c r="N107" t="s">
        <v>30</v>
      </c>
      <c r="O107" t="s">
        <v>31</v>
      </c>
      <c r="P107">
        <v>9</v>
      </c>
      <c r="Q107" t="s">
        <v>43</v>
      </c>
      <c r="R107" t="s">
        <v>33</v>
      </c>
      <c r="S107">
        <v>4</v>
      </c>
      <c r="T107">
        <v>0</v>
      </c>
      <c r="U107">
        <v>10</v>
      </c>
      <c r="V107">
        <v>2</v>
      </c>
      <c r="W107">
        <v>5</v>
      </c>
      <c r="X107">
        <v>4</v>
      </c>
      <c r="Y107">
        <v>0</v>
      </c>
      <c r="Z107">
        <v>4</v>
      </c>
      <c r="AA107" t="str">
        <f t="shared" si="9"/>
        <v>Mid Tenure</v>
      </c>
      <c r="AC107">
        <f t="shared" si="10"/>
        <v>0</v>
      </c>
      <c r="AE107">
        <f>VLOOKUP(A107,'Employee Engagement Survey'!A467:B1936,2,FALSE)</f>
        <v>1</v>
      </c>
      <c r="AF107">
        <f>VLOOKUP(A107,'Employee Engagement Survey'!A467:C1936,3,FALSE)</f>
        <v>1</v>
      </c>
      <c r="AG107">
        <f>VLOOKUP(A107,'Employee Engagement Survey'!A467:D1936,4,FALSE)</f>
        <v>1</v>
      </c>
      <c r="AH107">
        <f>VLOOKUP(A107,'Employee Engagement Survey'!A467:E1936,5,FALSE)</f>
        <v>4</v>
      </c>
      <c r="AI107">
        <f t="shared" si="8"/>
        <v>1.75</v>
      </c>
    </row>
    <row r="108" spans="1:35" hidden="1" x14ac:dyDescent="0.4">
      <c r="A108">
        <v>554</v>
      </c>
      <c r="B108" t="s">
        <v>26</v>
      </c>
      <c r="C108">
        <f t="shared" si="11"/>
        <v>0</v>
      </c>
      <c r="D108" t="s">
        <v>39</v>
      </c>
      <c r="E108">
        <f t="shared" si="7"/>
        <v>0</v>
      </c>
      <c r="F108" t="s">
        <v>40</v>
      </c>
      <c r="G108">
        <v>6</v>
      </c>
      <c r="H108" s="1">
        <v>62424</v>
      </c>
      <c r="I108" s="10">
        <v>0.16</v>
      </c>
      <c r="J108">
        <v>37.5</v>
      </c>
      <c r="K108" t="s">
        <v>26</v>
      </c>
      <c r="L108">
        <v>24</v>
      </c>
      <c r="M108" t="s">
        <v>47</v>
      </c>
      <c r="N108" t="s">
        <v>30</v>
      </c>
      <c r="O108" t="s">
        <v>31</v>
      </c>
      <c r="P108">
        <v>1</v>
      </c>
      <c r="Q108" t="s">
        <v>32</v>
      </c>
      <c r="R108" t="s">
        <v>45</v>
      </c>
      <c r="S108">
        <v>3</v>
      </c>
      <c r="T108">
        <v>0</v>
      </c>
      <c r="U108">
        <v>6</v>
      </c>
      <c r="V108">
        <v>4</v>
      </c>
      <c r="W108">
        <v>5</v>
      </c>
      <c r="X108">
        <v>3</v>
      </c>
      <c r="Y108">
        <v>1</v>
      </c>
      <c r="Z108">
        <v>4</v>
      </c>
      <c r="AA108" t="str">
        <f t="shared" si="9"/>
        <v>Mid Tenure</v>
      </c>
      <c r="AC108">
        <f t="shared" si="10"/>
        <v>0</v>
      </c>
      <c r="AE108">
        <f>VLOOKUP(A108,'Employee Engagement Survey'!A469:B1938,2,FALSE)</f>
        <v>1</v>
      </c>
      <c r="AF108">
        <f>VLOOKUP(A108,'Employee Engagement Survey'!A469:C1938,3,FALSE)</f>
        <v>2</v>
      </c>
      <c r="AG108">
        <f>VLOOKUP(A108,'Employee Engagement Survey'!A469:D1938,4,FALSE)</f>
        <v>2</v>
      </c>
      <c r="AH108">
        <f>VLOOKUP(A108,'Employee Engagement Survey'!A469:E1938,5,FALSE)</f>
        <v>3</v>
      </c>
      <c r="AI108">
        <f t="shared" si="8"/>
        <v>2</v>
      </c>
    </row>
    <row r="109" spans="1:35" hidden="1" x14ac:dyDescent="0.4">
      <c r="A109">
        <v>648</v>
      </c>
      <c r="B109" t="s">
        <v>26</v>
      </c>
      <c r="C109">
        <f t="shared" si="11"/>
        <v>0</v>
      </c>
      <c r="D109" t="s">
        <v>39</v>
      </c>
      <c r="E109">
        <f t="shared" si="7"/>
        <v>0</v>
      </c>
      <c r="F109" t="s">
        <v>40</v>
      </c>
      <c r="G109">
        <v>3</v>
      </c>
      <c r="H109" s="1">
        <v>48396</v>
      </c>
      <c r="I109" s="10">
        <v>0.18</v>
      </c>
      <c r="J109">
        <v>37.5</v>
      </c>
      <c r="K109" t="s">
        <v>34</v>
      </c>
      <c r="L109">
        <v>30</v>
      </c>
      <c r="M109" t="s">
        <v>29</v>
      </c>
      <c r="N109" t="s">
        <v>42</v>
      </c>
      <c r="O109" t="s">
        <v>44</v>
      </c>
      <c r="P109">
        <v>12</v>
      </c>
      <c r="Q109" t="s">
        <v>51</v>
      </c>
      <c r="R109" t="s">
        <v>37</v>
      </c>
      <c r="S109">
        <v>3</v>
      </c>
      <c r="T109">
        <v>1</v>
      </c>
      <c r="U109">
        <v>1</v>
      </c>
      <c r="V109">
        <v>2</v>
      </c>
      <c r="W109">
        <v>1</v>
      </c>
      <c r="X109">
        <v>0</v>
      </c>
      <c r="Y109">
        <v>0</v>
      </c>
      <c r="Z109">
        <v>0</v>
      </c>
      <c r="AA109" t="str">
        <f t="shared" si="9"/>
        <v>Early Tenure</v>
      </c>
      <c r="AC109">
        <f t="shared" si="10"/>
        <v>0</v>
      </c>
      <c r="AE109">
        <f>VLOOKUP(A109,'Employee Engagement Survey'!A478:B1947,2,FALSE)</f>
        <v>2</v>
      </c>
      <c r="AF109">
        <f>VLOOKUP(A109,'Employee Engagement Survey'!A478:C1947,3,FALSE)</f>
        <v>1</v>
      </c>
      <c r="AG109">
        <f>VLOOKUP(A109,'Employee Engagement Survey'!A478:D1947,4,FALSE)</f>
        <v>3</v>
      </c>
      <c r="AH109">
        <f>VLOOKUP(A109,'Employee Engagement Survey'!A478:E1947,5,FALSE)</f>
        <v>4</v>
      </c>
      <c r="AI109">
        <f t="shared" si="8"/>
        <v>2.5</v>
      </c>
    </row>
    <row r="110" spans="1:35" hidden="1" x14ac:dyDescent="0.4">
      <c r="A110">
        <v>650</v>
      </c>
      <c r="B110" t="s">
        <v>26</v>
      </c>
      <c r="C110">
        <f t="shared" si="11"/>
        <v>0</v>
      </c>
      <c r="D110" t="s">
        <v>57</v>
      </c>
      <c r="E110">
        <f t="shared" si="7"/>
        <v>0</v>
      </c>
      <c r="F110" t="s">
        <v>40</v>
      </c>
      <c r="G110">
        <v>6</v>
      </c>
      <c r="H110" s="1">
        <v>62796</v>
      </c>
      <c r="I110" s="10">
        <v>0.17</v>
      </c>
      <c r="J110">
        <v>37.5</v>
      </c>
      <c r="K110" t="s">
        <v>34</v>
      </c>
      <c r="L110">
        <v>31</v>
      </c>
      <c r="M110" t="s">
        <v>29</v>
      </c>
      <c r="N110" t="s">
        <v>48</v>
      </c>
      <c r="O110" t="s">
        <v>31</v>
      </c>
      <c r="P110">
        <v>13</v>
      </c>
      <c r="Q110" t="s">
        <v>51</v>
      </c>
      <c r="R110" t="s">
        <v>33</v>
      </c>
      <c r="S110">
        <v>3</v>
      </c>
      <c r="T110">
        <v>0</v>
      </c>
      <c r="U110">
        <v>9</v>
      </c>
      <c r="V110">
        <v>2</v>
      </c>
      <c r="W110">
        <v>3</v>
      </c>
      <c r="X110">
        <v>1</v>
      </c>
      <c r="Y110">
        <v>1</v>
      </c>
      <c r="Z110">
        <v>2</v>
      </c>
      <c r="AA110" t="str">
        <f t="shared" si="9"/>
        <v>Mid Tenure</v>
      </c>
      <c r="AC110">
        <f t="shared" si="10"/>
        <v>0</v>
      </c>
      <c r="AE110">
        <f>VLOOKUP(A110,'Employee Engagement Survey'!A480:B1949,2,FALSE)</f>
        <v>2</v>
      </c>
      <c r="AF110">
        <f>VLOOKUP(A110,'Employee Engagement Survey'!A480:C1949,3,FALSE)</f>
        <v>1</v>
      </c>
      <c r="AG110">
        <f>VLOOKUP(A110,'Employee Engagement Survey'!A480:D1949,4,FALSE)</f>
        <v>3</v>
      </c>
      <c r="AH110">
        <f>VLOOKUP(A110,'Employee Engagement Survey'!A480:E1949,5,FALSE)</f>
        <v>1</v>
      </c>
      <c r="AI110">
        <f t="shared" si="8"/>
        <v>1.75</v>
      </c>
    </row>
    <row r="111" spans="1:35" hidden="1" x14ac:dyDescent="0.4">
      <c r="A111">
        <v>667</v>
      </c>
      <c r="B111" t="s">
        <v>26</v>
      </c>
      <c r="C111">
        <f t="shared" si="11"/>
        <v>0</v>
      </c>
      <c r="D111" t="s">
        <v>39</v>
      </c>
      <c r="E111">
        <f t="shared" si="7"/>
        <v>0</v>
      </c>
      <c r="F111" t="s">
        <v>40</v>
      </c>
      <c r="G111">
        <v>6</v>
      </c>
      <c r="H111" s="1">
        <v>60492</v>
      </c>
      <c r="I111" s="10">
        <v>0.11</v>
      </c>
      <c r="J111">
        <v>37.5</v>
      </c>
      <c r="K111" t="s">
        <v>34</v>
      </c>
      <c r="L111">
        <v>27</v>
      </c>
      <c r="M111" t="s">
        <v>29</v>
      </c>
      <c r="N111" t="s">
        <v>48</v>
      </c>
      <c r="O111" t="s">
        <v>31</v>
      </c>
      <c r="P111">
        <v>2</v>
      </c>
      <c r="Q111" t="s">
        <v>32</v>
      </c>
      <c r="R111" t="s">
        <v>56</v>
      </c>
      <c r="S111">
        <v>3</v>
      </c>
      <c r="T111">
        <v>1</v>
      </c>
      <c r="U111">
        <v>5</v>
      </c>
      <c r="V111">
        <v>3</v>
      </c>
      <c r="W111">
        <v>4</v>
      </c>
      <c r="X111">
        <v>3</v>
      </c>
      <c r="Y111">
        <v>0</v>
      </c>
      <c r="Z111">
        <v>2</v>
      </c>
      <c r="AA111" t="str">
        <f t="shared" si="9"/>
        <v>Mid Tenure</v>
      </c>
      <c r="AC111">
        <f t="shared" si="10"/>
        <v>0</v>
      </c>
      <c r="AE111">
        <f>VLOOKUP(A111,'Employee Engagement Survey'!A489:B1958,2,FALSE)</f>
        <v>3</v>
      </c>
      <c r="AF111">
        <f>VLOOKUP(A111,'Employee Engagement Survey'!A489:C1958,3,FALSE)</f>
        <v>1</v>
      </c>
      <c r="AG111">
        <f>VLOOKUP(A111,'Employee Engagement Survey'!A489:D1958,4,FALSE)</f>
        <v>2</v>
      </c>
      <c r="AH111">
        <f>VLOOKUP(A111,'Employee Engagement Survey'!A489:E1958,5,FALSE)</f>
        <v>3</v>
      </c>
      <c r="AI111">
        <f t="shared" si="8"/>
        <v>2.25</v>
      </c>
    </row>
    <row r="112" spans="1:35" hidden="1" x14ac:dyDescent="0.4">
      <c r="A112">
        <v>684</v>
      </c>
      <c r="B112" t="s">
        <v>26</v>
      </c>
      <c r="C112">
        <f t="shared" si="11"/>
        <v>0</v>
      </c>
      <c r="D112" t="s">
        <v>57</v>
      </c>
      <c r="E112">
        <f t="shared" si="7"/>
        <v>0</v>
      </c>
      <c r="F112" t="s">
        <v>40</v>
      </c>
      <c r="G112">
        <v>6</v>
      </c>
      <c r="H112" s="1">
        <v>63432</v>
      </c>
      <c r="I112" s="10">
        <v>0.14000000000000001</v>
      </c>
      <c r="J112">
        <v>37.5</v>
      </c>
      <c r="K112" t="s">
        <v>34</v>
      </c>
      <c r="L112">
        <v>45</v>
      </c>
      <c r="M112" t="s">
        <v>47</v>
      </c>
      <c r="N112" t="s">
        <v>42</v>
      </c>
      <c r="O112" t="s">
        <v>44</v>
      </c>
      <c r="P112">
        <v>26</v>
      </c>
      <c r="Q112" t="s">
        <v>51</v>
      </c>
      <c r="R112" t="s">
        <v>37</v>
      </c>
      <c r="S112">
        <v>3</v>
      </c>
      <c r="T112">
        <v>2</v>
      </c>
      <c r="U112">
        <v>5</v>
      </c>
      <c r="V112">
        <v>4</v>
      </c>
      <c r="W112">
        <v>1</v>
      </c>
      <c r="X112">
        <v>1</v>
      </c>
      <c r="Y112">
        <v>0</v>
      </c>
      <c r="Z112">
        <v>0</v>
      </c>
      <c r="AA112" t="str">
        <f t="shared" si="9"/>
        <v>Early Tenure</v>
      </c>
      <c r="AC112">
        <f t="shared" si="10"/>
        <v>0</v>
      </c>
      <c r="AE112">
        <f>VLOOKUP(A112,'Employee Engagement Survey'!A495:B1964,2,FALSE)</f>
        <v>1</v>
      </c>
      <c r="AF112">
        <f>VLOOKUP(A112,'Employee Engagement Survey'!A495:C1964,3,FALSE)</f>
        <v>1</v>
      </c>
      <c r="AG112">
        <f>VLOOKUP(A112,'Employee Engagement Survey'!A495:D1964,4,FALSE)</f>
        <v>4</v>
      </c>
      <c r="AH112">
        <f>VLOOKUP(A112,'Employee Engagement Survey'!A495:E1964,5,FALSE)</f>
        <v>3</v>
      </c>
      <c r="AI112">
        <f t="shared" si="8"/>
        <v>2.25</v>
      </c>
    </row>
    <row r="113" spans="1:35" hidden="1" x14ac:dyDescent="0.4">
      <c r="A113">
        <v>702</v>
      </c>
      <c r="B113" t="s">
        <v>26</v>
      </c>
      <c r="C113">
        <f t="shared" si="11"/>
        <v>0</v>
      </c>
      <c r="D113" t="s">
        <v>27</v>
      </c>
      <c r="E113">
        <f t="shared" si="7"/>
        <v>0</v>
      </c>
      <c r="F113" t="s">
        <v>28</v>
      </c>
      <c r="G113">
        <v>6</v>
      </c>
      <c r="H113" s="1">
        <v>64176</v>
      </c>
      <c r="I113" s="10">
        <v>0.11</v>
      </c>
      <c r="J113">
        <v>37.5</v>
      </c>
      <c r="K113" t="s">
        <v>26</v>
      </c>
      <c r="L113">
        <v>33</v>
      </c>
      <c r="M113" t="s">
        <v>29</v>
      </c>
      <c r="N113" t="s">
        <v>30</v>
      </c>
      <c r="O113" t="s">
        <v>44</v>
      </c>
      <c r="P113">
        <v>3</v>
      </c>
      <c r="Q113" t="s">
        <v>43</v>
      </c>
      <c r="R113" t="s">
        <v>37</v>
      </c>
      <c r="S113">
        <v>3</v>
      </c>
      <c r="T113">
        <v>0</v>
      </c>
      <c r="U113">
        <v>10</v>
      </c>
      <c r="V113">
        <v>3</v>
      </c>
      <c r="W113">
        <v>10</v>
      </c>
      <c r="X113">
        <v>8</v>
      </c>
      <c r="Y113">
        <v>9</v>
      </c>
      <c r="Z113">
        <v>7</v>
      </c>
      <c r="AA113" t="str">
        <f t="shared" si="9"/>
        <v>Long Tenure</v>
      </c>
      <c r="AC113">
        <f t="shared" si="10"/>
        <v>0</v>
      </c>
      <c r="AE113">
        <f>VLOOKUP(A113,'Employee Engagement Survey'!A513:B1982,2,FALSE)</f>
        <v>1</v>
      </c>
      <c r="AF113">
        <f>VLOOKUP(A113,'Employee Engagement Survey'!A513:C1982,3,FALSE)</f>
        <v>1</v>
      </c>
      <c r="AG113">
        <f>VLOOKUP(A113,'Employee Engagement Survey'!A513:D1982,4,FALSE)</f>
        <v>1</v>
      </c>
      <c r="AH113">
        <f>VLOOKUP(A113,'Employee Engagement Survey'!A513:E1982,5,FALSE)</f>
        <v>3</v>
      </c>
      <c r="AI113">
        <f t="shared" si="8"/>
        <v>1.5</v>
      </c>
    </row>
    <row r="114" spans="1:35" hidden="1" x14ac:dyDescent="0.4">
      <c r="A114">
        <v>1299</v>
      </c>
      <c r="B114" t="s">
        <v>26</v>
      </c>
      <c r="C114">
        <f t="shared" si="11"/>
        <v>0</v>
      </c>
      <c r="D114" t="s">
        <v>46</v>
      </c>
      <c r="E114">
        <f t="shared" si="7"/>
        <v>0</v>
      </c>
      <c r="F114" t="s">
        <v>28</v>
      </c>
      <c r="G114">
        <v>6</v>
      </c>
      <c r="H114" s="1">
        <v>64068</v>
      </c>
      <c r="I114" s="10">
        <v>0.13</v>
      </c>
      <c r="J114">
        <v>37.5</v>
      </c>
      <c r="K114" t="s">
        <v>26</v>
      </c>
      <c r="L114">
        <v>29</v>
      </c>
      <c r="M114" t="s">
        <v>47</v>
      </c>
      <c r="N114" t="s">
        <v>48</v>
      </c>
      <c r="O114" t="s">
        <v>31</v>
      </c>
      <c r="P114">
        <v>7</v>
      </c>
      <c r="Q114" t="s">
        <v>43</v>
      </c>
      <c r="R114" t="s">
        <v>45</v>
      </c>
      <c r="S114">
        <v>3</v>
      </c>
      <c r="T114">
        <v>2</v>
      </c>
      <c r="U114">
        <v>10</v>
      </c>
      <c r="V114">
        <v>2</v>
      </c>
      <c r="W114">
        <v>7</v>
      </c>
      <c r="X114">
        <v>7</v>
      </c>
      <c r="Y114">
        <v>7</v>
      </c>
      <c r="Z114">
        <v>7</v>
      </c>
      <c r="AA114" t="str">
        <f t="shared" si="9"/>
        <v>Mid Tenure</v>
      </c>
      <c r="AC114">
        <f t="shared" si="10"/>
        <v>0</v>
      </c>
      <c r="AE114">
        <f>VLOOKUP(A114,'Employee Engagement Survey'!A519:B1988,2,FALSE)</f>
        <v>2</v>
      </c>
      <c r="AF114">
        <f>VLOOKUP(A114,'Employee Engagement Survey'!A519:C1988,3,FALSE)</f>
        <v>3</v>
      </c>
      <c r="AG114">
        <f>VLOOKUP(A114,'Employee Engagement Survey'!A519:D1988,4,FALSE)</f>
        <v>1</v>
      </c>
      <c r="AH114">
        <f>VLOOKUP(A114,'Employee Engagement Survey'!A519:E1988,5,FALSE)</f>
        <v>3</v>
      </c>
      <c r="AI114">
        <f t="shared" si="8"/>
        <v>2.25</v>
      </c>
    </row>
    <row r="115" spans="1:35" hidden="1" x14ac:dyDescent="0.4">
      <c r="A115">
        <v>723</v>
      </c>
      <c r="B115" t="s">
        <v>26</v>
      </c>
      <c r="C115">
        <f t="shared" si="11"/>
        <v>0</v>
      </c>
      <c r="D115" t="s">
        <v>57</v>
      </c>
      <c r="E115">
        <f t="shared" si="7"/>
        <v>0</v>
      </c>
      <c r="F115" t="s">
        <v>40</v>
      </c>
      <c r="G115">
        <v>8</v>
      </c>
      <c r="H115" s="1">
        <v>93552</v>
      </c>
      <c r="I115" s="10">
        <v>0.14000000000000001</v>
      </c>
      <c r="J115">
        <v>37.5</v>
      </c>
      <c r="K115" t="s">
        <v>26</v>
      </c>
      <c r="L115">
        <v>50</v>
      </c>
      <c r="M115" t="s">
        <v>29</v>
      </c>
      <c r="N115" t="s">
        <v>42</v>
      </c>
      <c r="O115" t="s">
        <v>44</v>
      </c>
      <c r="P115">
        <v>8</v>
      </c>
      <c r="Q115" t="s">
        <v>36</v>
      </c>
      <c r="R115" t="s">
        <v>45</v>
      </c>
      <c r="S115">
        <v>3</v>
      </c>
      <c r="T115">
        <v>1</v>
      </c>
      <c r="U115">
        <v>18</v>
      </c>
      <c r="V115">
        <v>4</v>
      </c>
      <c r="W115">
        <v>4</v>
      </c>
      <c r="X115">
        <v>3</v>
      </c>
      <c r="Y115">
        <v>1</v>
      </c>
      <c r="Z115">
        <v>3</v>
      </c>
      <c r="AA115" t="str">
        <f t="shared" si="9"/>
        <v>Mid Tenure</v>
      </c>
      <c r="AC115">
        <f t="shared" si="10"/>
        <v>0</v>
      </c>
      <c r="AE115">
        <f>VLOOKUP(A115,'Employee Engagement Survey'!A525:B1994,2,FALSE)</f>
        <v>2</v>
      </c>
      <c r="AF115">
        <f>VLOOKUP(A115,'Employee Engagement Survey'!A525:C1994,3,FALSE)</f>
        <v>3</v>
      </c>
      <c r="AG115">
        <f>VLOOKUP(A115,'Employee Engagement Survey'!A525:D1994,4,FALSE)</f>
        <v>1</v>
      </c>
      <c r="AH115">
        <f>VLOOKUP(A115,'Employee Engagement Survey'!A525:E1994,5,FALSE)</f>
        <v>3</v>
      </c>
      <c r="AI115">
        <f t="shared" si="8"/>
        <v>2.25</v>
      </c>
    </row>
    <row r="116" spans="1:35" hidden="1" x14ac:dyDescent="0.4">
      <c r="A116">
        <v>752</v>
      </c>
      <c r="B116" t="s">
        <v>26</v>
      </c>
      <c r="C116">
        <f t="shared" si="11"/>
        <v>0</v>
      </c>
      <c r="D116" t="s">
        <v>27</v>
      </c>
      <c r="E116">
        <f t="shared" si="7"/>
        <v>0</v>
      </c>
      <c r="F116" t="s">
        <v>28</v>
      </c>
      <c r="G116">
        <v>5</v>
      </c>
      <c r="H116" s="1">
        <v>57108</v>
      </c>
      <c r="I116" s="10">
        <v>0.12</v>
      </c>
      <c r="J116">
        <v>37.5</v>
      </c>
      <c r="K116" t="s">
        <v>26</v>
      </c>
      <c r="L116">
        <v>42</v>
      </c>
      <c r="M116" t="s">
        <v>29</v>
      </c>
      <c r="N116" t="s">
        <v>48</v>
      </c>
      <c r="O116" t="s">
        <v>44</v>
      </c>
      <c r="P116">
        <v>19</v>
      </c>
      <c r="Q116" t="s">
        <v>43</v>
      </c>
      <c r="R116" t="s">
        <v>33</v>
      </c>
      <c r="S116">
        <v>3</v>
      </c>
      <c r="T116">
        <v>0</v>
      </c>
      <c r="U116">
        <v>7</v>
      </c>
      <c r="V116">
        <v>2</v>
      </c>
      <c r="W116">
        <v>2</v>
      </c>
      <c r="X116">
        <v>2</v>
      </c>
      <c r="Y116">
        <v>2</v>
      </c>
      <c r="Z116">
        <v>2</v>
      </c>
      <c r="AA116" t="str">
        <f t="shared" si="9"/>
        <v>Early Tenure</v>
      </c>
      <c r="AC116">
        <f t="shared" si="10"/>
        <v>0</v>
      </c>
      <c r="AE116">
        <f>VLOOKUP(A116,'Employee Engagement Survey'!A544:B2013,2,FALSE)</f>
        <v>3</v>
      </c>
      <c r="AF116">
        <f>VLOOKUP(A116,'Employee Engagement Survey'!A544:C2013,3,FALSE)</f>
        <v>3</v>
      </c>
      <c r="AG116">
        <f>VLOOKUP(A116,'Employee Engagement Survey'!A544:D2013,4,FALSE)</f>
        <v>4</v>
      </c>
      <c r="AH116">
        <f>VLOOKUP(A116,'Employee Engagement Survey'!A544:E2013,5,FALSE)</f>
        <v>3</v>
      </c>
      <c r="AI116">
        <f t="shared" si="8"/>
        <v>3.25</v>
      </c>
    </row>
    <row r="117" spans="1:35" hidden="1" x14ac:dyDescent="0.4">
      <c r="A117">
        <v>780</v>
      </c>
      <c r="B117" t="s">
        <v>26</v>
      </c>
      <c r="C117">
        <f t="shared" si="11"/>
        <v>0</v>
      </c>
      <c r="D117" t="s">
        <v>27</v>
      </c>
      <c r="E117">
        <f t="shared" si="7"/>
        <v>0</v>
      </c>
      <c r="F117" t="s">
        <v>28</v>
      </c>
      <c r="G117">
        <v>5</v>
      </c>
      <c r="H117" s="1">
        <v>56232</v>
      </c>
      <c r="I117" s="10">
        <v>0.13</v>
      </c>
      <c r="J117">
        <v>37.5</v>
      </c>
      <c r="K117" t="s">
        <v>26</v>
      </c>
      <c r="L117">
        <v>33</v>
      </c>
      <c r="M117" t="s">
        <v>29</v>
      </c>
      <c r="N117" t="s">
        <v>30</v>
      </c>
      <c r="O117" t="s">
        <v>31</v>
      </c>
      <c r="P117">
        <v>1</v>
      </c>
      <c r="Q117" t="s">
        <v>51</v>
      </c>
      <c r="R117" t="s">
        <v>53</v>
      </c>
      <c r="S117">
        <v>3</v>
      </c>
      <c r="T117">
        <v>0</v>
      </c>
      <c r="U117">
        <v>10</v>
      </c>
      <c r="V117">
        <v>2</v>
      </c>
      <c r="W117">
        <v>10</v>
      </c>
      <c r="X117">
        <v>9</v>
      </c>
      <c r="Y117">
        <v>7</v>
      </c>
      <c r="Z117">
        <v>8</v>
      </c>
      <c r="AA117" t="str">
        <f t="shared" si="9"/>
        <v>Long Tenure</v>
      </c>
      <c r="AC117">
        <f t="shared" si="10"/>
        <v>0</v>
      </c>
      <c r="AE117">
        <f>VLOOKUP(A117,'Employee Engagement Survey'!A560:B2029,2,FALSE)</f>
        <v>4</v>
      </c>
      <c r="AF117">
        <f>VLOOKUP(A117,'Employee Engagement Survey'!A560:C2029,3,FALSE)</f>
        <v>4</v>
      </c>
      <c r="AG117">
        <f>VLOOKUP(A117,'Employee Engagement Survey'!A560:D2029,4,FALSE)</f>
        <v>3</v>
      </c>
      <c r="AH117">
        <f>VLOOKUP(A117,'Employee Engagement Survey'!A560:E2029,5,FALSE)</f>
        <v>2</v>
      </c>
      <c r="AI117">
        <f t="shared" si="8"/>
        <v>3.25</v>
      </c>
    </row>
    <row r="118" spans="1:35" hidden="1" x14ac:dyDescent="0.4">
      <c r="A118">
        <v>787</v>
      </c>
      <c r="B118" t="s">
        <v>26</v>
      </c>
      <c r="C118">
        <f t="shared" si="11"/>
        <v>0</v>
      </c>
      <c r="D118" t="s">
        <v>109</v>
      </c>
      <c r="E118">
        <f t="shared" si="7"/>
        <v>1</v>
      </c>
      <c r="F118" t="s">
        <v>28</v>
      </c>
      <c r="G118">
        <v>5</v>
      </c>
      <c r="H118" s="1">
        <v>250308</v>
      </c>
      <c r="I118" s="10">
        <v>0.13</v>
      </c>
      <c r="J118">
        <v>37.5</v>
      </c>
      <c r="K118" t="s">
        <v>26</v>
      </c>
      <c r="L118">
        <v>55</v>
      </c>
      <c r="M118" t="s">
        <v>29</v>
      </c>
      <c r="N118" t="s">
        <v>42</v>
      </c>
      <c r="O118" t="s">
        <v>31</v>
      </c>
      <c r="P118">
        <v>2</v>
      </c>
      <c r="Q118" t="s">
        <v>43</v>
      </c>
      <c r="R118" t="s">
        <v>33</v>
      </c>
      <c r="S118">
        <v>3</v>
      </c>
      <c r="T118">
        <v>1</v>
      </c>
      <c r="U118">
        <v>24</v>
      </c>
      <c r="V118">
        <v>2</v>
      </c>
      <c r="W118">
        <v>5</v>
      </c>
      <c r="X118">
        <v>2</v>
      </c>
      <c r="Y118">
        <v>1</v>
      </c>
      <c r="Z118">
        <v>4</v>
      </c>
      <c r="AA118" t="str">
        <f t="shared" si="9"/>
        <v>Mid Tenure</v>
      </c>
      <c r="AC118">
        <f t="shared" si="10"/>
        <v>0</v>
      </c>
      <c r="AE118">
        <f>VLOOKUP(A118,'Employee Engagement Survey'!A570:B2039,2,FALSE)</f>
        <v>4</v>
      </c>
      <c r="AF118">
        <f>VLOOKUP(A118,'Employee Engagement Survey'!A570:C2039,3,FALSE)</f>
        <v>1</v>
      </c>
      <c r="AG118">
        <f>VLOOKUP(A118,'Employee Engagement Survey'!A570:D2039,4,FALSE)</f>
        <v>4</v>
      </c>
      <c r="AH118">
        <f>VLOOKUP(A118,'Employee Engagement Survey'!A570:E2039,5,FALSE)</f>
        <v>3</v>
      </c>
      <c r="AI118">
        <f t="shared" si="8"/>
        <v>3</v>
      </c>
    </row>
    <row r="119" spans="1:35" hidden="1" x14ac:dyDescent="0.4">
      <c r="A119">
        <v>796</v>
      </c>
      <c r="B119" t="s">
        <v>26</v>
      </c>
      <c r="C119">
        <f t="shared" si="11"/>
        <v>0</v>
      </c>
      <c r="D119" t="s">
        <v>57</v>
      </c>
      <c r="E119">
        <f t="shared" si="7"/>
        <v>0</v>
      </c>
      <c r="F119" t="s">
        <v>40</v>
      </c>
      <c r="G119">
        <v>7</v>
      </c>
      <c r="H119" s="1">
        <v>75912</v>
      </c>
      <c r="I119" s="10">
        <v>0.17</v>
      </c>
      <c r="J119">
        <v>37.5</v>
      </c>
      <c r="K119" t="s">
        <v>34</v>
      </c>
      <c r="L119">
        <v>26</v>
      </c>
      <c r="M119" t="s">
        <v>29</v>
      </c>
      <c r="N119" t="s">
        <v>30</v>
      </c>
      <c r="O119" t="s">
        <v>31</v>
      </c>
      <c r="P119">
        <v>8</v>
      </c>
      <c r="Q119" t="s">
        <v>43</v>
      </c>
      <c r="R119" t="s">
        <v>45</v>
      </c>
      <c r="S119">
        <v>3</v>
      </c>
      <c r="T119">
        <v>0</v>
      </c>
      <c r="U119">
        <v>6</v>
      </c>
      <c r="V119">
        <v>2</v>
      </c>
      <c r="W119">
        <v>4</v>
      </c>
      <c r="X119">
        <v>3</v>
      </c>
      <c r="Y119">
        <v>1</v>
      </c>
      <c r="Z119">
        <v>2</v>
      </c>
      <c r="AA119" t="str">
        <f t="shared" si="9"/>
        <v>Mid Tenure</v>
      </c>
      <c r="AC119">
        <f t="shared" si="10"/>
        <v>0</v>
      </c>
      <c r="AE119">
        <f>VLOOKUP(A119,'Employee Engagement Survey'!A574:B2043,2,FALSE)</f>
        <v>4</v>
      </c>
      <c r="AF119">
        <f>VLOOKUP(A119,'Employee Engagement Survey'!A574:C2043,3,FALSE)</f>
        <v>1</v>
      </c>
      <c r="AG119">
        <f>VLOOKUP(A119,'Employee Engagement Survey'!A574:D2043,4,FALSE)</f>
        <v>3</v>
      </c>
      <c r="AH119">
        <f>VLOOKUP(A119,'Employee Engagement Survey'!A574:E2043,5,FALSE)</f>
        <v>2</v>
      </c>
      <c r="AI119">
        <f t="shared" si="8"/>
        <v>2.5</v>
      </c>
    </row>
    <row r="120" spans="1:35" hidden="1" x14ac:dyDescent="0.4">
      <c r="A120">
        <v>811</v>
      </c>
      <c r="B120" t="s">
        <v>26</v>
      </c>
      <c r="C120">
        <f t="shared" si="11"/>
        <v>0</v>
      </c>
      <c r="D120" t="s">
        <v>46</v>
      </c>
      <c r="E120">
        <f t="shared" si="7"/>
        <v>0</v>
      </c>
      <c r="F120" t="s">
        <v>28</v>
      </c>
      <c r="G120">
        <v>2</v>
      </c>
      <c r="H120" s="1">
        <v>43212</v>
      </c>
      <c r="I120" s="10">
        <v>0.21</v>
      </c>
      <c r="J120">
        <v>37.5</v>
      </c>
      <c r="K120" t="s">
        <v>26</v>
      </c>
      <c r="L120">
        <v>23</v>
      </c>
      <c r="M120" t="s">
        <v>29</v>
      </c>
      <c r="N120" t="s">
        <v>42</v>
      </c>
      <c r="O120" t="s">
        <v>31</v>
      </c>
      <c r="P120">
        <v>6</v>
      </c>
      <c r="Q120" t="s">
        <v>43</v>
      </c>
      <c r="R120" t="s">
        <v>37</v>
      </c>
      <c r="S120">
        <v>4</v>
      </c>
      <c r="T120">
        <v>2</v>
      </c>
      <c r="U120">
        <v>1</v>
      </c>
      <c r="V120">
        <v>2</v>
      </c>
      <c r="W120">
        <v>0</v>
      </c>
      <c r="X120">
        <v>0</v>
      </c>
      <c r="Y120">
        <v>0</v>
      </c>
      <c r="Z120">
        <v>0</v>
      </c>
      <c r="AA120" t="str">
        <f t="shared" si="9"/>
        <v>Early Tenure</v>
      </c>
      <c r="AC120">
        <f t="shared" si="10"/>
        <v>0</v>
      </c>
      <c r="AE120">
        <f>VLOOKUP(A120,'Employee Engagement Survey'!A579:B2048,2,FALSE)</f>
        <v>3</v>
      </c>
      <c r="AF120">
        <f>VLOOKUP(A120,'Employee Engagement Survey'!A579:C2048,3,FALSE)</f>
        <v>1</v>
      </c>
      <c r="AG120">
        <f>VLOOKUP(A120,'Employee Engagement Survey'!A579:D2048,4,FALSE)</f>
        <v>3</v>
      </c>
      <c r="AH120">
        <f>VLOOKUP(A120,'Employee Engagement Survey'!A579:E2048,5,FALSE)</f>
        <v>3</v>
      </c>
      <c r="AI120">
        <f t="shared" si="8"/>
        <v>2.5</v>
      </c>
    </row>
    <row r="121" spans="1:35" hidden="1" x14ac:dyDescent="0.4">
      <c r="A121">
        <v>1101</v>
      </c>
      <c r="B121" t="s">
        <v>26</v>
      </c>
      <c r="C121">
        <f t="shared" si="11"/>
        <v>0</v>
      </c>
      <c r="D121" t="s">
        <v>27</v>
      </c>
      <c r="E121">
        <f t="shared" si="7"/>
        <v>0</v>
      </c>
      <c r="F121" t="s">
        <v>28</v>
      </c>
      <c r="G121">
        <v>6</v>
      </c>
      <c r="H121" s="1">
        <v>66096</v>
      </c>
      <c r="I121" s="10">
        <v>0.22</v>
      </c>
      <c r="J121">
        <v>37.5</v>
      </c>
      <c r="K121" t="s">
        <v>34</v>
      </c>
      <c r="L121">
        <v>33</v>
      </c>
      <c r="M121" t="s">
        <v>47</v>
      </c>
      <c r="N121" t="s">
        <v>30</v>
      </c>
      <c r="O121" t="s">
        <v>44</v>
      </c>
      <c r="P121">
        <v>29</v>
      </c>
      <c r="Q121" t="s">
        <v>51</v>
      </c>
      <c r="R121" t="s">
        <v>33</v>
      </c>
      <c r="S121">
        <v>4</v>
      </c>
      <c r="T121">
        <v>0</v>
      </c>
      <c r="U121">
        <v>14</v>
      </c>
      <c r="V121">
        <v>4</v>
      </c>
      <c r="W121">
        <v>13</v>
      </c>
      <c r="X121">
        <v>7</v>
      </c>
      <c r="Y121">
        <v>3</v>
      </c>
      <c r="Z121">
        <v>8</v>
      </c>
      <c r="AA121" t="str">
        <f t="shared" si="9"/>
        <v>Long Tenure</v>
      </c>
      <c r="AC121">
        <f t="shared" si="10"/>
        <v>0</v>
      </c>
      <c r="AE121">
        <f>VLOOKUP(A121,'Employee Engagement Survey'!A587:B2056,2,FALSE)</f>
        <v>1</v>
      </c>
      <c r="AF121">
        <f>VLOOKUP(A121,'Employee Engagement Survey'!A587:C2056,3,FALSE)</f>
        <v>3</v>
      </c>
      <c r="AG121">
        <f>VLOOKUP(A121,'Employee Engagement Survey'!A587:D2056,4,FALSE)</f>
        <v>2</v>
      </c>
      <c r="AH121">
        <f>VLOOKUP(A121,'Employee Engagement Survey'!A587:E2056,5,FALSE)</f>
        <v>3</v>
      </c>
      <c r="AI121">
        <f t="shared" si="8"/>
        <v>2.25</v>
      </c>
    </row>
    <row r="122" spans="1:35" hidden="1" x14ac:dyDescent="0.4">
      <c r="A122">
        <v>825</v>
      </c>
      <c r="B122" t="s">
        <v>26</v>
      </c>
      <c r="C122">
        <f t="shared" si="11"/>
        <v>0</v>
      </c>
      <c r="D122" t="s">
        <v>60</v>
      </c>
      <c r="E122">
        <f t="shared" si="7"/>
        <v>1</v>
      </c>
      <c r="F122" t="s">
        <v>28</v>
      </c>
      <c r="G122">
        <v>5</v>
      </c>
      <c r="H122" s="1">
        <v>242952</v>
      </c>
      <c r="I122" s="10">
        <v>0.12</v>
      </c>
      <c r="J122">
        <v>37.5</v>
      </c>
      <c r="K122" t="s">
        <v>26</v>
      </c>
      <c r="L122">
        <v>58</v>
      </c>
      <c r="M122" t="s">
        <v>29</v>
      </c>
      <c r="N122" t="s">
        <v>30</v>
      </c>
      <c r="O122" t="s">
        <v>31</v>
      </c>
      <c r="P122">
        <v>2</v>
      </c>
      <c r="Q122" t="s">
        <v>51</v>
      </c>
      <c r="R122" t="s">
        <v>37</v>
      </c>
      <c r="S122">
        <v>3</v>
      </c>
      <c r="T122">
        <v>0</v>
      </c>
      <c r="U122">
        <v>40</v>
      </c>
      <c r="V122">
        <v>2</v>
      </c>
      <c r="W122">
        <v>31</v>
      </c>
      <c r="X122">
        <v>15</v>
      </c>
      <c r="Y122">
        <v>13</v>
      </c>
      <c r="Z122">
        <v>8</v>
      </c>
      <c r="AA122" t="str">
        <f t="shared" si="9"/>
        <v>Long Tenure</v>
      </c>
      <c r="AC122">
        <f t="shared" si="10"/>
        <v>0</v>
      </c>
      <c r="AE122">
        <f>VLOOKUP(A122,'Employee Engagement Survey'!A591:B2060,2,FALSE)</f>
        <v>4</v>
      </c>
      <c r="AF122">
        <f>VLOOKUP(A122,'Employee Engagement Survey'!A591:C2060,3,FALSE)</f>
        <v>2</v>
      </c>
      <c r="AG122">
        <f>VLOOKUP(A122,'Employee Engagement Survey'!A591:D2060,4,FALSE)</f>
        <v>4</v>
      </c>
      <c r="AH122">
        <f>VLOOKUP(A122,'Employee Engagement Survey'!A591:E2060,5,FALSE)</f>
        <v>3</v>
      </c>
      <c r="AI122">
        <f t="shared" si="8"/>
        <v>3.25</v>
      </c>
    </row>
    <row r="123" spans="1:35" hidden="1" x14ac:dyDescent="0.4">
      <c r="A123">
        <v>828</v>
      </c>
      <c r="B123" t="s">
        <v>26</v>
      </c>
      <c r="C123">
        <f t="shared" si="11"/>
        <v>0</v>
      </c>
      <c r="D123" t="s">
        <v>27</v>
      </c>
      <c r="E123">
        <f t="shared" si="7"/>
        <v>0</v>
      </c>
      <c r="F123" t="s">
        <v>28</v>
      </c>
      <c r="G123">
        <v>6</v>
      </c>
      <c r="H123" s="1">
        <v>64584</v>
      </c>
      <c r="I123" s="10">
        <v>0.17</v>
      </c>
      <c r="J123">
        <v>37.5</v>
      </c>
      <c r="K123" t="s">
        <v>34</v>
      </c>
      <c r="L123">
        <v>28</v>
      </c>
      <c r="M123" t="s">
        <v>29</v>
      </c>
      <c r="N123" t="s">
        <v>30</v>
      </c>
      <c r="O123" t="s">
        <v>31</v>
      </c>
      <c r="P123">
        <v>2</v>
      </c>
      <c r="Q123" t="s">
        <v>51</v>
      </c>
      <c r="R123" t="s">
        <v>33</v>
      </c>
      <c r="S123">
        <v>3</v>
      </c>
      <c r="T123">
        <v>0</v>
      </c>
      <c r="U123">
        <v>5</v>
      </c>
      <c r="V123">
        <v>3</v>
      </c>
      <c r="W123">
        <v>2</v>
      </c>
      <c r="X123">
        <v>2</v>
      </c>
      <c r="Y123">
        <v>2</v>
      </c>
      <c r="Z123">
        <v>1</v>
      </c>
      <c r="AA123" t="str">
        <f t="shared" si="9"/>
        <v>Early Tenure</v>
      </c>
      <c r="AC123">
        <f t="shared" si="10"/>
        <v>0</v>
      </c>
      <c r="AE123">
        <f>VLOOKUP(A123,'Employee Engagement Survey'!A592:B2061,2,FALSE)</f>
        <v>3</v>
      </c>
      <c r="AF123">
        <f>VLOOKUP(A123,'Employee Engagement Survey'!A592:C2061,3,FALSE)</f>
        <v>3</v>
      </c>
      <c r="AG123">
        <f>VLOOKUP(A123,'Employee Engagement Survey'!A592:D2061,4,FALSE)</f>
        <v>4</v>
      </c>
      <c r="AH123">
        <f>VLOOKUP(A123,'Employee Engagement Survey'!A592:E2061,5,FALSE)</f>
        <v>2</v>
      </c>
      <c r="AI123">
        <f t="shared" si="8"/>
        <v>3</v>
      </c>
    </row>
    <row r="124" spans="1:35" hidden="1" x14ac:dyDescent="0.4">
      <c r="A124">
        <v>842</v>
      </c>
      <c r="B124" t="s">
        <v>26</v>
      </c>
      <c r="C124">
        <f t="shared" si="11"/>
        <v>0</v>
      </c>
      <c r="D124" t="s">
        <v>57</v>
      </c>
      <c r="E124">
        <f t="shared" si="7"/>
        <v>0</v>
      </c>
      <c r="F124" t="s">
        <v>40</v>
      </c>
      <c r="G124">
        <v>7</v>
      </c>
      <c r="H124" s="1">
        <v>73920</v>
      </c>
      <c r="I124" s="10">
        <v>0.16</v>
      </c>
      <c r="J124">
        <v>37.5</v>
      </c>
      <c r="K124" t="s">
        <v>34</v>
      </c>
      <c r="L124">
        <v>55</v>
      </c>
      <c r="M124" t="s">
        <v>29</v>
      </c>
      <c r="N124" t="s">
        <v>30</v>
      </c>
      <c r="O124" t="s">
        <v>31</v>
      </c>
      <c r="P124">
        <v>2</v>
      </c>
      <c r="Q124" t="s">
        <v>32</v>
      </c>
      <c r="R124" t="s">
        <v>33</v>
      </c>
      <c r="S124">
        <v>3</v>
      </c>
      <c r="T124">
        <v>0</v>
      </c>
      <c r="U124">
        <v>12</v>
      </c>
      <c r="V124">
        <v>3</v>
      </c>
      <c r="W124">
        <v>9</v>
      </c>
      <c r="X124">
        <v>7</v>
      </c>
      <c r="Y124">
        <v>7</v>
      </c>
      <c r="Z124">
        <v>3</v>
      </c>
      <c r="AA124" t="str">
        <f t="shared" si="9"/>
        <v>Mid Tenure</v>
      </c>
      <c r="AC124">
        <f t="shared" si="10"/>
        <v>0</v>
      </c>
      <c r="AE124">
        <f>VLOOKUP(A124,'Employee Engagement Survey'!A603:B2072,2,FALSE)</f>
        <v>3</v>
      </c>
      <c r="AF124">
        <f>VLOOKUP(A124,'Employee Engagement Survey'!A603:C2072,3,FALSE)</f>
        <v>4</v>
      </c>
      <c r="AG124">
        <f>VLOOKUP(A124,'Employee Engagement Survey'!A603:D2072,4,FALSE)</f>
        <v>3</v>
      </c>
      <c r="AH124">
        <f>VLOOKUP(A124,'Employee Engagement Survey'!A603:E2072,5,FALSE)</f>
        <v>2</v>
      </c>
      <c r="AI124">
        <f t="shared" si="8"/>
        <v>3</v>
      </c>
    </row>
    <row r="125" spans="1:35" hidden="1" x14ac:dyDescent="0.4">
      <c r="A125">
        <v>175</v>
      </c>
      <c r="B125" t="s">
        <v>26</v>
      </c>
      <c r="C125">
        <f t="shared" si="11"/>
        <v>0</v>
      </c>
      <c r="D125" t="s">
        <v>57</v>
      </c>
      <c r="E125">
        <f t="shared" si="7"/>
        <v>0</v>
      </c>
      <c r="F125" t="s">
        <v>40</v>
      </c>
      <c r="G125">
        <v>6</v>
      </c>
      <c r="H125" s="1">
        <v>66708</v>
      </c>
      <c r="I125" s="10">
        <v>0.11</v>
      </c>
      <c r="J125">
        <v>37.5</v>
      </c>
      <c r="K125" t="s">
        <v>26</v>
      </c>
      <c r="L125">
        <v>31</v>
      </c>
      <c r="M125" t="s">
        <v>47</v>
      </c>
      <c r="N125" t="s">
        <v>42</v>
      </c>
      <c r="O125" t="s">
        <v>31</v>
      </c>
      <c r="P125">
        <v>20</v>
      </c>
      <c r="Q125" t="s">
        <v>43</v>
      </c>
      <c r="R125" t="s">
        <v>37</v>
      </c>
      <c r="S125">
        <v>3</v>
      </c>
      <c r="T125">
        <v>1</v>
      </c>
      <c r="U125">
        <v>4</v>
      </c>
      <c r="V125">
        <v>2</v>
      </c>
      <c r="W125">
        <v>2</v>
      </c>
      <c r="X125">
        <v>2</v>
      </c>
      <c r="Y125">
        <v>2</v>
      </c>
      <c r="Z125">
        <v>2</v>
      </c>
      <c r="AA125" t="str">
        <f t="shared" si="9"/>
        <v>Early Tenure</v>
      </c>
      <c r="AC125">
        <f t="shared" si="10"/>
        <v>0</v>
      </c>
      <c r="AE125">
        <f>VLOOKUP(A125,'Employee Engagement Survey'!A604:B2073,2,FALSE)</f>
        <v>2</v>
      </c>
      <c r="AF125">
        <f>VLOOKUP(A125,'Employee Engagement Survey'!A604:C2073,3,FALSE)</f>
        <v>3</v>
      </c>
      <c r="AG125">
        <f>VLOOKUP(A125,'Employee Engagement Survey'!A604:D2073,4,FALSE)</f>
        <v>3</v>
      </c>
      <c r="AH125">
        <f>VLOOKUP(A125,'Employee Engagement Survey'!A604:E2073,5,FALSE)</f>
        <v>3</v>
      </c>
      <c r="AI125">
        <f t="shared" si="8"/>
        <v>2.75</v>
      </c>
    </row>
    <row r="126" spans="1:35" hidden="1" x14ac:dyDescent="0.4">
      <c r="A126">
        <v>720</v>
      </c>
      <c r="B126" t="s">
        <v>26</v>
      </c>
      <c r="C126">
        <f t="shared" si="11"/>
        <v>0</v>
      </c>
      <c r="D126" t="s">
        <v>57</v>
      </c>
      <c r="E126">
        <f t="shared" si="7"/>
        <v>0</v>
      </c>
      <c r="F126" t="s">
        <v>40</v>
      </c>
      <c r="G126">
        <v>6</v>
      </c>
      <c r="H126" s="1">
        <v>66924</v>
      </c>
      <c r="I126" s="10">
        <v>0.14000000000000001</v>
      </c>
      <c r="J126">
        <v>37.5</v>
      </c>
      <c r="K126" t="s">
        <v>34</v>
      </c>
      <c r="L126">
        <v>24</v>
      </c>
      <c r="M126" t="s">
        <v>47</v>
      </c>
      <c r="N126" t="s">
        <v>30</v>
      </c>
      <c r="O126" t="s">
        <v>31</v>
      </c>
      <c r="P126">
        <v>3</v>
      </c>
      <c r="Q126" t="s">
        <v>36</v>
      </c>
      <c r="R126" t="s">
        <v>37</v>
      </c>
      <c r="S126">
        <v>3</v>
      </c>
      <c r="T126">
        <v>0</v>
      </c>
      <c r="U126">
        <v>4</v>
      </c>
      <c r="V126">
        <v>3</v>
      </c>
      <c r="W126">
        <v>2</v>
      </c>
      <c r="X126">
        <v>2</v>
      </c>
      <c r="Y126">
        <v>2</v>
      </c>
      <c r="Z126">
        <v>0</v>
      </c>
      <c r="AA126" t="str">
        <f t="shared" si="9"/>
        <v>Early Tenure</v>
      </c>
      <c r="AC126">
        <f t="shared" si="10"/>
        <v>0</v>
      </c>
      <c r="AE126">
        <f>VLOOKUP(A126,'Employee Engagement Survey'!A607:B2076,2,FALSE)</f>
        <v>1</v>
      </c>
      <c r="AF126">
        <f>VLOOKUP(A126,'Employee Engagement Survey'!A607:C2076,3,FALSE)</f>
        <v>3</v>
      </c>
      <c r="AG126">
        <f>VLOOKUP(A126,'Employee Engagement Survey'!A607:D2076,4,FALSE)</f>
        <v>1</v>
      </c>
      <c r="AH126">
        <f>VLOOKUP(A126,'Employee Engagement Survey'!A607:E2076,5,FALSE)</f>
        <v>3</v>
      </c>
      <c r="AI126">
        <f t="shared" si="8"/>
        <v>2</v>
      </c>
    </row>
    <row r="127" spans="1:35" hidden="1" x14ac:dyDescent="0.4">
      <c r="A127">
        <v>1489</v>
      </c>
      <c r="B127" t="s">
        <v>26</v>
      </c>
      <c r="C127">
        <f t="shared" si="11"/>
        <v>0</v>
      </c>
      <c r="D127" t="s">
        <v>57</v>
      </c>
      <c r="E127">
        <f t="shared" si="7"/>
        <v>0</v>
      </c>
      <c r="F127" t="s">
        <v>40</v>
      </c>
      <c r="G127">
        <v>6</v>
      </c>
      <c r="H127" s="1">
        <v>67188</v>
      </c>
      <c r="I127" s="10">
        <v>0.23</v>
      </c>
      <c r="J127">
        <v>37.5</v>
      </c>
      <c r="K127" t="s">
        <v>26</v>
      </c>
      <c r="L127">
        <v>34</v>
      </c>
      <c r="M127" t="s">
        <v>47</v>
      </c>
      <c r="N127" t="s">
        <v>30</v>
      </c>
      <c r="O127" t="s">
        <v>31</v>
      </c>
      <c r="P127">
        <v>24</v>
      </c>
      <c r="Q127" t="s">
        <v>51</v>
      </c>
      <c r="R127" t="s">
        <v>33</v>
      </c>
      <c r="S127">
        <v>4</v>
      </c>
      <c r="T127">
        <v>0</v>
      </c>
      <c r="U127">
        <v>16</v>
      </c>
      <c r="V127">
        <v>2</v>
      </c>
      <c r="W127">
        <v>15</v>
      </c>
      <c r="X127">
        <v>9</v>
      </c>
      <c r="Y127">
        <v>10</v>
      </c>
      <c r="Z127">
        <v>10</v>
      </c>
      <c r="AA127" t="str">
        <f t="shared" si="9"/>
        <v>Long Tenure</v>
      </c>
      <c r="AC127">
        <f t="shared" si="10"/>
        <v>0</v>
      </c>
      <c r="AE127">
        <f>VLOOKUP(A127,'Employee Engagement Survey'!A615:B2084,2,FALSE)</f>
        <v>1</v>
      </c>
      <c r="AF127">
        <f>VLOOKUP(A127,'Employee Engagement Survey'!A615:C2084,3,FALSE)</f>
        <v>2</v>
      </c>
      <c r="AG127">
        <f>VLOOKUP(A127,'Employee Engagement Survey'!A615:D2084,4,FALSE)</f>
        <v>3</v>
      </c>
      <c r="AH127">
        <f>VLOOKUP(A127,'Employee Engagement Survey'!A615:E2084,5,FALSE)</f>
        <v>4</v>
      </c>
      <c r="AI127">
        <f t="shared" si="8"/>
        <v>2.5</v>
      </c>
    </row>
    <row r="128" spans="1:35" hidden="1" x14ac:dyDescent="0.4">
      <c r="A128">
        <v>1380</v>
      </c>
      <c r="B128" t="s">
        <v>26</v>
      </c>
      <c r="C128">
        <f t="shared" si="11"/>
        <v>0</v>
      </c>
      <c r="D128" t="s">
        <v>57</v>
      </c>
      <c r="E128">
        <f t="shared" si="7"/>
        <v>0</v>
      </c>
      <c r="F128" t="s">
        <v>40</v>
      </c>
      <c r="G128">
        <v>6</v>
      </c>
      <c r="H128" s="1">
        <v>67368</v>
      </c>
      <c r="I128" s="10">
        <v>0.18</v>
      </c>
      <c r="J128">
        <v>37.5</v>
      </c>
      <c r="K128" t="s">
        <v>26</v>
      </c>
      <c r="L128">
        <v>35</v>
      </c>
      <c r="M128" t="s">
        <v>47</v>
      </c>
      <c r="N128" t="s">
        <v>42</v>
      </c>
      <c r="O128" t="s">
        <v>44</v>
      </c>
      <c r="P128">
        <v>18</v>
      </c>
      <c r="Q128" t="s">
        <v>51</v>
      </c>
      <c r="R128" t="s">
        <v>56</v>
      </c>
      <c r="S128">
        <v>3</v>
      </c>
      <c r="T128">
        <v>1</v>
      </c>
      <c r="U128">
        <v>5</v>
      </c>
      <c r="V128">
        <v>0</v>
      </c>
      <c r="W128">
        <v>4</v>
      </c>
      <c r="X128">
        <v>2</v>
      </c>
      <c r="Y128">
        <v>3</v>
      </c>
      <c r="Z128">
        <v>2</v>
      </c>
      <c r="AA128" t="str">
        <f t="shared" si="9"/>
        <v>Mid Tenure</v>
      </c>
      <c r="AC128">
        <f t="shared" si="10"/>
        <v>0</v>
      </c>
      <c r="AE128">
        <f>VLOOKUP(A128,'Employee Engagement Survey'!A618:B2087,2,FALSE)</f>
        <v>4</v>
      </c>
      <c r="AF128">
        <f>VLOOKUP(A128,'Employee Engagement Survey'!A618:C2087,3,FALSE)</f>
        <v>3</v>
      </c>
      <c r="AG128">
        <f>VLOOKUP(A128,'Employee Engagement Survey'!A618:D2087,4,FALSE)</f>
        <v>3</v>
      </c>
      <c r="AH128">
        <f>VLOOKUP(A128,'Employee Engagement Survey'!A618:E2087,5,FALSE)</f>
        <v>2</v>
      </c>
      <c r="AI128">
        <f t="shared" si="8"/>
        <v>3</v>
      </c>
    </row>
    <row r="129" spans="1:35" hidden="1" x14ac:dyDescent="0.4">
      <c r="A129">
        <v>1458</v>
      </c>
      <c r="B129" t="s">
        <v>26</v>
      </c>
      <c r="C129">
        <f t="shared" si="11"/>
        <v>0</v>
      </c>
      <c r="D129" t="s">
        <v>46</v>
      </c>
      <c r="E129">
        <f t="shared" si="7"/>
        <v>0</v>
      </c>
      <c r="F129" t="s">
        <v>28</v>
      </c>
      <c r="G129">
        <v>6</v>
      </c>
      <c r="H129" s="1">
        <v>67752</v>
      </c>
      <c r="I129" s="10">
        <v>0.23</v>
      </c>
      <c r="J129">
        <v>37.5</v>
      </c>
      <c r="K129" t="s">
        <v>26</v>
      </c>
      <c r="L129">
        <v>39</v>
      </c>
      <c r="M129" t="s">
        <v>47</v>
      </c>
      <c r="N129" t="s">
        <v>30</v>
      </c>
      <c r="O129" t="s">
        <v>35</v>
      </c>
      <c r="P129">
        <v>2</v>
      </c>
      <c r="Q129" t="s">
        <v>43</v>
      </c>
      <c r="R129" t="s">
        <v>37</v>
      </c>
      <c r="S129">
        <v>4</v>
      </c>
      <c r="T129">
        <v>0</v>
      </c>
      <c r="U129">
        <v>11</v>
      </c>
      <c r="V129">
        <v>2</v>
      </c>
      <c r="W129">
        <v>1</v>
      </c>
      <c r="X129">
        <v>0</v>
      </c>
      <c r="Y129">
        <v>0</v>
      </c>
      <c r="Z129">
        <v>0</v>
      </c>
      <c r="AA129" t="str">
        <f t="shared" si="9"/>
        <v>Early Tenure</v>
      </c>
      <c r="AC129">
        <f t="shared" si="10"/>
        <v>0</v>
      </c>
      <c r="AE129">
        <f>VLOOKUP(A129,'Employee Engagement Survey'!A629:B2098,2,FALSE)</f>
        <v>1</v>
      </c>
      <c r="AF129">
        <f>VLOOKUP(A129,'Employee Engagement Survey'!A629:C2098,3,FALSE)</f>
        <v>1</v>
      </c>
      <c r="AG129">
        <f>VLOOKUP(A129,'Employee Engagement Survey'!A629:D2098,4,FALSE)</f>
        <v>2</v>
      </c>
      <c r="AH129">
        <f>VLOOKUP(A129,'Employee Engagement Survey'!A629:E2098,5,FALSE)</f>
        <v>4</v>
      </c>
      <c r="AI129">
        <f t="shared" si="8"/>
        <v>2</v>
      </c>
    </row>
    <row r="130" spans="1:35" hidden="1" x14ac:dyDescent="0.4">
      <c r="A130">
        <v>911</v>
      </c>
      <c r="B130" t="s">
        <v>26</v>
      </c>
      <c r="C130">
        <f t="shared" ref="C130:C161" si="12">IF(B130="No",1,0)</f>
        <v>0</v>
      </c>
      <c r="D130" t="s">
        <v>46</v>
      </c>
      <c r="E130">
        <f t="shared" ref="E130:E193" si="13">IF(OR(D130="Manager, HR", D130="Manager, Sales", D130="Manager, R&amp;D", D130="Manufacturing Director",D130="Research Director", D130="VP, HR", D130="CEO"),1,0)</f>
        <v>0</v>
      </c>
      <c r="F130" t="s">
        <v>28</v>
      </c>
      <c r="G130">
        <v>5</v>
      </c>
      <c r="H130" s="1">
        <v>57540</v>
      </c>
      <c r="I130" s="10">
        <v>0.24</v>
      </c>
      <c r="J130">
        <v>37.5</v>
      </c>
      <c r="K130" t="s">
        <v>26</v>
      </c>
      <c r="L130">
        <v>32</v>
      </c>
      <c r="M130" t="s">
        <v>29</v>
      </c>
      <c r="N130" t="s">
        <v>30</v>
      </c>
      <c r="O130" t="s">
        <v>31</v>
      </c>
      <c r="P130">
        <v>25</v>
      </c>
      <c r="Q130" t="s">
        <v>51</v>
      </c>
      <c r="R130" t="s">
        <v>37</v>
      </c>
      <c r="S130">
        <v>4</v>
      </c>
      <c r="T130">
        <v>0</v>
      </c>
      <c r="U130">
        <v>1</v>
      </c>
      <c r="V130">
        <v>2</v>
      </c>
      <c r="W130">
        <v>1</v>
      </c>
      <c r="X130">
        <v>0</v>
      </c>
      <c r="Y130">
        <v>0</v>
      </c>
      <c r="Z130">
        <v>1</v>
      </c>
      <c r="AA130" t="str">
        <f t="shared" si="9"/>
        <v>Early Tenure</v>
      </c>
      <c r="AC130">
        <f t="shared" si="10"/>
        <v>0</v>
      </c>
      <c r="AE130">
        <f>VLOOKUP(A130,'Employee Engagement Survey'!A654:B2123,2,FALSE)</f>
        <v>1</v>
      </c>
      <c r="AF130">
        <f>VLOOKUP(A130,'Employee Engagement Survey'!A654:C2123,3,FALSE)</f>
        <v>4</v>
      </c>
      <c r="AG130">
        <f>VLOOKUP(A130,'Employee Engagement Survey'!A654:D2123,4,FALSE)</f>
        <v>3</v>
      </c>
      <c r="AH130">
        <f>VLOOKUP(A130,'Employee Engagement Survey'!A654:E2123,5,FALSE)</f>
        <v>1</v>
      </c>
      <c r="AI130">
        <f t="shared" ref="AI130:AI193" si="14">AVERAGE(AE130:AH130)</f>
        <v>2.25</v>
      </c>
    </row>
    <row r="131" spans="1:35" hidden="1" x14ac:dyDescent="0.4">
      <c r="A131">
        <v>918</v>
      </c>
      <c r="B131" t="s">
        <v>26</v>
      </c>
      <c r="C131">
        <f t="shared" si="12"/>
        <v>0</v>
      </c>
      <c r="D131" t="s">
        <v>46</v>
      </c>
      <c r="E131">
        <f t="shared" si="13"/>
        <v>0</v>
      </c>
      <c r="F131" t="s">
        <v>28</v>
      </c>
      <c r="G131">
        <v>4</v>
      </c>
      <c r="H131" s="1">
        <v>52560</v>
      </c>
      <c r="I131" s="10">
        <v>0.14000000000000001</v>
      </c>
      <c r="J131">
        <v>37.5</v>
      </c>
      <c r="K131" t="s">
        <v>26</v>
      </c>
      <c r="L131">
        <v>58</v>
      </c>
      <c r="M131" t="s">
        <v>29</v>
      </c>
      <c r="N131" t="s">
        <v>48</v>
      </c>
      <c r="O131" t="s">
        <v>44</v>
      </c>
      <c r="P131">
        <v>2</v>
      </c>
      <c r="Q131" t="s">
        <v>32</v>
      </c>
      <c r="R131" t="s">
        <v>37</v>
      </c>
      <c r="S131">
        <v>3</v>
      </c>
      <c r="T131">
        <v>1</v>
      </c>
      <c r="U131">
        <v>3</v>
      </c>
      <c r="V131">
        <v>3</v>
      </c>
      <c r="W131">
        <v>1</v>
      </c>
      <c r="X131">
        <v>0</v>
      </c>
      <c r="Y131">
        <v>0</v>
      </c>
      <c r="Z131">
        <v>0</v>
      </c>
      <c r="AA131" t="str">
        <f t="shared" ref="AA131:AA194" si="15">IF(W131&lt;=2,"Early Tenure",IF(W131&lt;=9,"Mid Tenure","Long Tenure"))</f>
        <v>Early Tenure</v>
      </c>
      <c r="AC131">
        <f t="shared" ref="AC131:AC194" si="16">IF(AND(AB131&lt;&gt;"",AB131&gt;DATE(2024,1,1)),1,0)</f>
        <v>0</v>
      </c>
      <c r="AE131">
        <f>VLOOKUP(A131,'Employee Engagement Survey'!A657:B2126,2,FALSE)</f>
        <v>4</v>
      </c>
      <c r="AF131">
        <f>VLOOKUP(A131,'Employee Engagement Survey'!A657:C2126,3,FALSE)</f>
        <v>4</v>
      </c>
      <c r="AG131">
        <f>VLOOKUP(A131,'Employee Engagement Survey'!A657:D2126,4,FALSE)</f>
        <v>4</v>
      </c>
      <c r="AH131">
        <f>VLOOKUP(A131,'Employee Engagement Survey'!A657:E2126,5,FALSE)</f>
        <v>2</v>
      </c>
      <c r="AI131">
        <f t="shared" si="14"/>
        <v>3.5</v>
      </c>
    </row>
    <row r="132" spans="1:35" hidden="1" x14ac:dyDescent="0.4">
      <c r="A132">
        <v>932</v>
      </c>
      <c r="B132" t="s">
        <v>26</v>
      </c>
      <c r="C132">
        <f t="shared" si="12"/>
        <v>0</v>
      </c>
      <c r="D132" t="s">
        <v>46</v>
      </c>
      <c r="E132">
        <f t="shared" si="13"/>
        <v>0</v>
      </c>
      <c r="F132" t="s">
        <v>28</v>
      </c>
      <c r="G132">
        <v>4</v>
      </c>
      <c r="H132" s="1">
        <v>52848</v>
      </c>
      <c r="I132" s="10">
        <v>0.21</v>
      </c>
      <c r="J132">
        <v>37.5</v>
      </c>
      <c r="K132" t="s">
        <v>26</v>
      </c>
      <c r="L132">
        <v>39</v>
      </c>
      <c r="M132" t="s">
        <v>29</v>
      </c>
      <c r="N132" t="s">
        <v>42</v>
      </c>
      <c r="O132" t="s">
        <v>31</v>
      </c>
      <c r="P132">
        <v>6</v>
      </c>
      <c r="Q132" t="s">
        <v>43</v>
      </c>
      <c r="R132" t="s">
        <v>33</v>
      </c>
      <c r="S132">
        <v>4</v>
      </c>
      <c r="T132">
        <v>0</v>
      </c>
      <c r="U132">
        <v>8</v>
      </c>
      <c r="V132">
        <v>2</v>
      </c>
      <c r="W132">
        <v>2</v>
      </c>
      <c r="X132">
        <v>2</v>
      </c>
      <c r="Y132">
        <v>2</v>
      </c>
      <c r="Z132">
        <v>2</v>
      </c>
      <c r="AA132" t="str">
        <f t="shared" si="15"/>
        <v>Early Tenure</v>
      </c>
      <c r="AC132">
        <f t="shared" si="16"/>
        <v>0</v>
      </c>
      <c r="AE132">
        <f>VLOOKUP(A132,'Employee Engagement Survey'!A659:B2128,2,FALSE)</f>
        <v>4</v>
      </c>
      <c r="AF132">
        <f>VLOOKUP(A132,'Employee Engagement Survey'!A659:C2128,3,FALSE)</f>
        <v>1</v>
      </c>
      <c r="AG132">
        <f>VLOOKUP(A132,'Employee Engagement Survey'!A659:D2128,4,FALSE)</f>
        <v>4</v>
      </c>
      <c r="AH132">
        <f>VLOOKUP(A132,'Employee Engagement Survey'!A659:E2128,5,FALSE)</f>
        <v>1</v>
      </c>
      <c r="AI132">
        <f t="shared" si="14"/>
        <v>2.5</v>
      </c>
    </row>
    <row r="133" spans="1:35" hidden="1" x14ac:dyDescent="0.4">
      <c r="A133">
        <v>952</v>
      </c>
      <c r="B133" t="s">
        <v>26</v>
      </c>
      <c r="C133">
        <f t="shared" si="12"/>
        <v>0</v>
      </c>
      <c r="D133" t="s">
        <v>39</v>
      </c>
      <c r="E133">
        <f t="shared" si="13"/>
        <v>0</v>
      </c>
      <c r="F133" t="s">
        <v>40</v>
      </c>
      <c r="G133">
        <v>4</v>
      </c>
      <c r="H133" s="1">
        <v>52956</v>
      </c>
      <c r="I133" s="10">
        <v>0.18</v>
      </c>
      <c r="J133">
        <v>37.5</v>
      </c>
      <c r="K133" t="s">
        <v>26</v>
      </c>
      <c r="L133">
        <v>25</v>
      </c>
      <c r="M133" t="s">
        <v>29</v>
      </c>
      <c r="N133" t="s">
        <v>42</v>
      </c>
      <c r="O133" t="s">
        <v>31</v>
      </c>
      <c r="P133">
        <v>19</v>
      </c>
      <c r="Q133" t="s">
        <v>36</v>
      </c>
      <c r="R133" t="s">
        <v>56</v>
      </c>
      <c r="S133">
        <v>3</v>
      </c>
      <c r="T133">
        <v>3</v>
      </c>
      <c r="U133">
        <v>1</v>
      </c>
      <c r="V133">
        <v>2</v>
      </c>
      <c r="W133">
        <v>1</v>
      </c>
      <c r="X133">
        <v>0</v>
      </c>
      <c r="Y133">
        <v>0</v>
      </c>
      <c r="Z133">
        <v>0</v>
      </c>
      <c r="AA133" t="str">
        <f t="shared" si="15"/>
        <v>Early Tenure</v>
      </c>
      <c r="AC133">
        <f t="shared" si="16"/>
        <v>0</v>
      </c>
      <c r="AE133">
        <f>VLOOKUP(A133,'Employee Engagement Survey'!A667:B2136,2,FALSE)</f>
        <v>3</v>
      </c>
      <c r="AF133">
        <f>VLOOKUP(A133,'Employee Engagement Survey'!A667:C2136,3,FALSE)</f>
        <v>2</v>
      </c>
      <c r="AG133">
        <f>VLOOKUP(A133,'Employee Engagement Survey'!A667:D2136,4,FALSE)</f>
        <v>3</v>
      </c>
      <c r="AH133">
        <f>VLOOKUP(A133,'Employee Engagement Survey'!A667:E2136,5,FALSE)</f>
        <v>3</v>
      </c>
      <c r="AI133">
        <f t="shared" si="14"/>
        <v>2.75</v>
      </c>
    </row>
    <row r="134" spans="1:35" hidden="1" x14ac:dyDescent="0.4">
      <c r="A134">
        <v>959</v>
      </c>
      <c r="B134" t="s">
        <v>26</v>
      </c>
      <c r="C134">
        <f t="shared" si="12"/>
        <v>0</v>
      </c>
      <c r="D134" t="s">
        <v>39</v>
      </c>
      <c r="E134">
        <f t="shared" si="13"/>
        <v>0</v>
      </c>
      <c r="F134" t="s">
        <v>40</v>
      </c>
      <c r="G134">
        <v>3</v>
      </c>
      <c r="H134" s="1">
        <v>49452</v>
      </c>
      <c r="I134" s="10">
        <v>0.13</v>
      </c>
      <c r="J134">
        <v>37.5</v>
      </c>
      <c r="K134" t="s">
        <v>26</v>
      </c>
      <c r="L134">
        <v>19</v>
      </c>
      <c r="M134" t="s">
        <v>29</v>
      </c>
      <c r="N134" t="s">
        <v>30</v>
      </c>
      <c r="O134" t="s">
        <v>31</v>
      </c>
      <c r="P134">
        <v>21</v>
      </c>
      <c r="Q134" t="s">
        <v>43</v>
      </c>
      <c r="R134" t="s">
        <v>53</v>
      </c>
      <c r="S134">
        <v>3</v>
      </c>
      <c r="T134">
        <v>0</v>
      </c>
      <c r="U134">
        <v>1</v>
      </c>
      <c r="V134">
        <v>3</v>
      </c>
      <c r="W134">
        <v>1</v>
      </c>
      <c r="X134">
        <v>0</v>
      </c>
      <c r="Y134">
        <v>0</v>
      </c>
      <c r="Z134">
        <v>0</v>
      </c>
      <c r="AA134" t="str">
        <f t="shared" si="15"/>
        <v>Early Tenure</v>
      </c>
      <c r="AC134">
        <f t="shared" si="16"/>
        <v>0</v>
      </c>
      <c r="AE134">
        <f>VLOOKUP(A134,'Employee Engagement Survey'!A678:B2147,2,FALSE)</f>
        <v>4</v>
      </c>
      <c r="AF134">
        <f>VLOOKUP(A134,'Employee Engagement Survey'!A678:C2147,3,FALSE)</f>
        <v>2</v>
      </c>
      <c r="AG134">
        <f>VLOOKUP(A134,'Employee Engagement Survey'!A678:D2147,4,FALSE)</f>
        <v>2</v>
      </c>
      <c r="AH134">
        <f>VLOOKUP(A134,'Employee Engagement Survey'!A678:E2147,5,FALSE)</f>
        <v>4</v>
      </c>
      <c r="AI134">
        <f t="shared" si="14"/>
        <v>3</v>
      </c>
    </row>
    <row r="135" spans="1:35" hidden="1" x14ac:dyDescent="0.4">
      <c r="A135">
        <v>1033</v>
      </c>
      <c r="B135" t="s">
        <v>26</v>
      </c>
      <c r="C135">
        <f t="shared" si="12"/>
        <v>0</v>
      </c>
      <c r="D135" t="s">
        <v>55</v>
      </c>
      <c r="E135">
        <f t="shared" si="13"/>
        <v>0</v>
      </c>
      <c r="F135" t="s">
        <v>28</v>
      </c>
      <c r="G135">
        <v>6</v>
      </c>
      <c r="H135" s="1">
        <v>69324</v>
      </c>
      <c r="I135" s="10">
        <v>0.15</v>
      </c>
      <c r="J135">
        <v>37.5</v>
      </c>
      <c r="K135" t="s">
        <v>34</v>
      </c>
      <c r="L135">
        <v>37</v>
      </c>
      <c r="M135" t="s">
        <v>47</v>
      </c>
      <c r="N135" t="s">
        <v>42</v>
      </c>
      <c r="O135" t="s">
        <v>31</v>
      </c>
      <c r="P135">
        <v>11</v>
      </c>
      <c r="Q135" t="s">
        <v>36</v>
      </c>
      <c r="R135" t="s">
        <v>33</v>
      </c>
      <c r="S135">
        <v>3</v>
      </c>
      <c r="T135">
        <v>0</v>
      </c>
      <c r="U135">
        <v>15</v>
      </c>
      <c r="V135">
        <v>2</v>
      </c>
      <c r="W135">
        <v>1</v>
      </c>
      <c r="X135">
        <v>0</v>
      </c>
      <c r="Y135">
        <v>0</v>
      </c>
      <c r="Z135">
        <v>0</v>
      </c>
      <c r="AA135" t="str">
        <f t="shared" si="15"/>
        <v>Early Tenure</v>
      </c>
      <c r="AC135">
        <f t="shared" si="16"/>
        <v>0</v>
      </c>
      <c r="AE135">
        <f>VLOOKUP(A135,'Employee Engagement Survey'!A679:B2148,2,FALSE)</f>
        <v>1</v>
      </c>
      <c r="AF135">
        <f>VLOOKUP(A135,'Employee Engagement Survey'!A679:C2148,3,FALSE)</f>
        <v>2</v>
      </c>
      <c r="AG135">
        <f>VLOOKUP(A135,'Employee Engagement Survey'!A679:D2148,4,FALSE)</f>
        <v>1</v>
      </c>
      <c r="AH135">
        <f>VLOOKUP(A135,'Employee Engagement Survey'!A679:E2148,5,FALSE)</f>
        <v>1</v>
      </c>
      <c r="AI135">
        <f t="shared" si="14"/>
        <v>1.25</v>
      </c>
    </row>
    <row r="136" spans="1:35" hidden="1" x14ac:dyDescent="0.4">
      <c r="A136">
        <v>960</v>
      </c>
      <c r="B136" t="s">
        <v>26</v>
      </c>
      <c r="C136">
        <f t="shared" si="12"/>
        <v>0</v>
      </c>
      <c r="D136" t="s">
        <v>46</v>
      </c>
      <c r="E136">
        <f t="shared" si="13"/>
        <v>0</v>
      </c>
      <c r="F136" t="s">
        <v>28</v>
      </c>
      <c r="G136">
        <v>5</v>
      </c>
      <c r="H136" s="1">
        <v>59676</v>
      </c>
      <c r="I136" s="10">
        <v>0.19</v>
      </c>
      <c r="J136">
        <v>37.5</v>
      </c>
      <c r="K136" t="s">
        <v>34</v>
      </c>
      <c r="L136">
        <v>20</v>
      </c>
      <c r="M136" t="s">
        <v>29</v>
      </c>
      <c r="N136" t="s">
        <v>30</v>
      </c>
      <c r="O136" t="s">
        <v>31</v>
      </c>
      <c r="P136">
        <v>4</v>
      </c>
      <c r="Q136" t="s">
        <v>43</v>
      </c>
      <c r="R136" t="s">
        <v>45</v>
      </c>
      <c r="S136">
        <v>3</v>
      </c>
      <c r="T136">
        <v>0</v>
      </c>
      <c r="U136">
        <v>1</v>
      </c>
      <c r="V136">
        <v>2</v>
      </c>
      <c r="W136">
        <v>1</v>
      </c>
      <c r="X136">
        <v>0</v>
      </c>
      <c r="Y136">
        <v>0</v>
      </c>
      <c r="Z136">
        <v>0</v>
      </c>
      <c r="AA136" t="str">
        <f t="shared" si="15"/>
        <v>Early Tenure</v>
      </c>
      <c r="AC136">
        <f t="shared" si="16"/>
        <v>0</v>
      </c>
      <c r="AE136">
        <f>VLOOKUP(A136,'Employee Engagement Survey'!A684:B2153,2,FALSE)</f>
        <v>1</v>
      </c>
      <c r="AF136">
        <f>VLOOKUP(A136,'Employee Engagement Survey'!A684:C2153,3,FALSE)</f>
        <v>1</v>
      </c>
      <c r="AG136">
        <f>VLOOKUP(A136,'Employee Engagement Survey'!A684:D2153,4,FALSE)</f>
        <v>2</v>
      </c>
      <c r="AH136">
        <f>VLOOKUP(A136,'Employee Engagement Survey'!A684:E2153,5,FALSE)</f>
        <v>3</v>
      </c>
      <c r="AI136">
        <f t="shared" si="14"/>
        <v>1.75</v>
      </c>
    </row>
    <row r="137" spans="1:35" hidden="1" x14ac:dyDescent="0.4">
      <c r="A137">
        <v>967</v>
      </c>
      <c r="B137" t="s">
        <v>26</v>
      </c>
      <c r="C137">
        <f t="shared" si="12"/>
        <v>0</v>
      </c>
      <c r="D137" t="s">
        <v>57</v>
      </c>
      <c r="E137">
        <f t="shared" si="13"/>
        <v>0</v>
      </c>
      <c r="F137" t="s">
        <v>40</v>
      </c>
      <c r="G137">
        <v>9</v>
      </c>
      <c r="H137" s="1">
        <v>135900</v>
      </c>
      <c r="I137" s="10">
        <v>0.11</v>
      </c>
      <c r="J137">
        <v>37.5</v>
      </c>
      <c r="K137" t="s">
        <v>26</v>
      </c>
      <c r="L137">
        <v>36</v>
      </c>
      <c r="M137" t="s">
        <v>29</v>
      </c>
      <c r="N137" t="s">
        <v>42</v>
      </c>
      <c r="O137" t="s">
        <v>31</v>
      </c>
      <c r="P137">
        <v>3</v>
      </c>
      <c r="Q137" t="s">
        <v>32</v>
      </c>
      <c r="R137" t="s">
        <v>37</v>
      </c>
      <c r="S137">
        <v>3</v>
      </c>
      <c r="T137">
        <v>1</v>
      </c>
      <c r="U137">
        <v>16</v>
      </c>
      <c r="V137">
        <v>6</v>
      </c>
      <c r="W137">
        <v>16</v>
      </c>
      <c r="X137">
        <v>7</v>
      </c>
      <c r="Y137">
        <v>3</v>
      </c>
      <c r="Z137">
        <v>7</v>
      </c>
      <c r="AA137" t="str">
        <f t="shared" si="15"/>
        <v>Long Tenure</v>
      </c>
      <c r="AC137">
        <f t="shared" si="16"/>
        <v>0</v>
      </c>
      <c r="AE137">
        <f>VLOOKUP(A137,'Employee Engagement Survey'!A690:B2159,2,FALSE)</f>
        <v>3</v>
      </c>
      <c r="AF137">
        <f>VLOOKUP(A137,'Employee Engagement Survey'!A690:C2159,3,FALSE)</f>
        <v>4</v>
      </c>
      <c r="AG137">
        <f>VLOOKUP(A137,'Employee Engagement Survey'!A690:D2159,4,FALSE)</f>
        <v>1</v>
      </c>
      <c r="AH137">
        <f>VLOOKUP(A137,'Employee Engagement Survey'!A690:E2159,5,FALSE)</f>
        <v>3</v>
      </c>
      <c r="AI137">
        <f t="shared" si="14"/>
        <v>2.75</v>
      </c>
    </row>
    <row r="138" spans="1:35" hidden="1" x14ac:dyDescent="0.4">
      <c r="A138">
        <v>970</v>
      </c>
      <c r="B138" t="s">
        <v>26</v>
      </c>
      <c r="C138">
        <f t="shared" si="12"/>
        <v>0</v>
      </c>
      <c r="D138" t="s">
        <v>57</v>
      </c>
      <c r="E138">
        <f t="shared" si="13"/>
        <v>0</v>
      </c>
      <c r="F138" t="s">
        <v>40</v>
      </c>
      <c r="G138">
        <v>9</v>
      </c>
      <c r="H138" s="1">
        <v>139308</v>
      </c>
      <c r="I138" s="10">
        <v>0.11</v>
      </c>
      <c r="J138">
        <v>37.5</v>
      </c>
      <c r="K138" t="s">
        <v>34</v>
      </c>
      <c r="L138">
        <v>37</v>
      </c>
      <c r="M138" t="s">
        <v>29</v>
      </c>
      <c r="N138" t="s">
        <v>42</v>
      </c>
      <c r="O138" t="s">
        <v>31</v>
      </c>
      <c r="P138">
        <v>1</v>
      </c>
      <c r="Q138" t="s">
        <v>51</v>
      </c>
      <c r="R138" t="s">
        <v>37</v>
      </c>
      <c r="S138">
        <v>3</v>
      </c>
      <c r="T138">
        <v>0</v>
      </c>
      <c r="U138">
        <v>17</v>
      </c>
      <c r="V138">
        <v>2</v>
      </c>
      <c r="W138">
        <v>14</v>
      </c>
      <c r="X138">
        <v>1</v>
      </c>
      <c r="Y138">
        <v>11</v>
      </c>
      <c r="Z138">
        <v>7</v>
      </c>
      <c r="AA138" t="str">
        <f t="shared" si="15"/>
        <v>Long Tenure</v>
      </c>
      <c r="AC138">
        <f t="shared" si="16"/>
        <v>0</v>
      </c>
      <c r="AE138">
        <f>VLOOKUP(A138,'Employee Engagement Survey'!A691:B2160,2,FALSE)</f>
        <v>1</v>
      </c>
      <c r="AF138">
        <f>VLOOKUP(A138,'Employee Engagement Survey'!A691:C2160,3,FALSE)</f>
        <v>3</v>
      </c>
      <c r="AG138">
        <f>VLOOKUP(A138,'Employee Engagement Survey'!A691:D2160,4,FALSE)</f>
        <v>3</v>
      </c>
      <c r="AH138">
        <f>VLOOKUP(A138,'Employee Engagement Survey'!A691:E2160,5,FALSE)</f>
        <v>1</v>
      </c>
      <c r="AI138">
        <f t="shared" si="14"/>
        <v>2</v>
      </c>
    </row>
    <row r="139" spans="1:35" hidden="1" x14ac:dyDescent="0.4">
      <c r="A139">
        <v>977</v>
      </c>
      <c r="B139" t="s">
        <v>26</v>
      </c>
      <c r="C139">
        <f t="shared" si="12"/>
        <v>0</v>
      </c>
      <c r="D139" t="s">
        <v>27</v>
      </c>
      <c r="E139">
        <f t="shared" si="13"/>
        <v>0</v>
      </c>
      <c r="F139" t="s">
        <v>28</v>
      </c>
      <c r="G139">
        <v>4</v>
      </c>
      <c r="H139" s="1">
        <v>53748</v>
      </c>
      <c r="I139" s="10">
        <v>0.24</v>
      </c>
      <c r="J139">
        <v>37.5</v>
      </c>
      <c r="K139" t="s">
        <v>34</v>
      </c>
      <c r="L139">
        <v>58</v>
      </c>
      <c r="M139" t="s">
        <v>29</v>
      </c>
      <c r="N139" t="s">
        <v>30</v>
      </c>
      <c r="O139" t="s">
        <v>31</v>
      </c>
      <c r="P139">
        <v>2</v>
      </c>
      <c r="Q139" t="s">
        <v>43</v>
      </c>
      <c r="R139" t="s">
        <v>45</v>
      </c>
      <c r="S139">
        <v>4</v>
      </c>
      <c r="T139">
        <v>0</v>
      </c>
      <c r="U139">
        <v>7</v>
      </c>
      <c r="V139">
        <v>4</v>
      </c>
      <c r="W139">
        <v>1</v>
      </c>
      <c r="X139">
        <v>0</v>
      </c>
      <c r="Y139">
        <v>0</v>
      </c>
      <c r="Z139">
        <v>0</v>
      </c>
      <c r="AA139" t="str">
        <f t="shared" si="15"/>
        <v>Early Tenure</v>
      </c>
      <c r="AC139">
        <f t="shared" si="16"/>
        <v>0</v>
      </c>
      <c r="AE139">
        <f>VLOOKUP(A139,'Employee Engagement Survey'!A694:B2163,2,FALSE)</f>
        <v>4</v>
      </c>
      <c r="AF139">
        <f>VLOOKUP(A139,'Employee Engagement Survey'!A694:C2163,3,FALSE)</f>
        <v>3</v>
      </c>
      <c r="AG139">
        <f>VLOOKUP(A139,'Employee Engagement Survey'!A694:D2163,4,FALSE)</f>
        <v>1</v>
      </c>
      <c r="AH139">
        <f>VLOOKUP(A139,'Employee Engagement Survey'!A694:E2163,5,FALSE)</f>
        <v>3</v>
      </c>
      <c r="AI139">
        <f t="shared" si="14"/>
        <v>2.75</v>
      </c>
    </row>
    <row r="140" spans="1:35" hidden="1" x14ac:dyDescent="0.4">
      <c r="A140">
        <v>991</v>
      </c>
      <c r="B140" t="s">
        <v>26</v>
      </c>
      <c r="C140">
        <f t="shared" si="12"/>
        <v>0</v>
      </c>
      <c r="D140" t="s">
        <v>27</v>
      </c>
      <c r="E140">
        <f t="shared" si="13"/>
        <v>0</v>
      </c>
      <c r="F140" t="s">
        <v>28</v>
      </c>
      <c r="G140">
        <v>4</v>
      </c>
      <c r="H140" s="1">
        <v>51852</v>
      </c>
      <c r="I140" s="10">
        <v>0.22</v>
      </c>
      <c r="J140">
        <v>37.5</v>
      </c>
      <c r="K140" t="s">
        <v>26</v>
      </c>
      <c r="L140">
        <v>31</v>
      </c>
      <c r="M140" t="s">
        <v>29</v>
      </c>
      <c r="N140" t="s">
        <v>30</v>
      </c>
      <c r="O140" t="s">
        <v>35</v>
      </c>
      <c r="P140">
        <v>9</v>
      </c>
      <c r="Q140" t="s">
        <v>36</v>
      </c>
      <c r="R140" t="s">
        <v>33</v>
      </c>
      <c r="S140">
        <v>4</v>
      </c>
      <c r="T140">
        <v>0</v>
      </c>
      <c r="U140">
        <v>4</v>
      </c>
      <c r="V140">
        <v>0</v>
      </c>
      <c r="W140">
        <v>3</v>
      </c>
      <c r="X140">
        <v>2</v>
      </c>
      <c r="Y140">
        <v>1</v>
      </c>
      <c r="Z140">
        <v>2</v>
      </c>
      <c r="AA140" t="str">
        <f t="shared" si="15"/>
        <v>Mid Tenure</v>
      </c>
      <c r="AC140">
        <f t="shared" si="16"/>
        <v>0</v>
      </c>
      <c r="AE140">
        <f>VLOOKUP(A140,'Employee Engagement Survey'!A705:B2174,2,FALSE)</f>
        <v>3</v>
      </c>
      <c r="AF140">
        <f>VLOOKUP(A140,'Employee Engagement Survey'!A705:C2174,3,FALSE)</f>
        <v>1</v>
      </c>
      <c r="AG140">
        <f>VLOOKUP(A140,'Employee Engagement Survey'!A705:D2174,4,FALSE)</f>
        <v>1</v>
      </c>
      <c r="AH140">
        <f>VLOOKUP(A140,'Employee Engagement Survey'!A705:E2174,5,FALSE)</f>
        <v>3</v>
      </c>
      <c r="AI140">
        <f t="shared" si="14"/>
        <v>2</v>
      </c>
    </row>
    <row r="141" spans="1:35" hidden="1" x14ac:dyDescent="0.4">
      <c r="A141">
        <v>1010</v>
      </c>
      <c r="B141" t="s">
        <v>26</v>
      </c>
      <c r="C141">
        <f t="shared" si="12"/>
        <v>0</v>
      </c>
      <c r="D141" t="s">
        <v>46</v>
      </c>
      <c r="E141">
        <f t="shared" si="13"/>
        <v>0</v>
      </c>
      <c r="F141" t="s">
        <v>28</v>
      </c>
      <c r="G141">
        <v>6</v>
      </c>
      <c r="H141" s="1">
        <v>68916</v>
      </c>
      <c r="I141" s="10">
        <v>0.24</v>
      </c>
      <c r="J141">
        <v>37.5</v>
      </c>
      <c r="K141" t="s">
        <v>26</v>
      </c>
      <c r="L141">
        <v>35</v>
      </c>
      <c r="M141" t="s">
        <v>29</v>
      </c>
      <c r="N141" t="s">
        <v>48</v>
      </c>
      <c r="O141" t="s">
        <v>31</v>
      </c>
      <c r="P141">
        <v>14</v>
      </c>
      <c r="Q141" t="s">
        <v>51</v>
      </c>
      <c r="R141" t="s">
        <v>53</v>
      </c>
      <c r="S141">
        <v>4</v>
      </c>
      <c r="T141">
        <v>1</v>
      </c>
      <c r="U141">
        <v>5</v>
      </c>
      <c r="V141">
        <v>2</v>
      </c>
      <c r="W141">
        <v>4</v>
      </c>
      <c r="X141">
        <v>2</v>
      </c>
      <c r="Y141">
        <v>0</v>
      </c>
      <c r="Z141">
        <v>2</v>
      </c>
      <c r="AA141" t="str">
        <f t="shared" si="15"/>
        <v>Mid Tenure</v>
      </c>
      <c r="AC141">
        <f t="shared" si="16"/>
        <v>0</v>
      </c>
      <c r="AE141">
        <f>VLOOKUP(A141,'Employee Engagement Survey'!A716:B2185,2,FALSE)</f>
        <v>3</v>
      </c>
      <c r="AF141">
        <f>VLOOKUP(A141,'Employee Engagement Survey'!A716:C2185,3,FALSE)</f>
        <v>2</v>
      </c>
      <c r="AG141">
        <f>VLOOKUP(A141,'Employee Engagement Survey'!A716:D2185,4,FALSE)</f>
        <v>4</v>
      </c>
      <c r="AH141">
        <f>VLOOKUP(A141,'Employee Engagement Survey'!A716:E2185,5,FALSE)</f>
        <v>1</v>
      </c>
      <c r="AI141">
        <f t="shared" si="14"/>
        <v>2.5</v>
      </c>
    </row>
    <row r="142" spans="1:35" hidden="1" x14ac:dyDescent="0.4">
      <c r="A142">
        <v>33</v>
      </c>
      <c r="B142" t="s">
        <v>26</v>
      </c>
      <c r="C142">
        <f t="shared" si="12"/>
        <v>0</v>
      </c>
      <c r="D142" t="s">
        <v>27</v>
      </c>
      <c r="E142">
        <f t="shared" si="13"/>
        <v>0</v>
      </c>
      <c r="F142" t="s">
        <v>28</v>
      </c>
      <c r="G142">
        <v>7</v>
      </c>
      <c r="H142" s="1">
        <v>71028</v>
      </c>
      <c r="I142" s="10">
        <v>0.22</v>
      </c>
      <c r="J142">
        <v>37.5</v>
      </c>
      <c r="K142" t="s">
        <v>26</v>
      </c>
      <c r="L142">
        <v>32</v>
      </c>
      <c r="M142" t="s">
        <v>47</v>
      </c>
      <c r="N142" t="s">
        <v>30</v>
      </c>
      <c r="O142" t="s">
        <v>44</v>
      </c>
      <c r="P142">
        <v>16</v>
      </c>
      <c r="Q142" t="s">
        <v>32</v>
      </c>
      <c r="R142" t="s">
        <v>37</v>
      </c>
      <c r="S142">
        <v>4</v>
      </c>
      <c r="T142">
        <v>0</v>
      </c>
      <c r="U142">
        <v>10</v>
      </c>
      <c r="V142">
        <v>5</v>
      </c>
      <c r="W142">
        <v>10</v>
      </c>
      <c r="X142">
        <v>2</v>
      </c>
      <c r="Y142">
        <v>6</v>
      </c>
      <c r="Z142">
        <v>7</v>
      </c>
      <c r="AA142" t="str">
        <f t="shared" si="15"/>
        <v>Long Tenure</v>
      </c>
      <c r="AC142">
        <f t="shared" si="16"/>
        <v>0</v>
      </c>
      <c r="AE142">
        <f>VLOOKUP(A142,'Employee Engagement Survey'!A723:B2192,2,FALSE)</f>
        <v>2</v>
      </c>
      <c r="AF142">
        <f>VLOOKUP(A142,'Employee Engagement Survey'!A723:C2192,3,FALSE)</f>
        <v>1</v>
      </c>
      <c r="AG142">
        <f>VLOOKUP(A142,'Employee Engagement Survey'!A723:D2192,4,FALSE)</f>
        <v>2</v>
      </c>
      <c r="AH142">
        <f>VLOOKUP(A142,'Employee Engagement Survey'!A723:E2192,5,FALSE)</f>
        <v>3</v>
      </c>
      <c r="AI142">
        <f t="shared" si="14"/>
        <v>2</v>
      </c>
    </row>
    <row r="143" spans="1:35" hidden="1" x14ac:dyDescent="0.4">
      <c r="A143">
        <v>1037</v>
      </c>
      <c r="B143" t="s">
        <v>26</v>
      </c>
      <c r="C143">
        <f t="shared" si="12"/>
        <v>0</v>
      </c>
      <c r="D143" t="s">
        <v>57</v>
      </c>
      <c r="E143">
        <f t="shared" si="13"/>
        <v>0</v>
      </c>
      <c r="F143" t="s">
        <v>40</v>
      </c>
      <c r="G143">
        <v>7</v>
      </c>
      <c r="H143" s="1">
        <v>71628</v>
      </c>
      <c r="I143" s="10">
        <v>0.18</v>
      </c>
      <c r="J143">
        <v>37.5</v>
      </c>
      <c r="K143" t="s">
        <v>34</v>
      </c>
      <c r="L143">
        <v>26</v>
      </c>
      <c r="M143" t="s">
        <v>29</v>
      </c>
      <c r="N143" t="s">
        <v>30</v>
      </c>
      <c r="O143" t="s">
        <v>35</v>
      </c>
      <c r="P143">
        <v>29</v>
      </c>
      <c r="Q143" t="s">
        <v>36</v>
      </c>
      <c r="R143" t="s">
        <v>33</v>
      </c>
      <c r="S143">
        <v>3</v>
      </c>
      <c r="T143">
        <v>0</v>
      </c>
      <c r="U143">
        <v>7</v>
      </c>
      <c r="V143">
        <v>6</v>
      </c>
      <c r="W143">
        <v>2</v>
      </c>
      <c r="X143">
        <v>2</v>
      </c>
      <c r="Y143">
        <v>2</v>
      </c>
      <c r="Z143">
        <v>2</v>
      </c>
      <c r="AA143" t="str">
        <f t="shared" si="15"/>
        <v>Early Tenure</v>
      </c>
      <c r="AC143">
        <f t="shared" si="16"/>
        <v>0</v>
      </c>
      <c r="AE143">
        <f>VLOOKUP(A143,'Employee Engagement Survey'!A733:B2202,2,FALSE)</f>
        <v>2</v>
      </c>
      <c r="AF143">
        <f>VLOOKUP(A143,'Employee Engagement Survey'!A733:C2202,3,FALSE)</f>
        <v>1</v>
      </c>
      <c r="AG143">
        <f>VLOOKUP(A143,'Employee Engagement Survey'!A733:D2202,4,FALSE)</f>
        <v>4</v>
      </c>
      <c r="AH143">
        <f>VLOOKUP(A143,'Employee Engagement Survey'!A733:E2202,5,FALSE)</f>
        <v>3</v>
      </c>
      <c r="AI143">
        <f t="shared" si="14"/>
        <v>2.5</v>
      </c>
    </row>
    <row r="144" spans="1:35" hidden="1" x14ac:dyDescent="0.4">
      <c r="A144">
        <v>161</v>
      </c>
      <c r="B144" t="s">
        <v>26</v>
      </c>
      <c r="C144">
        <f t="shared" si="12"/>
        <v>0</v>
      </c>
      <c r="D144" t="s">
        <v>27</v>
      </c>
      <c r="E144">
        <f t="shared" si="13"/>
        <v>0</v>
      </c>
      <c r="F144" t="s">
        <v>28</v>
      </c>
      <c r="G144">
        <v>7</v>
      </c>
      <c r="H144" s="1">
        <v>71556</v>
      </c>
      <c r="I144" s="10">
        <v>0.18</v>
      </c>
      <c r="J144">
        <v>37.5</v>
      </c>
      <c r="K144" t="s">
        <v>26</v>
      </c>
      <c r="L144">
        <v>56</v>
      </c>
      <c r="M144" t="s">
        <v>47</v>
      </c>
      <c r="N144" t="s">
        <v>42</v>
      </c>
      <c r="O144" t="s">
        <v>31</v>
      </c>
      <c r="P144">
        <v>14</v>
      </c>
      <c r="Q144" t="s">
        <v>51</v>
      </c>
      <c r="R144" t="s">
        <v>37</v>
      </c>
      <c r="S144">
        <v>3</v>
      </c>
      <c r="T144">
        <v>3</v>
      </c>
      <c r="U144">
        <v>7</v>
      </c>
      <c r="V144">
        <v>2</v>
      </c>
      <c r="W144">
        <v>5</v>
      </c>
      <c r="X144">
        <v>4</v>
      </c>
      <c r="Y144">
        <v>4</v>
      </c>
      <c r="Z144">
        <v>3</v>
      </c>
      <c r="AA144" t="str">
        <f t="shared" si="15"/>
        <v>Mid Tenure</v>
      </c>
      <c r="AC144">
        <f t="shared" si="16"/>
        <v>0</v>
      </c>
      <c r="AE144">
        <f>VLOOKUP(A144,'Employee Engagement Survey'!A737:B2206,2,FALSE)</f>
        <v>2</v>
      </c>
      <c r="AF144">
        <f>VLOOKUP(A144,'Employee Engagement Survey'!A737:C2206,3,FALSE)</f>
        <v>2</v>
      </c>
      <c r="AG144">
        <f>VLOOKUP(A144,'Employee Engagement Survey'!A737:D2206,4,FALSE)</f>
        <v>1</v>
      </c>
      <c r="AH144">
        <f>VLOOKUP(A144,'Employee Engagement Survey'!A737:E2206,5,FALSE)</f>
        <v>3</v>
      </c>
      <c r="AI144">
        <f t="shared" si="14"/>
        <v>2</v>
      </c>
    </row>
    <row r="145" spans="1:35" hidden="1" x14ac:dyDescent="0.4">
      <c r="A145">
        <v>1052</v>
      </c>
      <c r="B145" t="s">
        <v>26</v>
      </c>
      <c r="C145">
        <f t="shared" si="12"/>
        <v>0</v>
      </c>
      <c r="D145" t="s">
        <v>46</v>
      </c>
      <c r="E145">
        <f t="shared" si="13"/>
        <v>0</v>
      </c>
      <c r="F145" t="s">
        <v>28</v>
      </c>
      <c r="G145">
        <v>7</v>
      </c>
      <c r="H145" s="1">
        <v>70008</v>
      </c>
      <c r="I145" s="10">
        <v>0.14000000000000001</v>
      </c>
      <c r="J145">
        <v>37.5</v>
      </c>
      <c r="K145" t="s">
        <v>34</v>
      </c>
      <c r="L145">
        <v>36</v>
      </c>
      <c r="M145" t="s">
        <v>29</v>
      </c>
      <c r="N145" t="s">
        <v>48</v>
      </c>
      <c r="O145" t="s">
        <v>31</v>
      </c>
      <c r="P145">
        <v>15</v>
      </c>
      <c r="Q145" t="s">
        <v>43</v>
      </c>
      <c r="R145" t="s">
        <v>53</v>
      </c>
      <c r="S145">
        <v>3</v>
      </c>
      <c r="T145">
        <v>1</v>
      </c>
      <c r="U145">
        <v>9</v>
      </c>
      <c r="V145">
        <v>3</v>
      </c>
      <c r="W145">
        <v>1</v>
      </c>
      <c r="X145">
        <v>0</v>
      </c>
      <c r="Y145">
        <v>0</v>
      </c>
      <c r="Z145">
        <v>0</v>
      </c>
      <c r="AA145" t="str">
        <f t="shared" si="15"/>
        <v>Early Tenure</v>
      </c>
      <c r="AC145">
        <f t="shared" si="16"/>
        <v>0</v>
      </c>
      <c r="AE145">
        <f>VLOOKUP(A145,'Employee Engagement Survey'!A738:B2207,2,FALSE)</f>
        <v>1</v>
      </c>
      <c r="AF145">
        <f>VLOOKUP(A145,'Employee Engagement Survey'!A738:C2207,3,FALSE)</f>
        <v>3</v>
      </c>
      <c r="AG145">
        <f>VLOOKUP(A145,'Employee Engagement Survey'!A738:D2207,4,FALSE)</f>
        <v>2</v>
      </c>
      <c r="AH145">
        <f>VLOOKUP(A145,'Employee Engagement Survey'!A738:E2207,5,FALSE)</f>
        <v>2</v>
      </c>
      <c r="AI145">
        <f t="shared" si="14"/>
        <v>2</v>
      </c>
    </row>
    <row r="146" spans="1:35" hidden="1" x14ac:dyDescent="0.4">
      <c r="A146">
        <v>1053</v>
      </c>
      <c r="B146" t="s">
        <v>26</v>
      </c>
      <c r="C146">
        <f t="shared" si="12"/>
        <v>0</v>
      </c>
      <c r="D146" t="s">
        <v>27</v>
      </c>
      <c r="E146">
        <f t="shared" si="13"/>
        <v>0</v>
      </c>
      <c r="F146" t="s">
        <v>28</v>
      </c>
      <c r="G146">
        <v>3</v>
      </c>
      <c r="H146" s="1">
        <v>48504</v>
      </c>
      <c r="I146" s="10">
        <v>0.14000000000000001</v>
      </c>
      <c r="J146">
        <v>37.5</v>
      </c>
      <c r="K146" t="s">
        <v>26</v>
      </c>
      <c r="L146">
        <v>26</v>
      </c>
      <c r="M146" t="s">
        <v>29</v>
      </c>
      <c r="N146" t="s">
        <v>42</v>
      </c>
      <c r="O146" t="s">
        <v>44</v>
      </c>
      <c r="P146">
        <v>2</v>
      </c>
      <c r="Q146" t="s">
        <v>43</v>
      </c>
      <c r="R146" t="s">
        <v>37</v>
      </c>
      <c r="S146">
        <v>3</v>
      </c>
      <c r="T146">
        <v>1</v>
      </c>
      <c r="U146">
        <v>6</v>
      </c>
      <c r="V146">
        <v>2</v>
      </c>
      <c r="W146">
        <v>3</v>
      </c>
      <c r="X146">
        <v>2</v>
      </c>
      <c r="Y146">
        <v>1</v>
      </c>
      <c r="Z146">
        <v>2</v>
      </c>
      <c r="AA146" t="str">
        <f t="shared" si="15"/>
        <v>Mid Tenure</v>
      </c>
      <c r="AC146">
        <f t="shared" si="16"/>
        <v>0</v>
      </c>
      <c r="AE146">
        <f>VLOOKUP(A146,'Employee Engagement Survey'!A739:B2208,2,FALSE)</f>
        <v>1</v>
      </c>
      <c r="AF146">
        <f>VLOOKUP(A146,'Employee Engagement Survey'!A739:C2208,3,FALSE)</f>
        <v>1</v>
      </c>
      <c r="AG146">
        <f>VLOOKUP(A146,'Employee Engagement Survey'!A739:D2208,4,FALSE)</f>
        <v>2</v>
      </c>
      <c r="AH146">
        <f>VLOOKUP(A146,'Employee Engagement Survey'!A739:E2208,5,FALSE)</f>
        <v>3</v>
      </c>
      <c r="AI146">
        <f t="shared" si="14"/>
        <v>1.75</v>
      </c>
    </row>
    <row r="147" spans="1:35" hidden="1" x14ac:dyDescent="0.4">
      <c r="A147">
        <v>1081</v>
      </c>
      <c r="B147" t="s">
        <v>26</v>
      </c>
      <c r="C147">
        <f t="shared" si="12"/>
        <v>0</v>
      </c>
      <c r="D147" t="s">
        <v>27</v>
      </c>
      <c r="E147">
        <f t="shared" si="13"/>
        <v>0</v>
      </c>
      <c r="F147" t="s">
        <v>28</v>
      </c>
      <c r="G147">
        <v>4</v>
      </c>
      <c r="H147" s="1">
        <v>53532</v>
      </c>
      <c r="I147" s="10">
        <v>0.12</v>
      </c>
      <c r="J147">
        <v>37.5</v>
      </c>
      <c r="K147" t="s">
        <v>26</v>
      </c>
      <c r="L147">
        <v>51</v>
      </c>
      <c r="M147" t="s">
        <v>29</v>
      </c>
      <c r="N147" t="s">
        <v>42</v>
      </c>
      <c r="O147" t="s">
        <v>31</v>
      </c>
      <c r="P147">
        <v>4</v>
      </c>
      <c r="Q147" t="s">
        <v>51</v>
      </c>
      <c r="R147" t="s">
        <v>37</v>
      </c>
      <c r="S147">
        <v>3</v>
      </c>
      <c r="T147">
        <v>3</v>
      </c>
      <c r="U147">
        <v>18</v>
      </c>
      <c r="V147">
        <v>2</v>
      </c>
      <c r="W147">
        <v>10</v>
      </c>
      <c r="X147">
        <v>0</v>
      </c>
      <c r="Y147">
        <v>2</v>
      </c>
      <c r="Z147">
        <v>7</v>
      </c>
      <c r="AA147" t="str">
        <f t="shared" si="15"/>
        <v>Long Tenure</v>
      </c>
      <c r="AC147">
        <f t="shared" si="16"/>
        <v>0</v>
      </c>
      <c r="AE147">
        <f>VLOOKUP(A147,'Employee Engagement Survey'!A748:B2217,2,FALSE)</f>
        <v>1</v>
      </c>
      <c r="AF147">
        <f>VLOOKUP(A147,'Employee Engagement Survey'!A748:C2217,3,FALSE)</f>
        <v>3</v>
      </c>
      <c r="AG147">
        <f>VLOOKUP(A147,'Employee Engagement Survey'!A748:D2217,4,FALSE)</f>
        <v>3</v>
      </c>
      <c r="AH147">
        <f>VLOOKUP(A147,'Employee Engagement Survey'!A748:E2217,5,FALSE)</f>
        <v>4</v>
      </c>
      <c r="AI147">
        <f t="shared" si="14"/>
        <v>2.75</v>
      </c>
    </row>
    <row r="148" spans="1:35" hidden="1" x14ac:dyDescent="0.4">
      <c r="A148">
        <v>1082</v>
      </c>
      <c r="B148" t="s">
        <v>26</v>
      </c>
      <c r="C148">
        <f t="shared" si="12"/>
        <v>0</v>
      </c>
      <c r="D148" t="s">
        <v>55</v>
      </c>
      <c r="E148">
        <f t="shared" si="13"/>
        <v>0</v>
      </c>
      <c r="F148" t="s">
        <v>28</v>
      </c>
      <c r="G148">
        <v>9</v>
      </c>
      <c r="H148" s="1">
        <v>116664</v>
      </c>
      <c r="I148" s="10">
        <v>0.12</v>
      </c>
      <c r="J148">
        <v>37.5</v>
      </c>
      <c r="K148" t="s">
        <v>34</v>
      </c>
      <c r="L148">
        <v>28</v>
      </c>
      <c r="M148" t="s">
        <v>29</v>
      </c>
      <c r="N148" t="s">
        <v>30</v>
      </c>
      <c r="O148" t="s">
        <v>35</v>
      </c>
      <c r="P148">
        <v>24</v>
      </c>
      <c r="Q148" t="s">
        <v>36</v>
      </c>
      <c r="R148" t="s">
        <v>45</v>
      </c>
      <c r="S148">
        <v>3</v>
      </c>
      <c r="T148">
        <v>0</v>
      </c>
      <c r="U148">
        <v>10</v>
      </c>
      <c r="V148">
        <v>2</v>
      </c>
      <c r="W148">
        <v>10</v>
      </c>
      <c r="X148">
        <v>7</v>
      </c>
      <c r="Y148">
        <v>1</v>
      </c>
      <c r="Z148">
        <v>9</v>
      </c>
      <c r="AA148" t="str">
        <f t="shared" si="15"/>
        <v>Long Tenure</v>
      </c>
      <c r="AC148">
        <f t="shared" si="16"/>
        <v>0</v>
      </c>
      <c r="AE148">
        <f>VLOOKUP(A148,'Employee Engagement Survey'!A752:B2221,2,FALSE)</f>
        <v>2</v>
      </c>
      <c r="AF148">
        <f>VLOOKUP(A148,'Employee Engagement Survey'!A752:C2221,3,FALSE)</f>
        <v>1</v>
      </c>
      <c r="AG148">
        <f>VLOOKUP(A148,'Employee Engagement Survey'!A752:D2221,4,FALSE)</f>
        <v>1</v>
      </c>
      <c r="AH148">
        <f>VLOOKUP(A148,'Employee Engagement Survey'!A752:E2221,5,FALSE)</f>
        <v>2</v>
      </c>
      <c r="AI148">
        <f t="shared" si="14"/>
        <v>1.5</v>
      </c>
    </row>
    <row r="149" spans="1:35" hidden="1" x14ac:dyDescent="0.4">
      <c r="A149">
        <v>1098</v>
      </c>
      <c r="B149" t="s">
        <v>26</v>
      </c>
      <c r="C149">
        <f t="shared" si="12"/>
        <v>0</v>
      </c>
      <c r="D149" t="s">
        <v>104</v>
      </c>
      <c r="E149">
        <f t="shared" si="13"/>
        <v>0</v>
      </c>
      <c r="F149" t="s">
        <v>59</v>
      </c>
      <c r="G149">
        <v>9</v>
      </c>
      <c r="H149" s="1">
        <v>137784</v>
      </c>
      <c r="I149" s="10">
        <v>0.14000000000000001</v>
      </c>
      <c r="J149">
        <v>37.5</v>
      </c>
      <c r="K149" t="s">
        <v>34</v>
      </c>
      <c r="L149">
        <v>44</v>
      </c>
      <c r="M149" t="s">
        <v>29</v>
      </c>
      <c r="N149" t="s">
        <v>42</v>
      </c>
      <c r="O149" t="s">
        <v>31</v>
      </c>
      <c r="P149">
        <v>1</v>
      </c>
      <c r="Q149" t="s">
        <v>36</v>
      </c>
      <c r="R149" t="s">
        <v>33</v>
      </c>
      <c r="S149">
        <v>3</v>
      </c>
      <c r="T149">
        <v>1</v>
      </c>
      <c r="U149">
        <v>24</v>
      </c>
      <c r="V149">
        <v>1</v>
      </c>
      <c r="W149">
        <v>20</v>
      </c>
      <c r="X149">
        <v>6</v>
      </c>
      <c r="Y149">
        <v>3</v>
      </c>
      <c r="Z149">
        <v>6</v>
      </c>
      <c r="AA149" t="str">
        <f t="shared" si="15"/>
        <v>Long Tenure</v>
      </c>
      <c r="AC149">
        <f t="shared" si="16"/>
        <v>0</v>
      </c>
      <c r="AE149">
        <f>VLOOKUP(A149,'Employee Engagement Survey'!A761:B2230,2,FALSE)</f>
        <v>2</v>
      </c>
      <c r="AF149">
        <f>VLOOKUP(A149,'Employee Engagement Survey'!A761:C2230,3,FALSE)</f>
        <v>1</v>
      </c>
      <c r="AG149">
        <f>VLOOKUP(A149,'Employee Engagement Survey'!A761:D2230,4,FALSE)</f>
        <v>4</v>
      </c>
      <c r="AH149">
        <f>VLOOKUP(A149,'Employee Engagement Survey'!A761:E2230,5,FALSE)</f>
        <v>3</v>
      </c>
      <c r="AI149">
        <f t="shared" si="14"/>
        <v>2.5</v>
      </c>
    </row>
    <row r="150" spans="1:35" hidden="1" x14ac:dyDescent="0.4">
      <c r="A150">
        <v>1100</v>
      </c>
      <c r="B150" t="s">
        <v>26</v>
      </c>
      <c r="C150">
        <f t="shared" si="12"/>
        <v>0</v>
      </c>
      <c r="D150" t="s">
        <v>57</v>
      </c>
      <c r="E150">
        <f t="shared" si="13"/>
        <v>0</v>
      </c>
      <c r="F150" t="s">
        <v>40</v>
      </c>
      <c r="G150">
        <v>9</v>
      </c>
      <c r="H150" s="1">
        <v>126984</v>
      </c>
      <c r="I150" s="10">
        <v>0.22</v>
      </c>
      <c r="J150">
        <v>37.5</v>
      </c>
      <c r="K150" t="s">
        <v>26</v>
      </c>
      <c r="L150">
        <v>35</v>
      </c>
      <c r="M150" t="s">
        <v>29</v>
      </c>
      <c r="N150" t="s">
        <v>30</v>
      </c>
      <c r="O150" t="s">
        <v>31</v>
      </c>
      <c r="P150">
        <v>4</v>
      </c>
      <c r="Q150" t="s">
        <v>43</v>
      </c>
      <c r="R150" t="s">
        <v>45</v>
      </c>
      <c r="S150">
        <v>4</v>
      </c>
      <c r="T150">
        <v>0</v>
      </c>
      <c r="U150">
        <v>9</v>
      </c>
      <c r="V150">
        <v>2</v>
      </c>
      <c r="W150">
        <v>8</v>
      </c>
      <c r="X150">
        <v>7</v>
      </c>
      <c r="Y150">
        <v>4</v>
      </c>
      <c r="Z150">
        <v>7</v>
      </c>
      <c r="AA150" t="str">
        <f t="shared" si="15"/>
        <v>Mid Tenure</v>
      </c>
      <c r="AC150">
        <f t="shared" si="16"/>
        <v>0</v>
      </c>
      <c r="AE150">
        <f>VLOOKUP(A150,'Employee Engagement Survey'!A764:B2233,2,FALSE)</f>
        <v>4</v>
      </c>
      <c r="AF150">
        <f>VLOOKUP(A150,'Employee Engagement Survey'!A764:C2233,3,FALSE)</f>
        <v>1</v>
      </c>
      <c r="AG150">
        <f>VLOOKUP(A150,'Employee Engagement Survey'!A764:D2233,4,FALSE)</f>
        <v>1</v>
      </c>
      <c r="AH150">
        <f>VLOOKUP(A150,'Employee Engagement Survey'!A764:E2233,5,FALSE)</f>
        <v>3</v>
      </c>
      <c r="AI150">
        <f t="shared" si="14"/>
        <v>2.25</v>
      </c>
    </row>
    <row r="151" spans="1:35" hidden="1" x14ac:dyDescent="0.4">
      <c r="A151">
        <v>1106</v>
      </c>
      <c r="B151" t="s">
        <v>26</v>
      </c>
      <c r="C151">
        <f t="shared" si="12"/>
        <v>0</v>
      </c>
      <c r="D151" t="s">
        <v>46</v>
      </c>
      <c r="E151">
        <f t="shared" si="13"/>
        <v>0</v>
      </c>
      <c r="F151" t="s">
        <v>28</v>
      </c>
      <c r="G151">
        <v>6</v>
      </c>
      <c r="H151" s="1">
        <v>68292</v>
      </c>
      <c r="I151" s="10">
        <v>0.15</v>
      </c>
      <c r="J151">
        <v>37.5</v>
      </c>
      <c r="K151" t="s">
        <v>26</v>
      </c>
      <c r="L151">
        <v>25</v>
      </c>
      <c r="M151" t="s">
        <v>29</v>
      </c>
      <c r="N151" t="s">
        <v>42</v>
      </c>
      <c r="O151" t="s">
        <v>31</v>
      </c>
      <c r="P151">
        <v>4</v>
      </c>
      <c r="Q151" t="s">
        <v>32</v>
      </c>
      <c r="R151" t="s">
        <v>45</v>
      </c>
      <c r="S151">
        <v>3</v>
      </c>
      <c r="T151">
        <v>1</v>
      </c>
      <c r="U151">
        <v>7</v>
      </c>
      <c r="V151">
        <v>3</v>
      </c>
      <c r="W151">
        <v>7</v>
      </c>
      <c r="X151">
        <v>7</v>
      </c>
      <c r="Y151">
        <v>5</v>
      </c>
      <c r="Z151">
        <v>6</v>
      </c>
      <c r="AA151" t="str">
        <f t="shared" si="15"/>
        <v>Mid Tenure</v>
      </c>
      <c r="AC151">
        <f t="shared" si="16"/>
        <v>0</v>
      </c>
      <c r="AE151">
        <f>VLOOKUP(A151,'Employee Engagement Survey'!A768:B2237,2,FALSE)</f>
        <v>4</v>
      </c>
      <c r="AF151">
        <f>VLOOKUP(A151,'Employee Engagement Survey'!A768:C2237,3,FALSE)</f>
        <v>4</v>
      </c>
      <c r="AG151">
        <f>VLOOKUP(A151,'Employee Engagement Survey'!A768:D2237,4,FALSE)</f>
        <v>2</v>
      </c>
      <c r="AH151">
        <f>VLOOKUP(A151,'Employee Engagement Survey'!A768:E2237,5,FALSE)</f>
        <v>4</v>
      </c>
      <c r="AI151">
        <f t="shared" si="14"/>
        <v>3.5</v>
      </c>
    </row>
    <row r="152" spans="1:35" hidden="1" x14ac:dyDescent="0.4">
      <c r="A152">
        <v>1107</v>
      </c>
      <c r="B152" t="s">
        <v>26</v>
      </c>
      <c r="C152">
        <f t="shared" si="12"/>
        <v>0</v>
      </c>
      <c r="D152" t="s">
        <v>46</v>
      </c>
      <c r="E152">
        <f t="shared" si="13"/>
        <v>0</v>
      </c>
      <c r="F152" t="s">
        <v>28</v>
      </c>
      <c r="G152">
        <v>4</v>
      </c>
      <c r="H152" s="1">
        <v>52524</v>
      </c>
      <c r="I152" s="10">
        <v>0.2</v>
      </c>
      <c r="J152">
        <v>37.5</v>
      </c>
      <c r="K152" t="s">
        <v>34</v>
      </c>
      <c r="L152">
        <v>26</v>
      </c>
      <c r="M152" t="s">
        <v>29</v>
      </c>
      <c r="N152" t="s">
        <v>48</v>
      </c>
      <c r="O152" t="s">
        <v>31</v>
      </c>
      <c r="P152">
        <v>21</v>
      </c>
      <c r="Q152" t="s">
        <v>43</v>
      </c>
      <c r="R152" t="s">
        <v>33</v>
      </c>
      <c r="S152">
        <v>4</v>
      </c>
      <c r="T152">
        <v>1</v>
      </c>
      <c r="U152">
        <v>1</v>
      </c>
      <c r="V152">
        <v>0</v>
      </c>
      <c r="W152">
        <v>1</v>
      </c>
      <c r="X152">
        <v>1</v>
      </c>
      <c r="Y152">
        <v>0</v>
      </c>
      <c r="Z152">
        <v>0</v>
      </c>
      <c r="AA152" t="str">
        <f t="shared" si="15"/>
        <v>Early Tenure</v>
      </c>
      <c r="AC152">
        <f t="shared" si="16"/>
        <v>0</v>
      </c>
      <c r="AE152">
        <f>VLOOKUP(A152,'Employee Engagement Survey'!A770:B2239,2,FALSE)</f>
        <v>1</v>
      </c>
      <c r="AF152">
        <f>VLOOKUP(A152,'Employee Engagement Survey'!A770:C2239,3,FALSE)</f>
        <v>3</v>
      </c>
      <c r="AG152">
        <f>VLOOKUP(A152,'Employee Engagement Survey'!A770:D2239,4,FALSE)</f>
        <v>3</v>
      </c>
      <c r="AH152">
        <f>VLOOKUP(A152,'Employee Engagement Survey'!A770:E2239,5,FALSE)</f>
        <v>2</v>
      </c>
      <c r="AI152">
        <f t="shared" si="14"/>
        <v>2.25</v>
      </c>
    </row>
    <row r="153" spans="1:35" hidden="1" x14ac:dyDescent="0.4">
      <c r="A153">
        <v>1108</v>
      </c>
      <c r="B153" t="s">
        <v>26</v>
      </c>
      <c r="C153">
        <f t="shared" si="12"/>
        <v>0</v>
      </c>
      <c r="D153" t="s">
        <v>27</v>
      </c>
      <c r="E153">
        <f t="shared" si="13"/>
        <v>0</v>
      </c>
      <c r="F153" t="s">
        <v>28</v>
      </c>
      <c r="G153">
        <v>4</v>
      </c>
      <c r="H153" s="1">
        <v>51756</v>
      </c>
      <c r="I153" s="10">
        <v>0.2</v>
      </c>
      <c r="J153">
        <v>37.5</v>
      </c>
      <c r="K153" t="s">
        <v>26</v>
      </c>
      <c r="L153">
        <v>33</v>
      </c>
      <c r="M153" t="s">
        <v>29</v>
      </c>
      <c r="N153" t="s">
        <v>30</v>
      </c>
      <c r="O153" t="s">
        <v>31</v>
      </c>
      <c r="P153">
        <v>25</v>
      </c>
      <c r="Q153" t="s">
        <v>43</v>
      </c>
      <c r="R153" t="s">
        <v>33</v>
      </c>
      <c r="S153">
        <v>4</v>
      </c>
      <c r="T153">
        <v>0</v>
      </c>
      <c r="U153">
        <v>5</v>
      </c>
      <c r="V153">
        <v>0</v>
      </c>
      <c r="W153">
        <v>2</v>
      </c>
      <c r="X153">
        <v>2</v>
      </c>
      <c r="Y153">
        <v>2</v>
      </c>
      <c r="Z153">
        <v>2</v>
      </c>
      <c r="AA153" t="str">
        <f t="shared" si="15"/>
        <v>Early Tenure</v>
      </c>
      <c r="AC153">
        <f t="shared" si="16"/>
        <v>0</v>
      </c>
      <c r="AE153">
        <f>VLOOKUP(A153,'Employee Engagement Survey'!A771:B2240,2,FALSE)</f>
        <v>1</v>
      </c>
      <c r="AF153">
        <f>VLOOKUP(A153,'Employee Engagement Survey'!A771:C2240,3,FALSE)</f>
        <v>2</v>
      </c>
      <c r="AG153">
        <f>VLOOKUP(A153,'Employee Engagement Survey'!A771:D2240,4,FALSE)</f>
        <v>2</v>
      </c>
      <c r="AH153">
        <f>VLOOKUP(A153,'Employee Engagement Survey'!A771:E2240,5,FALSE)</f>
        <v>3</v>
      </c>
      <c r="AI153">
        <f t="shared" si="14"/>
        <v>2</v>
      </c>
    </row>
    <row r="154" spans="1:35" hidden="1" x14ac:dyDescent="0.4">
      <c r="A154">
        <v>1111</v>
      </c>
      <c r="B154" t="s">
        <v>26</v>
      </c>
      <c r="C154">
        <f t="shared" si="12"/>
        <v>0</v>
      </c>
      <c r="D154" t="s">
        <v>46</v>
      </c>
      <c r="E154">
        <f t="shared" si="13"/>
        <v>0</v>
      </c>
      <c r="F154" t="s">
        <v>28</v>
      </c>
      <c r="G154">
        <v>5</v>
      </c>
      <c r="H154" s="1">
        <v>55152</v>
      </c>
      <c r="I154" s="10">
        <v>0.15</v>
      </c>
      <c r="J154">
        <v>37.5</v>
      </c>
      <c r="K154" t="s">
        <v>34</v>
      </c>
      <c r="L154">
        <v>28</v>
      </c>
      <c r="M154" t="s">
        <v>29</v>
      </c>
      <c r="N154" t="s">
        <v>48</v>
      </c>
      <c r="O154" t="s">
        <v>44</v>
      </c>
      <c r="P154">
        <v>1</v>
      </c>
      <c r="Q154" t="s">
        <v>43</v>
      </c>
      <c r="R154" t="s">
        <v>33</v>
      </c>
      <c r="S154">
        <v>3</v>
      </c>
      <c r="T154">
        <v>2</v>
      </c>
      <c r="U154">
        <v>1</v>
      </c>
      <c r="V154">
        <v>2</v>
      </c>
      <c r="W154">
        <v>1</v>
      </c>
      <c r="X154">
        <v>0</v>
      </c>
      <c r="Y154">
        <v>0</v>
      </c>
      <c r="Z154">
        <v>0</v>
      </c>
      <c r="AA154" t="str">
        <f t="shared" si="15"/>
        <v>Early Tenure</v>
      </c>
      <c r="AC154">
        <f t="shared" si="16"/>
        <v>0</v>
      </c>
      <c r="AE154">
        <f>VLOOKUP(A154,'Employee Engagement Survey'!A776:B2245,2,FALSE)</f>
        <v>1</v>
      </c>
      <c r="AF154">
        <f>VLOOKUP(A154,'Employee Engagement Survey'!A776:C2245,3,FALSE)</f>
        <v>2</v>
      </c>
      <c r="AG154">
        <f>VLOOKUP(A154,'Employee Engagement Survey'!A776:D2245,4,FALSE)</f>
        <v>1</v>
      </c>
      <c r="AH154">
        <f>VLOOKUP(A154,'Employee Engagement Survey'!A776:E2245,5,FALSE)</f>
        <v>3</v>
      </c>
      <c r="AI154">
        <f t="shared" si="14"/>
        <v>1.75</v>
      </c>
    </row>
    <row r="155" spans="1:35" hidden="1" x14ac:dyDescent="0.4">
      <c r="A155">
        <v>1113</v>
      </c>
      <c r="B155" t="s">
        <v>26</v>
      </c>
      <c r="C155">
        <f t="shared" si="12"/>
        <v>0</v>
      </c>
      <c r="D155" t="s">
        <v>57</v>
      </c>
      <c r="E155">
        <f t="shared" si="13"/>
        <v>0</v>
      </c>
      <c r="F155" t="s">
        <v>40</v>
      </c>
      <c r="G155">
        <v>6</v>
      </c>
      <c r="H155" s="1">
        <v>68736</v>
      </c>
      <c r="I155" s="10">
        <v>0.14000000000000001</v>
      </c>
      <c r="J155">
        <v>37.5</v>
      </c>
      <c r="K155" t="s">
        <v>26</v>
      </c>
      <c r="L155">
        <v>50</v>
      </c>
      <c r="M155" t="s">
        <v>29</v>
      </c>
      <c r="N155" t="s">
        <v>30</v>
      </c>
      <c r="O155" t="s">
        <v>44</v>
      </c>
      <c r="P155">
        <v>1</v>
      </c>
      <c r="Q155" t="s">
        <v>51</v>
      </c>
      <c r="R155" t="s">
        <v>53</v>
      </c>
      <c r="S155">
        <v>3</v>
      </c>
      <c r="T155">
        <v>0</v>
      </c>
      <c r="U155">
        <v>5</v>
      </c>
      <c r="V155">
        <v>4</v>
      </c>
      <c r="W155">
        <v>0</v>
      </c>
      <c r="X155">
        <v>0</v>
      </c>
      <c r="Y155">
        <v>0</v>
      </c>
      <c r="Z155">
        <v>0</v>
      </c>
      <c r="AA155" t="str">
        <f t="shared" si="15"/>
        <v>Early Tenure</v>
      </c>
      <c r="AC155">
        <f t="shared" si="16"/>
        <v>0</v>
      </c>
      <c r="AE155">
        <f>VLOOKUP(A155,'Employee Engagement Survey'!A777:B2246,2,FALSE)</f>
        <v>4</v>
      </c>
      <c r="AF155">
        <f>VLOOKUP(A155,'Employee Engagement Survey'!A777:C2246,3,FALSE)</f>
        <v>3</v>
      </c>
      <c r="AG155">
        <f>VLOOKUP(A155,'Employee Engagement Survey'!A777:D2246,4,FALSE)</f>
        <v>4</v>
      </c>
      <c r="AH155">
        <f>VLOOKUP(A155,'Employee Engagement Survey'!A777:E2246,5,FALSE)</f>
        <v>3</v>
      </c>
      <c r="AI155">
        <f t="shared" si="14"/>
        <v>3.5</v>
      </c>
    </row>
    <row r="156" spans="1:35" hidden="1" x14ac:dyDescent="0.4">
      <c r="A156">
        <v>1127</v>
      </c>
      <c r="B156" t="s">
        <v>26</v>
      </c>
      <c r="C156">
        <f t="shared" si="12"/>
        <v>0</v>
      </c>
      <c r="D156" t="s">
        <v>55</v>
      </c>
      <c r="E156">
        <f t="shared" si="13"/>
        <v>0</v>
      </c>
      <c r="F156" t="s">
        <v>28</v>
      </c>
      <c r="G156">
        <v>10</v>
      </c>
      <c r="H156" s="1">
        <v>158028</v>
      </c>
      <c r="I156" s="10">
        <v>0.11</v>
      </c>
      <c r="J156">
        <v>37.5</v>
      </c>
      <c r="K156" t="s">
        <v>34</v>
      </c>
      <c r="L156">
        <v>39</v>
      </c>
      <c r="M156" t="s">
        <v>29</v>
      </c>
      <c r="N156" t="s">
        <v>48</v>
      </c>
      <c r="O156" t="s">
        <v>44</v>
      </c>
      <c r="P156">
        <v>2</v>
      </c>
      <c r="Q156" t="s">
        <v>43</v>
      </c>
      <c r="R156" t="s">
        <v>37</v>
      </c>
      <c r="S156">
        <v>3</v>
      </c>
      <c r="T156">
        <v>3</v>
      </c>
      <c r="U156">
        <v>21</v>
      </c>
      <c r="V156">
        <v>4</v>
      </c>
      <c r="W156">
        <v>18</v>
      </c>
      <c r="X156">
        <v>7</v>
      </c>
      <c r="Y156">
        <v>11</v>
      </c>
      <c r="Z156">
        <v>5</v>
      </c>
      <c r="AA156" t="str">
        <f t="shared" si="15"/>
        <v>Long Tenure</v>
      </c>
      <c r="AC156">
        <f t="shared" si="16"/>
        <v>0</v>
      </c>
      <c r="AE156">
        <f>VLOOKUP(A156,'Employee Engagement Survey'!A792:B2261,2,FALSE)</f>
        <v>1</v>
      </c>
      <c r="AF156">
        <f>VLOOKUP(A156,'Employee Engagement Survey'!A792:C2261,3,FALSE)</f>
        <v>4</v>
      </c>
      <c r="AG156">
        <f>VLOOKUP(A156,'Employee Engagement Survey'!A792:D2261,4,FALSE)</f>
        <v>4</v>
      </c>
      <c r="AH156">
        <f>VLOOKUP(A156,'Employee Engagement Survey'!A792:E2261,5,FALSE)</f>
        <v>3</v>
      </c>
      <c r="AI156">
        <f t="shared" si="14"/>
        <v>3</v>
      </c>
    </row>
    <row r="157" spans="1:35" hidden="1" x14ac:dyDescent="0.4">
      <c r="A157">
        <v>445</v>
      </c>
      <c r="B157" t="s">
        <v>26</v>
      </c>
      <c r="C157">
        <f t="shared" si="12"/>
        <v>0</v>
      </c>
      <c r="D157" t="s">
        <v>57</v>
      </c>
      <c r="E157">
        <f t="shared" si="13"/>
        <v>0</v>
      </c>
      <c r="F157" t="s">
        <v>40</v>
      </c>
      <c r="G157">
        <v>7</v>
      </c>
      <c r="H157" s="1">
        <v>74856</v>
      </c>
      <c r="I157" s="10">
        <v>0.18</v>
      </c>
      <c r="J157">
        <v>37.5</v>
      </c>
      <c r="K157" t="s">
        <v>26</v>
      </c>
      <c r="L157">
        <v>39</v>
      </c>
      <c r="M157" t="s">
        <v>47</v>
      </c>
      <c r="N157" t="s">
        <v>42</v>
      </c>
      <c r="O157" t="s">
        <v>31</v>
      </c>
      <c r="P157">
        <v>3</v>
      </c>
      <c r="Q157" t="s">
        <v>36</v>
      </c>
      <c r="R157" t="s">
        <v>33</v>
      </c>
      <c r="S157">
        <v>3</v>
      </c>
      <c r="T157">
        <v>0</v>
      </c>
      <c r="U157">
        <v>12</v>
      </c>
      <c r="V157">
        <v>3</v>
      </c>
      <c r="W157">
        <v>1</v>
      </c>
      <c r="X157">
        <v>0</v>
      </c>
      <c r="Y157">
        <v>0</v>
      </c>
      <c r="Z157">
        <v>0</v>
      </c>
      <c r="AA157" t="str">
        <f t="shared" si="15"/>
        <v>Early Tenure</v>
      </c>
      <c r="AC157">
        <f t="shared" si="16"/>
        <v>0</v>
      </c>
      <c r="AE157">
        <f>VLOOKUP(A157,'Employee Engagement Survey'!A793:B2262,2,FALSE)</f>
        <v>4</v>
      </c>
      <c r="AF157">
        <f>VLOOKUP(A157,'Employee Engagement Survey'!A793:C2262,3,FALSE)</f>
        <v>3</v>
      </c>
      <c r="AG157">
        <f>VLOOKUP(A157,'Employee Engagement Survey'!A793:D2262,4,FALSE)</f>
        <v>1</v>
      </c>
      <c r="AH157">
        <f>VLOOKUP(A157,'Employee Engagement Survey'!A793:E2262,5,FALSE)</f>
        <v>2</v>
      </c>
      <c r="AI157">
        <f t="shared" si="14"/>
        <v>2.5</v>
      </c>
    </row>
    <row r="158" spans="1:35" hidden="1" x14ac:dyDescent="0.4">
      <c r="A158">
        <v>819</v>
      </c>
      <c r="B158" t="s">
        <v>26</v>
      </c>
      <c r="C158">
        <f t="shared" si="12"/>
        <v>0</v>
      </c>
      <c r="D158" t="s">
        <v>57</v>
      </c>
      <c r="E158">
        <f t="shared" si="13"/>
        <v>0</v>
      </c>
      <c r="F158" t="s">
        <v>40</v>
      </c>
      <c r="G158">
        <v>7</v>
      </c>
      <c r="H158" s="1">
        <v>75888</v>
      </c>
      <c r="I158" s="10">
        <v>0.15</v>
      </c>
      <c r="J158">
        <v>37.5</v>
      </c>
      <c r="K158" t="s">
        <v>34</v>
      </c>
      <c r="L158">
        <v>33</v>
      </c>
      <c r="M158" t="s">
        <v>47</v>
      </c>
      <c r="N158" t="s">
        <v>30</v>
      </c>
      <c r="O158" t="s">
        <v>31</v>
      </c>
      <c r="P158">
        <v>16</v>
      </c>
      <c r="Q158" t="s">
        <v>43</v>
      </c>
      <c r="R158" t="s">
        <v>56</v>
      </c>
      <c r="S158">
        <v>3</v>
      </c>
      <c r="T158">
        <v>0</v>
      </c>
      <c r="U158">
        <v>6</v>
      </c>
      <c r="V158">
        <v>3</v>
      </c>
      <c r="W158">
        <v>3</v>
      </c>
      <c r="X158">
        <v>2</v>
      </c>
      <c r="Y158">
        <v>0</v>
      </c>
      <c r="Z158">
        <v>2</v>
      </c>
      <c r="AA158" t="str">
        <f t="shared" si="15"/>
        <v>Mid Tenure</v>
      </c>
      <c r="AC158">
        <f t="shared" si="16"/>
        <v>0</v>
      </c>
      <c r="AE158">
        <f>VLOOKUP(A158,'Employee Engagement Survey'!A808:B2277,2,FALSE)</f>
        <v>1</v>
      </c>
      <c r="AF158">
        <f>VLOOKUP(A158,'Employee Engagement Survey'!A808:C2277,3,FALSE)</f>
        <v>1</v>
      </c>
      <c r="AG158">
        <f>VLOOKUP(A158,'Employee Engagement Survey'!A808:D2277,4,FALSE)</f>
        <v>3</v>
      </c>
      <c r="AH158">
        <f>VLOOKUP(A158,'Employee Engagement Survey'!A808:E2277,5,FALSE)</f>
        <v>3</v>
      </c>
      <c r="AI158">
        <f t="shared" si="14"/>
        <v>2</v>
      </c>
    </row>
    <row r="159" spans="1:35" hidden="1" x14ac:dyDescent="0.4">
      <c r="A159">
        <v>1156</v>
      </c>
      <c r="B159" t="s">
        <v>26</v>
      </c>
      <c r="C159">
        <f t="shared" si="12"/>
        <v>0</v>
      </c>
      <c r="D159" t="s">
        <v>46</v>
      </c>
      <c r="E159">
        <f t="shared" si="13"/>
        <v>0</v>
      </c>
      <c r="F159" t="s">
        <v>28</v>
      </c>
      <c r="G159">
        <v>3</v>
      </c>
      <c r="H159" s="1">
        <v>46848</v>
      </c>
      <c r="I159" s="10">
        <v>0.12</v>
      </c>
      <c r="J159">
        <v>37.5</v>
      </c>
      <c r="K159" t="s">
        <v>34</v>
      </c>
      <c r="L159">
        <v>18</v>
      </c>
      <c r="M159" t="s">
        <v>29</v>
      </c>
      <c r="N159" t="s">
        <v>30</v>
      </c>
      <c r="O159" t="s">
        <v>35</v>
      </c>
      <c r="P159">
        <v>8</v>
      </c>
      <c r="Q159" t="s">
        <v>32</v>
      </c>
      <c r="R159" t="s">
        <v>33</v>
      </c>
      <c r="S159">
        <v>3</v>
      </c>
      <c r="T159">
        <v>0</v>
      </c>
      <c r="U159">
        <v>0</v>
      </c>
      <c r="V159">
        <v>0</v>
      </c>
      <c r="W159">
        <v>0</v>
      </c>
      <c r="X159">
        <v>0</v>
      </c>
      <c r="Y159">
        <v>0</v>
      </c>
      <c r="Z159">
        <v>0</v>
      </c>
      <c r="AA159" t="str">
        <f t="shared" si="15"/>
        <v>Early Tenure</v>
      </c>
      <c r="AC159">
        <f t="shared" si="16"/>
        <v>0</v>
      </c>
      <c r="AE159">
        <f>VLOOKUP(A159,'Employee Engagement Survey'!A812:B2281,2,FALSE)</f>
        <v>3</v>
      </c>
      <c r="AF159">
        <f>VLOOKUP(A159,'Employee Engagement Survey'!A812:C2281,3,FALSE)</f>
        <v>3</v>
      </c>
      <c r="AG159">
        <f>VLOOKUP(A159,'Employee Engagement Survey'!A812:D2281,4,FALSE)</f>
        <v>4</v>
      </c>
      <c r="AH159">
        <f>VLOOKUP(A159,'Employee Engagement Survey'!A812:E2281,5,FALSE)</f>
        <v>3</v>
      </c>
      <c r="AI159">
        <f t="shared" si="14"/>
        <v>3.25</v>
      </c>
    </row>
    <row r="160" spans="1:35" hidden="1" x14ac:dyDescent="0.4">
      <c r="A160">
        <v>1188</v>
      </c>
      <c r="B160" t="s">
        <v>26</v>
      </c>
      <c r="C160">
        <f t="shared" si="12"/>
        <v>0</v>
      </c>
      <c r="D160" t="s">
        <v>57</v>
      </c>
      <c r="E160">
        <f t="shared" si="13"/>
        <v>0</v>
      </c>
      <c r="F160" t="s">
        <v>40</v>
      </c>
      <c r="G160">
        <v>7</v>
      </c>
      <c r="H160" s="1">
        <v>76152</v>
      </c>
      <c r="I160" s="10">
        <v>0.13</v>
      </c>
      <c r="J160">
        <v>37.5</v>
      </c>
      <c r="K160" t="s">
        <v>34</v>
      </c>
      <c r="L160">
        <v>43</v>
      </c>
      <c r="M160" t="s">
        <v>47</v>
      </c>
      <c r="N160" t="s">
        <v>30</v>
      </c>
      <c r="O160" t="s">
        <v>31</v>
      </c>
      <c r="P160">
        <v>9</v>
      </c>
      <c r="Q160" t="s">
        <v>43</v>
      </c>
      <c r="R160" t="s">
        <v>56</v>
      </c>
      <c r="S160">
        <v>3</v>
      </c>
      <c r="T160">
        <v>0</v>
      </c>
      <c r="U160">
        <v>7</v>
      </c>
      <c r="V160">
        <v>2</v>
      </c>
      <c r="W160">
        <v>4</v>
      </c>
      <c r="X160">
        <v>3</v>
      </c>
      <c r="Y160">
        <v>1</v>
      </c>
      <c r="Z160">
        <v>3</v>
      </c>
      <c r="AA160" t="str">
        <f t="shared" si="15"/>
        <v>Mid Tenure</v>
      </c>
      <c r="AC160">
        <f t="shared" si="16"/>
        <v>0</v>
      </c>
      <c r="AE160">
        <f>VLOOKUP(A160,'Employee Engagement Survey'!A815:B2284,2,FALSE)</f>
        <v>1</v>
      </c>
      <c r="AF160">
        <f>VLOOKUP(A160,'Employee Engagement Survey'!A815:C2284,3,FALSE)</f>
        <v>3</v>
      </c>
      <c r="AG160">
        <f>VLOOKUP(A160,'Employee Engagement Survey'!A815:D2284,4,FALSE)</f>
        <v>2</v>
      </c>
      <c r="AH160">
        <f>VLOOKUP(A160,'Employee Engagement Survey'!A815:E2284,5,FALSE)</f>
        <v>2</v>
      </c>
      <c r="AI160">
        <f t="shared" si="14"/>
        <v>2</v>
      </c>
    </row>
    <row r="161" spans="1:35" hidden="1" x14ac:dyDescent="0.4">
      <c r="A161">
        <v>1160</v>
      </c>
      <c r="B161" t="s">
        <v>26</v>
      </c>
      <c r="C161">
        <f t="shared" si="12"/>
        <v>0</v>
      </c>
      <c r="D161" t="s">
        <v>46</v>
      </c>
      <c r="E161">
        <f t="shared" si="13"/>
        <v>0</v>
      </c>
      <c r="F161" t="s">
        <v>28</v>
      </c>
      <c r="G161">
        <v>5</v>
      </c>
      <c r="H161" s="1">
        <v>55320</v>
      </c>
      <c r="I161" s="10">
        <v>0.12</v>
      </c>
      <c r="J161">
        <v>37.5</v>
      </c>
      <c r="K161" t="s">
        <v>34</v>
      </c>
      <c r="L161">
        <v>31</v>
      </c>
      <c r="M161" t="s">
        <v>29</v>
      </c>
      <c r="N161" t="s">
        <v>42</v>
      </c>
      <c r="O161" t="s">
        <v>44</v>
      </c>
      <c r="P161">
        <v>15</v>
      </c>
      <c r="Q161" t="s">
        <v>43</v>
      </c>
      <c r="R161" t="s">
        <v>33</v>
      </c>
      <c r="S161">
        <v>3</v>
      </c>
      <c r="T161">
        <v>1</v>
      </c>
      <c r="U161">
        <v>2</v>
      </c>
      <c r="V161">
        <v>5</v>
      </c>
      <c r="W161">
        <v>2</v>
      </c>
      <c r="X161">
        <v>2</v>
      </c>
      <c r="Y161">
        <v>2</v>
      </c>
      <c r="Z161">
        <v>2</v>
      </c>
      <c r="AA161" t="str">
        <f t="shared" si="15"/>
        <v>Early Tenure</v>
      </c>
      <c r="AC161">
        <f t="shared" si="16"/>
        <v>0</v>
      </c>
      <c r="AE161">
        <f>VLOOKUP(A161,'Employee Engagement Survey'!A816:B2285,2,FALSE)</f>
        <v>3</v>
      </c>
      <c r="AF161">
        <f>VLOOKUP(A161,'Employee Engagement Survey'!A816:C2285,3,FALSE)</f>
        <v>3</v>
      </c>
      <c r="AG161">
        <f>VLOOKUP(A161,'Employee Engagement Survey'!A816:D2285,4,FALSE)</f>
        <v>3</v>
      </c>
      <c r="AH161">
        <f>VLOOKUP(A161,'Employee Engagement Survey'!A816:E2285,5,FALSE)</f>
        <v>2</v>
      </c>
      <c r="AI161">
        <f t="shared" si="14"/>
        <v>2.75</v>
      </c>
    </row>
    <row r="162" spans="1:35" hidden="1" x14ac:dyDescent="0.4">
      <c r="A162">
        <v>1167</v>
      </c>
      <c r="B162" t="s">
        <v>26</v>
      </c>
      <c r="C162">
        <f t="shared" ref="C162:C172" si="17">IF(B162="No",1,0)</f>
        <v>0</v>
      </c>
      <c r="D162" t="s">
        <v>57</v>
      </c>
      <c r="E162">
        <f t="shared" si="13"/>
        <v>0</v>
      </c>
      <c r="F162" t="s">
        <v>40</v>
      </c>
      <c r="G162">
        <v>4</v>
      </c>
      <c r="H162" s="1">
        <v>177096</v>
      </c>
      <c r="I162" s="10">
        <v>0.12</v>
      </c>
      <c r="J162">
        <v>37.5</v>
      </c>
      <c r="K162" t="s">
        <v>26</v>
      </c>
      <c r="L162">
        <v>42</v>
      </c>
      <c r="M162" t="s">
        <v>29</v>
      </c>
      <c r="N162" t="s">
        <v>30</v>
      </c>
      <c r="O162" t="s">
        <v>44</v>
      </c>
      <c r="P162">
        <v>12</v>
      </c>
      <c r="Q162" t="s">
        <v>43</v>
      </c>
      <c r="R162" t="s">
        <v>37</v>
      </c>
      <c r="S162">
        <v>3</v>
      </c>
      <c r="T162">
        <v>0</v>
      </c>
      <c r="U162">
        <v>22</v>
      </c>
      <c r="V162">
        <v>2</v>
      </c>
      <c r="W162">
        <v>21</v>
      </c>
      <c r="X162">
        <v>9</v>
      </c>
      <c r="Y162">
        <v>13</v>
      </c>
      <c r="Z162">
        <v>14</v>
      </c>
      <c r="AA162" t="str">
        <f t="shared" si="15"/>
        <v>Long Tenure</v>
      </c>
      <c r="AC162">
        <f t="shared" si="16"/>
        <v>0</v>
      </c>
      <c r="AE162">
        <f>VLOOKUP(A162,'Employee Engagement Survey'!A822:B2291,2,FALSE)</f>
        <v>3</v>
      </c>
      <c r="AF162">
        <f>VLOOKUP(A162,'Employee Engagement Survey'!A822:C2291,3,FALSE)</f>
        <v>1</v>
      </c>
      <c r="AG162">
        <f>VLOOKUP(A162,'Employee Engagement Survey'!A822:D2291,4,FALSE)</f>
        <v>2</v>
      </c>
      <c r="AH162">
        <f>VLOOKUP(A162,'Employee Engagement Survey'!A822:E2291,5,FALSE)</f>
        <v>2</v>
      </c>
      <c r="AI162">
        <f t="shared" si="14"/>
        <v>2</v>
      </c>
    </row>
    <row r="163" spans="1:35" hidden="1" x14ac:dyDescent="0.4">
      <c r="A163">
        <v>1200</v>
      </c>
      <c r="B163" t="s">
        <v>26</v>
      </c>
      <c r="C163">
        <f t="shared" si="17"/>
        <v>0</v>
      </c>
      <c r="D163" t="s">
        <v>27</v>
      </c>
      <c r="E163">
        <f t="shared" si="13"/>
        <v>0</v>
      </c>
      <c r="F163" t="s">
        <v>28</v>
      </c>
      <c r="G163">
        <v>5</v>
      </c>
      <c r="H163" s="1">
        <v>59232</v>
      </c>
      <c r="I163" s="10">
        <v>0.11</v>
      </c>
      <c r="J163">
        <v>37.5</v>
      </c>
      <c r="K163" t="s">
        <v>26</v>
      </c>
      <c r="L163">
        <v>44</v>
      </c>
      <c r="M163" t="s">
        <v>29</v>
      </c>
      <c r="N163" t="s">
        <v>30</v>
      </c>
      <c r="O163" t="s">
        <v>31</v>
      </c>
      <c r="P163">
        <v>10</v>
      </c>
      <c r="Q163" t="s">
        <v>51</v>
      </c>
      <c r="R163" t="s">
        <v>37</v>
      </c>
      <c r="S163">
        <v>3</v>
      </c>
      <c r="T163">
        <v>0</v>
      </c>
      <c r="U163">
        <v>6</v>
      </c>
      <c r="V163">
        <v>4</v>
      </c>
      <c r="W163">
        <v>6</v>
      </c>
      <c r="X163">
        <v>4</v>
      </c>
      <c r="Y163">
        <v>0</v>
      </c>
      <c r="Z163">
        <v>2</v>
      </c>
      <c r="AA163" t="str">
        <f t="shared" si="15"/>
        <v>Mid Tenure</v>
      </c>
      <c r="AC163">
        <f t="shared" si="16"/>
        <v>0</v>
      </c>
      <c r="AE163">
        <f>VLOOKUP(A163,'Employee Engagement Survey'!A837:B2306,2,FALSE)</f>
        <v>3</v>
      </c>
      <c r="AF163">
        <f>VLOOKUP(A163,'Employee Engagement Survey'!A837:C2306,3,FALSE)</f>
        <v>3</v>
      </c>
      <c r="AG163">
        <f>VLOOKUP(A163,'Employee Engagement Survey'!A837:D2306,4,FALSE)</f>
        <v>3</v>
      </c>
      <c r="AH163">
        <f>VLOOKUP(A163,'Employee Engagement Survey'!A837:E2306,5,FALSE)</f>
        <v>3</v>
      </c>
      <c r="AI163">
        <f t="shared" si="14"/>
        <v>3</v>
      </c>
    </row>
    <row r="164" spans="1:35" hidden="1" x14ac:dyDescent="0.4">
      <c r="A164">
        <v>1203</v>
      </c>
      <c r="B164" t="s">
        <v>26</v>
      </c>
      <c r="C164">
        <f t="shared" si="17"/>
        <v>0</v>
      </c>
      <c r="D164" t="s">
        <v>27</v>
      </c>
      <c r="E164">
        <f t="shared" si="13"/>
        <v>0</v>
      </c>
      <c r="F164" t="s">
        <v>28</v>
      </c>
      <c r="G164">
        <v>5</v>
      </c>
      <c r="H164" s="1">
        <v>58236</v>
      </c>
      <c r="I164" s="10">
        <v>0.11</v>
      </c>
      <c r="J164">
        <v>37.5</v>
      </c>
      <c r="K164" t="s">
        <v>26</v>
      </c>
      <c r="L164">
        <v>22</v>
      </c>
      <c r="M164" t="s">
        <v>29</v>
      </c>
      <c r="N164" t="s">
        <v>42</v>
      </c>
      <c r="O164" t="s">
        <v>44</v>
      </c>
      <c r="P164">
        <v>3</v>
      </c>
      <c r="Q164" t="s">
        <v>51</v>
      </c>
      <c r="R164" t="s">
        <v>37</v>
      </c>
      <c r="S164">
        <v>3</v>
      </c>
      <c r="T164">
        <v>1</v>
      </c>
      <c r="U164">
        <v>1</v>
      </c>
      <c r="V164">
        <v>5</v>
      </c>
      <c r="W164">
        <v>0</v>
      </c>
      <c r="X164">
        <v>0</v>
      </c>
      <c r="Y164">
        <v>0</v>
      </c>
      <c r="Z164">
        <v>0</v>
      </c>
      <c r="AA164" t="str">
        <f t="shared" si="15"/>
        <v>Early Tenure</v>
      </c>
      <c r="AC164">
        <f t="shared" si="16"/>
        <v>0</v>
      </c>
      <c r="AE164">
        <f>VLOOKUP(A164,'Employee Engagement Survey'!A839:B2308,2,FALSE)</f>
        <v>3</v>
      </c>
      <c r="AF164">
        <f>VLOOKUP(A164,'Employee Engagement Survey'!A839:C2308,3,FALSE)</f>
        <v>4</v>
      </c>
      <c r="AG164">
        <f>VLOOKUP(A164,'Employee Engagement Survey'!A839:D2308,4,FALSE)</f>
        <v>2</v>
      </c>
      <c r="AH164">
        <f>VLOOKUP(A164,'Employee Engagement Survey'!A839:E2308,5,FALSE)</f>
        <v>3</v>
      </c>
      <c r="AI164">
        <f t="shared" si="14"/>
        <v>3</v>
      </c>
    </row>
    <row r="165" spans="1:35" hidden="1" x14ac:dyDescent="0.4">
      <c r="A165">
        <v>1210</v>
      </c>
      <c r="B165" t="s">
        <v>26</v>
      </c>
      <c r="C165">
        <f t="shared" si="17"/>
        <v>0</v>
      </c>
      <c r="D165" t="s">
        <v>27</v>
      </c>
      <c r="E165">
        <f t="shared" si="13"/>
        <v>0</v>
      </c>
      <c r="F165" t="s">
        <v>28</v>
      </c>
      <c r="G165">
        <v>3</v>
      </c>
      <c r="H165" s="1">
        <v>49284</v>
      </c>
      <c r="I165" s="10">
        <v>0.17</v>
      </c>
      <c r="J165">
        <v>37.5</v>
      </c>
      <c r="K165" t="s">
        <v>34</v>
      </c>
      <c r="L165">
        <v>41</v>
      </c>
      <c r="M165" t="s">
        <v>29</v>
      </c>
      <c r="N165" t="s">
        <v>48</v>
      </c>
      <c r="O165" t="s">
        <v>35</v>
      </c>
      <c r="P165">
        <v>5</v>
      </c>
      <c r="Q165" t="s">
        <v>36</v>
      </c>
      <c r="R165" t="s">
        <v>37</v>
      </c>
      <c r="S165">
        <v>3</v>
      </c>
      <c r="T165">
        <v>1</v>
      </c>
      <c r="U165">
        <v>5</v>
      </c>
      <c r="V165">
        <v>2</v>
      </c>
      <c r="W165">
        <v>1</v>
      </c>
      <c r="X165">
        <v>0</v>
      </c>
      <c r="Y165">
        <v>0</v>
      </c>
      <c r="Z165">
        <v>0</v>
      </c>
      <c r="AA165" t="str">
        <f t="shared" si="15"/>
        <v>Early Tenure</v>
      </c>
      <c r="AC165">
        <f t="shared" si="16"/>
        <v>0</v>
      </c>
      <c r="AE165">
        <f>VLOOKUP(A165,'Employee Engagement Survey'!A844:B2313,2,FALSE)</f>
        <v>1</v>
      </c>
      <c r="AF165">
        <f>VLOOKUP(A165,'Employee Engagement Survey'!A844:C2313,3,FALSE)</f>
        <v>1</v>
      </c>
      <c r="AG165">
        <f>VLOOKUP(A165,'Employee Engagement Survey'!A844:D2313,4,FALSE)</f>
        <v>1</v>
      </c>
      <c r="AH165">
        <f>VLOOKUP(A165,'Employee Engagement Survey'!A844:E2313,5,FALSE)</f>
        <v>1</v>
      </c>
      <c r="AI165">
        <f t="shared" si="14"/>
        <v>1</v>
      </c>
    </row>
    <row r="166" spans="1:35" hidden="1" x14ac:dyDescent="0.4">
      <c r="A166">
        <v>1487</v>
      </c>
      <c r="B166" t="s">
        <v>26</v>
      </c>
      <c r="C166">
        <f t="shared" si="17"/>
        <v>0</v>
      </c>
      <c r="D166" t="s">
        <v>57</v>
      </c>
      <c r="E166">
        <f t="shared" si="13"/>
        <v>0</v>
      </c>
      <c r="F166" t="s">
        <v>40</v>
      </c>
      <c r="G166">
        <v>7</v>
      </c>
      <c r="H166" s="1">
        <v>81180</v>
      </c>
      <c r="I166" s="10">
        <v>0.11</v>
      </c>
      <c r="J166">
        <v>37.5</v>
      </c>
      <c r="K166" t="s">
        <v>34</v>
      </c>
      <c r="L166">
        <v>29</v>
      </c>
      <c r="M166" t="s">
        <v>47</v>
      </c>
      <c r="N166" t="s">
        <v>30</v>
      </c>
      <c r="O166" t="s">
        <v>44</v>
      </c>
      <c r="P166">
        <v>13</v>
      </c>
      <c r="Q166" t="s">
        <v>43</v>
      </c>
      <c r="R166" t="s">
        <v>45</v>
      </c>
      <c r="S166">
        <v>3</v>
      </c>
      <c r="T166">
        <v>0</v>
      </c>
      <c r="U166">
        <v>7</v>
      </c>
      <c r="V166">
        <v>4</v>
      </c>
      <c r="W166">
        <v>5</v>
      </c>
      <c r="X166">
        <v>3</v>
      </c>
      <c r="Y166">
        <v>0</v>
      </c>
      <c r="Z166">
        <v>0</v>
      </c>
      <c r="AA166" t="str">
        <f t="shared" si="15"/>
        <v>Mid Tenure</v>
      </c>
      <c r="AC166">
        <f t="shared" si="16"/>
        <v>0</v>
      </c>
      <c r="AE166">
        <f>VLOOKUP(A166,'Employee Engagement Survey'!A888:B2357,2,FALSE)</f>
        <v>1</v>
      </c>
      <c r="AF166">
        <f>VLOOKUP(A166,'Employee Engagement Survey'!A888:C2357,3,FALSE)</f>
        <v>2</v>
      </c>
      <c r="AG166">
        <f>VLOOKUP(A166,'Employee Engagement Survey'!A888:D2357,4,FALSE)</f>
        <v>1</v>
      </c>
      <c r="AH166">
        <f>VLOOKUP(A166,'Employee Engagement Survey'!A888:E2357,5,FALSE)</f>
        <v>1</v>
      </c>
      <c r="AI166">
        <f t="shared" si="14"/>
        <v>1.25</v>
      </c>
    </row>
    <row r="167" spans="1:35" hidden="1" x14ac:dyDescent="0.4">
      <c r="A167">
        <v>1</v>
      </c>
      <c r="B167" t="s">
        <v>26</v>
      </c>
      <c r="C167">
        <f t="shared" si="17"/>
        <v>0</v>
      </c>
      <c r="D167" t="s">
        <v>57</v>
      </c>
      <c r="E167">
        <f t="shared" si="13"/>
        <v>0</v>
      </c>
      <c r="F167" t="s">
        <v>40</v>
      </c>
      <c r="G167">
        <v>7</v>
      </c>
      <c r="H167" s="1">
        <v>83916</v>
      </c>
      <c r="I167" s="10">
        <v>0.11</v>
      </c>
      <c r="J167">
        <v>37.5</v>
      </c>
      <c r="K167" t="s">
        <v>26</v>
      </c>
      <c r="L167">
        <v>41</v>
      </c>
      <c r="M167" t="s">
        <v>47</v>
      </c>
      <c r="N167" t="s">
        <v>30</v>
      </c>
      <c r="O167" t="s">
        <v>31</v>
      </c>
      <c r="P167">
        <v>1</v>
      </c>
      <c r="Q167" t="s">
        <v>36</v>
      </c>
      <c r="R167" t="s">
        <v>37</v>
      </c>
      <c r="S167">
        <v>3</v>
      </c>
      <c r="T167">
        <v>0</v>
      </c>
      <c r="U167">
        <v>8</v>
      </c>
      <c r="V167">
        <v>0</v>
      </c>
      <c r="W167">
        <v>6</v>
      </c>
      <c r="X167">
        <v>4</v>
      </c>
      <c r="Y167">
        <v>0</v>
      </c>
      <c r="Z167">
        <v>5</v>
      </c>
      <c r="AA167" t="str">
        <f t="shared" si="15"/>
        <v>Mid Tenure</v>
      </c>
      <c r="AC167">
        <f t="shared" si="16"/>
        <v>0</v>
      </c>
      <c r="AE167">
        <f>VLOOKUP(A167,'Employee Engagement Survey'!A914:B2383,2,FALSE)</f>
        <v>2</v>
      </c>
      <c r="AF167">
        <f>VLOOKUP(A167,'Employee Engagement Survey'!A914:C2383,3,FALSE)</f>
        <v>4</v>
      </c>
      <c r="AG167">
        <f>VLOOKUP(A167,'Employee Engagement Survey'!A914:D2383,4,FALSE)</f>
        <v>1</v>
      </c>
      <c r="AH167">
        <f>VLOOKUP(A167,'Employee Engagement Survey'!A914:E2383,5,FALSE)</f>
        <v>1</v>
      </c>
      <c r="AI167">
        <f t="shared" si="14"/>
        <v>2</v>
      </c>
    </row>
    <row r="168" spans="1:35" hidden="1" x14ac:dyDescent="0.4">
      <c r="A168">
        <v>1309</v>
      </c>
      <c r="B168" t="s">
        <v>26</v>
      </c>
      <c r="C168">
        <f t="shared" si="17"/>
        <v>0</v>
      </c>
      <c r="D168" t="s">
        <v>46</v>
      </c>
      <c r="E168">
        <f t="shared" si="13"/>
        <v>0</v>
      </c>
      <c r="F168" t="s">
        <v>28</v>
      </c>
      <c r="G168">
        <v>7</v>
      </c>
      <c r="H168" s="1">
        <v>70596</v>
      </c>
      <c r="I168" s="10">
        <v>0.18</v>
      </c>
      <c r="J168">
        <v>37.5</v>
      </c>
      <c r="K168" t="s">
        <v>34</v>
      </c>
      <c r="L168">
        <v>32</v>
      </c>
      <c r="M168" t="s">
        <v>29</v>
      </c>
      <c r="N168" t="s">
        <v>42</v>
      </c>
      <c r="O168" t="s">
        <v>31</v>
      </c>
      <c r="P168">
        <v>7</v>
      </c>
      <c r="Q168" t="s">
        <v>36</v>
      </c>
      <c r="R168" t="s">
        <v>37</v>
      </c>
      <c r="S168">
        <v>3</v>
      </c>
      <c r="T168">
        <v>1</v>
      </c>
      <c r="U168">
        <v>10</v>
      </c>
      <c r="V168">
        <v>3</v>
      </c>
      <c r="W168">
        <v>10</v>
      </c>
      <c r="X168">
        <v>4</v>
      </c>
      <c r="Y168">
        <v>1</v>
      </c>
      <c r="Z168">
        <v>1</v>
      </c>
      <c r="AA168" t="str">
        <f t="shared" si="15"/>
        <v>Long Tenure</v>
      </c>
      <c r="AC168">
        <f t="shared" si="16"/>
        <v>0</v>
      </c>
      <c r="AE168">
        <f>VLOOKUP(A168,'Employee Engagement Survey'!A915:B2384,2,FALSE)</f>
        <v>4</v>
      </c>
      <c r="AF168">
        <f>VLOOKUP(A168,'Employee Engagement Survey'!A915:C2384,3,FALSE)</f>
        <v>3</v>
      </c>
      <c r="AG168">
        <f>VLOOKUP(A168,'Employee Engagement Survey'!A915:D2384,4,FALSE)</f>
        <v>1</v>
      </c>
      <c r="AH168">
        <f>VLOOKUP(A168,'Employee Engagement Survey'!A915:E2384,5,FALSE)</f>
        <v>3</v>
      </c>
      <c r="AI168">
        <f t="shared" si="14"/>
        <v>2.75</v>
      </c>
    </row>
    <row r="169" spans="1:35" hidden="1" x14ac:dyDescent="0.4">
      <c r="A169">
        <v>1310</v>
      </c>
      <c r="B169" t="s">
        <v>26</v>
      </c>
      <c r="C169">
        <f t="shared" si="17"/>
        <v>0</v>
      </c>
      <c r="D169" t="s">
        <v>27</v>
      </c>
      <c r="E169">
        <f t="shared" si="13"/>
        <v>0</v>
      </c>
      <c r="F169" t="s">
        <v>28</v>
      </c>
      <c r="G169">
        <v>7</v>
      </c>
      <c r="H169" s="1">
        <v>70848</v>
      </c>
      <c r="I169" s="10">
        <v>0.13</v>
      </c>
      <c r="J169">
        <v>37.5</v>
      </c>
      <c r="K169" t="s">
        <v>34</v>
      </c>
      <c r="L169">
        <v>39</v>
      </c>
      <c r="M169" t="s">
        <v>29</v>
      </c>
      <c r="N169" t="s">
        <v>30</v>
      </c>
      <c r="O169" t="s">
        <v>31</v>
      </c>
      <c r="P169">
        <v>23</v>
      </c>
      <c r="Q169" t="s">
        <v>43</v>
      </c>
      <c r="R169" t="s">
        <v>33</v>
      </c>
      <c r="S169">
        <v>3</v>
      </c>
      <c r="T169">
        <v>0</v>
      </c>
      <c r="U169">
        <v>6</v>
      </c>
      <c r="V169">
        <v>2</v>
      </c>
      <c r="W169">
        <v>5</v>
      </c>
      <c r="X169">
        <v>2</v>
      </c>
      <c r="Y169">
        <v>0</v>
      </c>
      <c r="Z169">
        <v>3</v>
      </c>
      <c r="AA169" t="str">
        <f t="shared" si="15"/>
        <v>Mid Tenure</v>
      </c>
      <c r="AC169">
        <f t="shared" si="16"/>
        <v>0</v>
      </c>
      <c r="AE169">
        <f>VLOOKUP(A169,'Employee Engagement Survey'!A917:B2386,2,FALSE)</f>
        <v>3</v>
      </c>
      <c r="AF169">
        <f>VLOOKUP(A169,'Employee Engagement Survey'!A917:C2386,3,FALSE)</f>
        <v>1</v>
      </c>
      <c r="AG169">
        <f>VLOOKUP(A169,'Employee Engagement Survey'!A917:D2386,4,FALSE)</f>
        <v>1</v>
      </c>
      <c r="AH169">
        <f>VLOOKUP(A169,'Employee Engagement Survey'!A917:E2386,5,FALSE)</f>
        <v>3</v>
      </c>
      <c r="AI169">
        <f t="shared" si="14"/>
        <v>2</v>
      </c>
    </row>
    <row r="170" spans="1:35" hidden="1" x14ac:dyDescent="0.4">
      <c r="A170">
        <v>1318</v>
      </c>
      <c r="B170" t="s">
        <v>26</v>
      </c>
      <c r="C170">
        <f t="shared" si="17"/>
        <v>0</v>
      </c>
      <c r="D170" t="s">
        <v>57</v>
      </c>
      <c r="E170">
        <f t="shared" si="13"/>
        <v>0</v>
      </c>
      <c r="F170" t="s">
        <v>40</v>
      </c>
      <c r="G170">
        <v>9</v>
      </c>
      <c r="H170" s="1">
        <v>121128</v>
      </c>
      <c r="I170" s="10">
        <v>0.12</v>
      </c>
      <c r="J170">
        <v>37.5</v>
      </c>
      <c r="K170" t="s">
        <v>26</v>
      </c>
      <c r="L170">
        <v>40</v>
      </c>
      <c r="M170" t="s">
        <v>29</v>
      </c>
      <c r="N170" t="s">
        <v>30</v>
      </c>
      <c r="O170" t="s">
        <v>31</v>
      </c>
      <c r="P170">
        <v>25</v>
      </c>
      <c r="Q170" t="s">
        <v>51</v>
      </c>
      <c r="R170" t="s">
        <v>56</v>
      </c>
      <c r="S170">
        <v>3</v>
      </c>
      <c r="T170">
        <v>0</v>
      </c>
      <c r="U170">
        <v>9</v>
      </c>
      <c r="V170">
        <v>2</v>
      </c>
      <c r="W170">
        <v>5</v>
      </c>
      <c r="X170">
        <v>4</v>
      </c>
      <c r="Y170">
        <v>1</v>
      </c>
      <c r="Z170">
        <v>0</v>
      </c>
      <c r="AA170" t="str">
        <f t="shared" si="15"/>
        <v>Mid Tenure</v>
      </c>
      <c r="AC170">
        <f t="shared" si="16"/>
        <v>0</v>
      </c>
      <c r="AE170">
        <f>VLOOKUP(A170,'Employee Engagement Survey'!A919:B2388,2,FALSE)</f>
        <v>4</v>
      </c>
      <c r="AF170">
        <f>VLOOKUP(A170,'Employee Engagement Survey'!A919:C2388,3,FALSE)</f>
        <v>2</v>
      </c>
      <c r="AG170">
        <f>VLOOKUP(A170,'Employee Engagement Survey'!A919:D2388,4,FALSE)</f>
        <v>3</v>
      </c>
      <c r="AH170">
        <f>VLOOKUP(A170,'Employee Engagement Survey'!A919:E2388,5,FALSE)</f>
        <v>3</v>
      </c>
      <c r="AI170">
        <f t="shared" si="14"/>
        <v>3</v>
      </c>
    </row>
    <row r="171" spans="1:35" hidden="1" x14ac:dyDescent="0.4">
      <c r="A171">
        <v>1319</v>
      </c>
      <c r="B171" t="s">
        <v>26</v>
      </c>
      <c r="C171">
        <f t="shared" si="17"/>
        <v>0</v>
      </c>
      <c r="D171" t="s">
        <v>57</v>
      </c>
      <c r="E171">
        <f t="shared" si="13"/>
        <v>0</v>
      </c>
      <c r="F171" t="s">
        <v>40</v>
      </c>
      <c r="G171">
        <v>9</v>
      </c>
      <c r="H171" s="1">
        <v>113352</v>
      </c>
      <c r="I171" s="10">
        <v>0.19</v>
      </c>
      <c r="J171">
        <v>37.5</v>
      </c>
      <c r="K171" t="s">
        <v>26</v>
      </c>
      <c r="L171">
        <v>52</v>
      </c>
      <c r="M171" t="s">
        <v>29</v>
      </c>
      <c r="N171" t="s">
        <v>30</v>
      </c>
      <c r="O171" t="s">
        <v>31</v>
      </c>
      <c r="P171">
        <v>5</v>
      </c>
      <c r="Q171" t="s">
        <v>43</v>
      </c>
      <c r="R171" t="s">
        <v>37</v>
      </c>
      <c r="S171">
        <v>3</v>
      </c>
      <c r="T171">
        <v>0</v>
      </c>
      <c r="U171">
        <v>10</v>
      </c>
      <c r="V171">
        <v>2</v>
      </c>
      <c r="W171">
        <v>8</v>
      </c>
      <c r="X171">
        <v>7</v>
      </c>
      <c r="Y171">
        <v>7</v>
      </c>
      <c r="Z171">
        <v>7</v>
      </c>
      <c r="AA171" t="str">
        <f t="shared" si="15"/>
        <v>Mid Tenure</v>
      </c>
      <c r="AC171">
        <f t="shared" si="16"/>
        <v>0</v>
      </c>
      <c r="AE171">
        <f>VLOOKUP(A171,'Employee Engagement Survey'!A920:B2389,2,FALSE)</f>
        <v>2</v>
      </c>
      <c r="AF171">
        <f>VLOOKUP(A171,'Employee Engagement Survey'!A920:C2389,3,FALSE)</f>
        <v>2</v>
      </c>
      <c r="AG171">
        <f>VLOOKUP(A171,'Employee Engagement Survey'!A920:D2389,4,FALSE)</f>
        <v>3</v>
      </c>
      <c r="AH171">
        <f>VLOOKUP(A171,'Employee Engagement Survey'!A920:E2389,5,FALSE)</f>
        <v>2</v>
      </c>
      <c r="AI171">
        <f t="shared" si="14"/>
        <v>2.25</v>
      </c>
    </row>
    <row r="172" spans="1:35" hidden="1" x14ac:dyDescent="0.4">
      <c r="A172">
        <v>1333</v>
      </c>
      <c r="B172" t="s">
        <v>26</v>
      </c>
      <c r="C172">
        <f t="shared" si="17"/>
        <v>0</v>
      </c>
      <c r="D172" t="s">
        <v>46</v>
      </c>
      <c r="E172">
        <f t="shared" si="13"/>
        <v>0</v>
      </c>
      <c r="F172" t="s">
        <v>28</v>
      </c>
      <c r="G172">
        <v>4</v>
      </c>
      <c r="H172" s="1">
        <v>52344</v>
      </c>
      <c r="I172" s="10">
        <v>0.12</v>
      </c>
      <c r="J172">
        <v>37.5</v>
      </c>
      <c r="K172" t="s">
        <v>34</v>
      </c>
      <c r="L172">
        <v>44</v>
      </c>
      <c r="M172" t="s">
        <v>29</v>
      </c>
      <c r="N172" t="s">
        <v>42</v>
      </c>
      <c r="O172" t="s">
        <v>31</v>
      </c>
      <c r="P172">
        <v>3</v>
      </c>
      <c r="Q172" t="s">
        <v>43</v>
      </c>
      <c r="R172" t="s">
        <v>37</v>
      </c>
      <c r="S172">
        <v>3</v>
      </c>
      <c r="T172">
        <v>0</v>
      </c>
      <c r="U172">
        <v>10</v>
      </c>
      <c r="V172">
        <v>4</v>
      </c>
      <c r="W172">
        <v>3</v>
      </c>
      <c r="X172">
        <v>2</v>
      </c>
      <c r="Y172">
        <v>1</v>
      </c>
      <c r="Z172">
        <v>2</v>
      </c>
      <c r="AA172" t="str">
        <f t="shared" si="15"/>
        <v>Mid Tenure</v>
      </c>
      <c r="AC172">
        <f t="shared" si="16"/>
        <v>0</v>
      </c>
      <c r="AE172">
        <f>VLOOKUP(A172,'Employee Engagement Survey'!A926:B2395,2,FALSE)</f>
        <v>1</v>
      </c>
      <c r="AF172">
        <f>VLOOKUP(A172,'Employee Engagement Survey'!A926:C2395,3,FALSE)</f>
        <v>1</v>
      </c>
      <c r="AG172">
        <f>VLOOKUP(A172,'Employee Engagement Survey'!A926:D2395,4,FALSE)</f>
        <v>3</v>
      </c>
      <c r="AH172">
        <f>VLOOKUP(A172,'Employee Engagement Survey'!A926:E2395,5,FALSE)</f>
        <v>4</v>
      </c>
      <c r="AI172">
        <f t="shared" si="14"/>
        <v>2.25</v>
      </c>
    </row>
    <row r="173" spans="1:35" hidden="1" x14ac:dyDescent="0.4">
      <c r="A173">
        <v>1338</v>
      </c>
      <c r="B173" t="s">
        <v>34</v>
      </c>
      <c r="C173">
        <v>0</v>
      </c>
      <c r="D173" t="s">
        <v>107</v>
      </c>
      <c r="E173">
        <f t="shared" si="13"/>
        <v>1</v>
      </c>
      <c r="F173" t="s">
        <v>59</v>
      </c>
      <c r="G173">
        <v>5</v>
      </c>
      <c r="H173" s="1">
        <v>248604</v>
      </c>
      <c r="I173" s="10">
        <v>0.14000000000000001</v>
      </c>
      <c r="J173">
        <v>37.5</v>
      </c>
      <c r="K173" t="s">
        <v>34</v>
      </c>
      <c r="L173">
        <v>56</v>
      </c>
      <c r="M173" t="s">
        <v>29</v>
      </c>
      <c r="N173" t="s">
        <v>30</v>
      </c>
      <c r="O173" t="s">
        <v>31</v>
      </c>
      <c r="P173">
        <v>8</v>
      </c>
      <c r="Q173" t="s">
        <v>51</v>
      </c>
      <c r="R173" t="s">
        <v>59</v>
      </c>
      <c r="S173">
        <v>3</v>
      </c>
      <c r="T173">
        <v>0</v>
      </c>
      <c r="U173">
        <v>36</v>
      </c>
      <c r="V173">
        <v>4</v>
      </c>
      <c r="W173">
        <v>7</v>
      </c>
      <c r="X173">
        <v>3</v>
      </c>
      <c r="Y173">
        <v>7</v>
      </c>
      <c r="Z173">
        <v>7</v>
      </c>
      <c r="AA173" t="str">
        <f t="shared" si="15"/>
        <v>Mid Tenure</v>
      </c>
      <c r="AB173" s="5">
        <v>45197</v>
      </c>
      <c r="AC173">
        <f t="shared" si="16"/>
        <v>0</v>
      </c>
      <c r="AE173">
        <f>VLOOKUP(A173,'Employee Engagement Survey'!A930:B2399,2,FALSE)</f>
        <v>4</v>
      </c>
      <c r="AF173">
        <f>VLOOKUP(A173,'Employee Engagement Survey'!A930:C2399,3,FALSE)</f>
        <v>2</v>
      </c>
      <c r="AG173">
        <f>VLOOKUP(A173,'Employee Engagement Survey'!A930:D2399,4,FALSE)</f>
        <v>1</v>
      </c>
      <c r="AH173">
        <f>VLOOKUP(A173,'Employee Engagement Survey'!A930:E2399,5,FALSE)</f>
        <v>3</v>
      </c>
      <c r="AI173">
        <f t="shared" si="14"/>
        <v>2.5</v>
      </c>
    </row>
    <row r="174" spans="1:35" hidden="1" x14ac:dyDescent="0.4">
      <c r="A174">
        <v>1372</v>
      </c>
      <c r="B174" t="s">
        <v>26</v>
      </c>
      <c r="C174">
        <f t="shared" ref="C174:C205" si="18">IF(B174="No",1,0)</f>
        <v>0</v>
      </c>
      <c r="D174" t="s">
        <v>57</v>
      </c>
      <c r="E174">
        <f t="shared" si="13"/>
        <v>0</v>
      </c>
      <c r="F174" t="s">
        <v>40</v>
      </c>
      <c r="G174">
        <v>4</v>
      </c>
      <c r="H174" s="1">
        <v>176340</v>
      </c>
      <c r="I174" s="10">
        <v>0.17</v>
      </c>
      <c r="J174">
        <v>37.5</v>
      </c>
      <c r="K174" t="s">
        <v>26</v>
      </c>
      <c r="L174">
        <v>55</v>
      </c>
      <c r="M174" t="s">
        <v>29</v>
      </c>
      <c r="N174" t="s">
        <v>30</v>
      </c>
      <c r="O174" t="s">
        <v>31</v>
      </c>
      <c r="P174">
        <v>13</v>
      </c>
      <c r="Q174" t="s">
        <v>51</v>
      </c>
      <c r="R174" t="s">
        <v>56</v>
      </c>
      <c r="S174">
        <v>3</v>
      </c>
      <c r="T174">
        <v>0</v>
      </c>
      <c r="U174">
        <v>24</v>
      </c>
      <c r="V174">
        <v>2</v>
      </c>
      <c r="W174">
        <v>19</v>
      </c>
      <c r="X174">
        <v>7</v>
      </c>
      <c r="Y174">
        <v>3</v>
      </c>
      <c r="Z174">
        <v>8</v>
      </c>
      <c r="AA174" t="str">
        <f t="shared" si="15"/>
        <v>Long Tenure</v>
      </c>
      <c r="AC174">
        <f t="shared" si="16"/>
        <v>0</v>
      </c>
      <c r="AE174">
        <f>VLOOKUP(A174,'Employee Engagement Survey'!A944:B2413,2,FALSE)</f>
        <v>1</v>
      </c>
      <c r="AF174">
        <f>VLOOKUP(A174,'Employee Engagement Survey'!A944:C2413,3,FALSE)</f>
        <v>3</v>
      </c>
      <c r="AG174">
        <f>VLOOKUP(A174,'Employee Engagement Survey'!A944:D2413,4,FALSE)</f>
        <v>3</v>
      </c>
      <c r="AH174">
        <f>VLOOKUP(A174,'Employee Engagement Survey'!A944:E2413,5,FALSE)</f>
        <v>2</v>
      </c>
      <c r="AI174">
        <f t="shared" si="14"/>
        <v>2.25</v>
      </c>
    </row>
    <row r="175" spans="1:35" hidden="1" x14ac:dyDescent="0.4">
      <c r="A175">
        <v>1389</v>
      </c>
      <c r="B175" t="s">
        <v>26</v>
      </c>
      <c r="C175">
        <f t="shared" si="18"/>
        <v>0</v>
      </c>
      <c r="D175" t="s">
        <v>54</v>
      </c>
      <c r="E175">
        <f t="shared" si="13"/>
        <v>1</v>
      </c>
      <c r="F175" t="s">
        <v>28</v>
      </c>
      <c r="G175">
        <v>8</v>
      </c>
      <c r="H175" s="1">
        <v>86148</v>
      </c>
      <c r="I175" s="10">
        <v>0.15</v>
      </c>
      <c r="J175">
        <v>37.5</v>
      </c>
      <c r="K175" t="s">
        <v>26</v>
      </c>
      <c r="L175">
        <v>31</v>
      </c>
      <c r="M175" t="s">
        <v>29</v>
      </c>
      <c r="N175" t="s">
        <v>42</v>
      </c>
      <c r="O175" t="s">
        <v>31</v>
      </c>
      <c r="P175">
        <v>22</v>
      </c>
      <c r="Q175" t="s">
        <v>51</v>
      </c>
      <c r="R175" t="s">
        <v>33</v>
      </c>
      <c r="S175">
        <v>3</v>
      </c>
      <c r="T175">
        <v>2</v>
      </c>
      <c r="U175">
        <v>10</v>
      </c>
      <c r="V175">
        <v>3</v>
      </c>
      <c r="W175">
        <v>10</v>
      </c>
      <c r="X175">
        <v>2</v>
      </c>
      <c r="Y175">
        <v>6</v>
      </c>
      <c r="Z175">
        <v>7</v>
      </c>
      <c r="AA175" t="str">
        <f t="shared" si="15"/>
        <v>Long Tenure</v>
      </c>
      <c r="AC175">
        <f t="shared" si="16"/>
        <v>0</v>
      </c>
      <c r="AE175">
        <f>VLOOKUP(A175,'Employee Engagement Survey'!A949:B2418,2,FALSE)</f>
        <v>4</v>
      </c>
      <c r="AF175">
        <f>VLOOKUP(A175,'Employee Engagement Survey'!A949:C2418,3,FALSE)</f>
        <v>3</v>
      </c>
      <c r="AG175">
        <f>VLOOKUP(A175,'Employee Engagement Survey'!A949:D2418,4,FALSE)</f>
        <v>4</v>
      </c>
      <c r="AH175">
        <f>VLOOKUP(A175,'Employee Engagement Survey'!A949:E2418,5,FALSE)</f>
        <v>2</v>
      </c>
      <c r="AI175">
        <f t="shared" si="14"/>
        <v>3.25</v>
      </c>
    </row>
    <row r="176" spans="1:35" hidden="1" x14ac:dyDescent="0.4">
      <c r="A176">
        <v>785</v>
      </c>
      <c r="B176" t="s">
        <v>26</v>
      </c>
      <c r="C176">
        <f t="shared" si="18"/>
        <v>0</v>
      </c>
      <c r="D176" t="s">
        <v>57</v>
      </c>
      <c r="E176">
        <f t="shared" si="13"/>
        <v>0</v>
      </c>
      <c r="F176" t="s">
        <v>40</v>
      </c>
      <c r="G176">
        <v>8</v>
      </c>
      <c r="H176" s="1">
        <v>88764</v>
      </c>
      <c r="I176" s="10">
        <v>0.12</v>
      </c>
      <c r="J176">
        <v>37.5</v>
      </c>
      <c r="K176" t="s">
        <v>26</v>
      </c>
      <c r="L176">
        <v>47</v>
      </c>
      <c r="M176" t="s">
        <v>47</v>
      </c>
      <c r="N176" t="s">
        <v>30</v>
      </c>
      <c r="O176" t="s">
        <v>44</v>
      </c>
      <c r="P176">
        <v>27</v>
      </c>
      <c r="Q176" t="s">
        <v>36</v>
      </c>
      <c r="R176" t="s">
        <v>37</v>
      </c>
      <c r="S176">
        <v>3</v>
      </c>
      <c r="T176">
        <v>0</v>
      </c>
      <c r="U176">
        <v>8</v>
      </c>
      <c r="V176">
        <v>2</v>
      </c>
      <c r="W176">
        <v>5</v>
      </c>
      <c r="X176">
        <v>4</v>
      </c>
      <c r="Y176">
        <v>1</v>
      </c>
      <c r="Z176">
        <v>3</v>
      </c>
      <c r="AA176" t="str">
        <f t="shared" si="15"/>
        <v>Mid Tenure</v>
      </c>
      <c r="AC176">
        <f t="shared" si="16"/>
        <v>0</v>
      </c>
      <c r="AE176">
        <f>VLOOKUP(A176,'Employee Engagement Survey'!A966:B2435,2,FALSE)</f>
        <v>2</v>
      </c>
      <c r="AF176">
        <f>VLOOKUP(A176,'Employee Engagement Survey'!A966:C2435,3,FALSE)</f>
        <v>3</v>
      </c>
      <c r="AG176">
        <f>VLOOKUP(A176,'Employee Engagement Survey'!A966:D2435,4,FALSE)</f>
        <v>4</v>
      </c>
      <c r="AH176">
        <f>VLOOKUP(A176,'Employee Engagement Survey'!A966:E2435,5,FALSE)</f>
        <v>3</v>
      </c>
      <c r="AI176">
        <f t="shared" si="14"/>
        <v>3</v>
      </c>
    </row>
    <row r="177" spans="1:35" hidden="1" x14ac:dyDescent="0.4">
      <c r="A177">
        <v>1420</v>
      </c>
      <c r="B177" t="s">
        <v>26</v>
      </c>
      <c r="C177">
        <f t="shared" si="18"/>
        <v>0</v>
      </c>
      <c r="D177" t="s">
        <v>46</v>
      </c>
      <c r="E177">
        <f t="shared" si="13"/>
        <v>0</v>
      </c>
      <c r="F177" t="s">
        <v>28</v>
      </c>
      <c r="G177">
        <v>6</v>
      </c>
      <c r="H177" s="1">
        <v>63408</v>
      </c>
      <c r="I177" s="10">
        <v>0.2</v>
      </c>
      <c r="J177">
        <v>37.5</v>
      </c>
      <c r="K177" t="s">
        <v>34</v>
      </c>
      <c r="L177">
        <v>49</v>
      </c>
      <c r="M177" t="s">
        <v>29</v>
      </c>
      <c r="N177" t="s">
        <v>30</v>
      </c>
      <c r="O177" t="s">
        <v>44</v>
      </c>
      <c r="P177">
        <v>28</v>
      </c>
      <c r="Q177" t="s">
        <v>36</v>
      </c>
      <c r="R177" t="s">
        <v>37</v>
      </c>
      <c r="S177">
        <v>4</v>
      </c>
      <c r="T177">
        <v>0</v>
      </c>
      <c r="U177">
        <v>20</v>
      </c>
      <c r="V177">
        <v>2</v>
      </c>
      <c r="W177">
        <v>4</v>
      </c>
      <c r="X177">
        <v>3</v>
      </c>
      <c r="Y177">
        <v>1</v>
      </c>
      <c r="Z177">
        <v>3</v>
      </c>
      <c r="AA177" t="str">
        <f t="shared" si="15"/>
        <v>Mid Tenure</v>
      </c>
      <c r="AC177">
        <f t="shared" si="16"/>
        <v>0</v>
      </c>
      <c r="AE177">
        <f>VLOOKUP(A177,'Employee Engagement Survey'!A969:B2438,2,FALSE)</f>
        <v>1</v>
      </c>
      <c r="AF177">
        <f>VLOOKUP(A177,'Employee Engagement Survey'!A969:C2438,3,FALSE)</f>
        <v>1</v>
      </c>
      <c r="AG177">
        <f>VLOOKUP(A177,'Employee Engagement Survey'!A969:D2438,4,FALSE)</f>
        <v>1</v>
      </c>
      <c r="AH177">
        <f>VLOOKUP(A177,'Employee Engagement Survey'!A969:E2438,5,FALSE)</f>
        <v>3</v>
      </c>
      <c r="AI177">
        <f t="shared" si="14"/>
        <v>1.5</v>
      </c>
    </row>
    <row r="178" spans="1:35" hidden="1" x14ac:dyDescent="0.4">
      <c r="A178">
        <v>1439</v>
      </c>
      <c r="B178" t="s">
        <v>26</v>
      </c>
      <c r="C178">
        <f t="shared" si="18"/>
        <v>0</v>
      </c>
      <c r="D178" t="s">
        <v>39</v>
      </c>
      <c r="E178">
        <f t="shared" si="13"/>
        <v>0</v>
      </c>
      <c r="F178" t="s">
        <v>40</v>
      </c>
      <c r="G178">
        <v>6</v>
      </c>
      <c r="H178" s="1">
        <v>64800</v>
      </c>
      <c r="I178" s="10">
        <v>0.12</v>
      </c>
      <c r="J178">
        <v>37.5</v>
      </c>
      <c r="K178" t="s">
        <v>34</v>
      </c>
      <c r="L178">
        <v>25</v>
      </c>
      <c r="M178" t="s">
        <v>29</v>
      </c>
      <c r="N178" t="s">
        <v>42</v>
      </c>
      <c r="O178" t="s">
        <v>31</v>
      </c>
      <c r="P178">
        <v>9</v>
      </c>
      <c r="Q178" t="s">
        <v>36</v>
      </c>
      <c r="R178" t="s">
        <v>37</v>
      </c>
      <c r="S178">
        <v>3</v>
      </c>
      <c r="T178">
        <v>0</v>
      </c>
      <c r="U178">
        <v>6</v>
      </c>
      <c r="V178">
        <v>2</v>
      </c>
      <c r="W178">
        <v>3</v>
      </c>
      <c r="X178">
        <v>2</v>
      </c>
      <c r="Y178">
        <v>2</v>
      </c>
      <c r="Z178">
        <v>2</v>
      </c>
      <c r="AA178" t="str">
        <f t="shared" si="15"/>
        <v>Mid Tenure</v>
      </c>
      <c r="AC178">
        <f t="shared" si="16"/>
        <v>0</v>
      </c>
      <c r="AE178">
        <f>VLOOKUP(A178,'Employee Engagement Survey'!A983:B2452,2,FALSE)</f>
        <v>1</v>
      </c>
      <c r="AF178">
        <f>VLOOKUP(A178,'Employee Engagement Survey'!A983:C2452,3,FALSE)</f>
        <v>1</v>
      </c>
      <c r="AG178">
        <f>VLOOKUP(A178,'Employee Engagement Survey'!A983:D2452,4,FALSE)</f>
        <v>1</v>
      </c>
      <c r="AH178">
        <f>VLOOKUP(A178,'Employee Engagement Survey'!A983:E2452,5,FALSE)</f>
        <v>3</v>
      </c>
      <c r="AI178">
        <f t="shared" si="14"/>
        <v>1.5</v>
      </c>
    </row>
    <row r="179" spans="1:35" hidden="1" x14ac:dyDescent="0.4">
      <c r="A179">
        <v>1457</v>
      </c>
      <c r="B179" t="s">
        <v>26</v>
      </c>
      <c r="C179">
        <f t="shared" si="18"/>
        <v>0</v>
      </c>
      <c r="D179" t="s">
        <v>57</v>
      </c>
      <c r="E179">
        <f t="shared" si="13"/>
        <v>0</v>
      </c>
      <c r="F179" t="s">
        <v>40</v>
      </c>
      <c r="G179">
        <v>9</v>
      </c>
      <c r="H179" s="1">
        <v>133152</v>
      </c>
      <c r="I179" s="10">
        <v>0.11</v>
      </c>
      <c r="J179">
        <v>37.5</v>
      </c>
      <c r="K179" t="s">
        <v>34</v>
      </c>
      <c r="L179">
        <v>46</v>
      </c>
      <c r="M179" t="s">
        <v>29</v>
      </c>
      <c r="N179" t="s">
        <v>48</v>
      </c>
      <c r="O179" t="s">
        <v>31</v>
      </c>
      <c r="P179">
        <v>9</v>
      </c>
      <c r="Q179" t="s">
        <v>43</v>
      </c>
      <c r="R179" t="s">
        <v>56</v>
      </c>
      <c r="S179">
        <v>3</v>
      </c>
      <c r="T179">
        <v>1</v>
      </c>
      <c r="U179">
        <v>28</v>
      </c>
      <c r="V179">
        <v>1</v>
      </c>
      <c r="W179">
        <v>7</v>
      </c>
      <c r="X179">
        <v>7</v>
      </c>
      <c r="Y179">
        <v>4</v>
      </c>
      <c r="Z179">
        <v>3</v>
      </c>
      <c r="AA179" t="str">
        <f t="shared" si="15"/>
        <v>Mid Tenure</v>
      </c>
      <c r="AC179">
        <f t="shared" si="16"/>
        <v>0</v>
      </c>
      <c r="AE179">
        <f>VLOOKUP(A179,'Employee Engagement Survey'!A993:B2462,2,FALSE)</f>
        <v>1</v>
      </c>
      <c r="AF179">
        <f>VLOOKUP(A179,'Employee Engagement Survey'!A993:C2462,3,FALSE)</f>
        <v>4</v>
      </c>
      <c r="AG179">
        <f>VLOOKUP(A179,'Employee Engagement Survey'!A993:D2462,4,FALSE)</f>
        <v>1</v>
      </c>
      <c r="AH179">
        <f>VLOOKUP(A179,'Employee Engagement Survey'!A993:E2462,5,FALSE)</f>
        <v>4</v>
      </c>
      <c r="AI179">
        <f t="shared" si="14"/>
        <v>2.5</v>
      </c>
    </row>
    <row r="180" spans="1:35" hidden="1" x14ac:dyDescent="0.4">
      <c r="A180">
        <v>1464</v>
      </c>
      <c r="B180" t="s">
        <v>26</v>
      </c>
      <c r="C180">
        <f t="shared" si="18"/>
        <v>0</v>
      </c>
      <c r="D180" t="s">
        <v>46</v>
      </c>
      <c r="E180">
        <f t="shared" si="13"/>
        <v>0</v>
      </c>
      <c r="F180" t="s">
        <v>28</v>
      </c>
      <c r="G180">
        <v>6</v>
      </c>
      <c r="H180" s="1">
        <v>68664</v>
      </c>
      <c r="I180" s="10">
        <v>0.13</v>
      </c>
      <c r="J180">
        <v>37.5</v>
      </c>
      <c r="K180" t="s">
        <v>26</v>
      </c>
      <c r="L180">
        <v>31</v>
      </c>
      <c r="M180" t="s">
        <v>29</v>
      </c>
      <c r="N180" t="s">
        <v>42</v>
      </c>
      <c r="O180" t="s">
        <v>44</v>
      </c>
      <c r="P180">
        <v>2</v>
      </c>
      <c r="Q180" t="s">
        <v>43</v>
      </c>
      <c r="R180" t="s">
        <v>37</v>
      </c>
      <c r="S180">
        <v>3</v>
      </c>
      <c r="T180">
        <v>1</v>
      </c>
      <c r="U180">
        <v>7</v>
      </c>
      <c r="V180">
        <v>2</v>
      </c>
      <c r="W180">
        <v>2</v>
      </c>
      <c r="X180">
        <v>2</v>
      </c>
      <c r="Y180">
        <v>2</v>
      </c>
      <c r="Z180">
        <v>2</v>
      </c>
      <c r="AA180" t="str">
        <f t="shared" si="15"/>
        <v>Early Tenure</v>
      </c>
      <c r="AC180">
        <f t="shared" si="16"/>
        <v>0</v>
      </c>
      <c r="AE180">
        <f>VLOOKUP(A180,'Employee Engagement Survey'!A995:B2464,2,FALSE)</f>
        <v>2</v>
      </c>
      <c r="AF180">
        <f>VLOOKUP(A180,'Employee Engagement Survey'!A995:C2464,3,FALSE)</f>
        <v>4</v>
      </c>
      <c r="AG180">
        <f>VLOOKUP(A180,'Employee Engagement Survey'!A995:D2464,4,FALSE)</f>
        <v>3</v>
      </c>
      <c r="AH180">
        <f>VLOOKUP(A180,'Employee Engagement Survey'!A995:E2464,5,FALSE)</f>
        <v>1</v>
      </c>
      <c r="AI180">
        <f t="shared" si="14"/>
        <v>2.5</v>
      </c>
    </row>
    <row r="181" spans="1:35" hidden="1" x14ac:dyDescent="0.4">
      <c r="A181">
        <v>299</v>
      </c>
      <c r="B181" t="s">
        <v>26</v>
      </c>
      <c r="C181">
        <f t="shared" si="18"/>
        <v>0</v>
      </c>
      <c r="D181" t="s">
        <v>57</v>
      </c>
      <c r="E181">
        <f t="shared" si="13"/>
        <v>0</v>
      </c>
      <c r="F181" t="s">
        <v>40</v>
      </c>
      <c r="G181">
        <v>8</v>
      </c>
      <c r="H181" s="1">
        <v>92352</v>
      </c>
      <c r="I181" s="10">
        <v>0.15</v>
      </c>
      <c r="J181">
        <v>37.5</v>
      </c>
      <c r="K181" t="s">
        <v>34</v>
      </c>
      <c r="L181">
        <v>30</v>
      </c>
      <c r="M181" t="s">
        <v>47</v>
      </c>
      <c r="N181" t="s">
        <v>30</v>
      </c>
      <c r="O181" t="s">
        <v>44</v>
      </c>
      <c r="P181">
        <v>26</v>
      </c>
      <c r="Q181" t="s">
        <v>51</v>
      </c>
      <c r="R181" t="s">
        <v>56</v>
      </c>
      <c r="S181">
        <v>3</v>
      </c>
      <c r="T181">
        <v>0</v>
      </c>
      <c r="U181">
        <v>9</v>
      </c>
      <c r="V181">
        <v>5</v>
      </c>
      <c r="W181">
        <v>6</v>
      </c>
      <c r="X181">
        <v>3</v>
      </c>
      <c r="Y181">
        <v>0</v>
      </c>
      <c r="Z181">
        <v>1</v>
      </c>
      <c r="AA181" t="str">
        <f t="shared" si="15"/>
        <v>Mid Tenure</v>
      </c>
      <c r="AC181">
        <f t="shared" si="16"/>
        <v>0</v>
      </c>
      <c r="AE181">
        <f>VLOOKUP(A181,'Employee Engagement Survey'!A1005:B2474,2,FALSE)</f>
        <v>3</v>
      </c>
      <c r="AF181">
        <f>VLOOKUP(A181,'Employee Engagement Survey'!A1005:C2474,3,FALSE)</f>
        <v>1</v>
      </c>
      <c r="AG181">
        <f>VLOOKUP(A181,'Employee Engagement Survey'!A1005:D2474,4,FALSE)</f>
        <v>3</v>
      </c>
      <c r="AH181">
        <f>VLOOKUP(A181,'Employee Engagement Survey'!A1005:E2474,5,FALSE)</f>
        <v>2</v>
      </c>
      <c r="AI181">
        <f t="shared" si="14"/>
        <v>2.25</v>
      </c>
    </row>
    <row r="182" spans="1:35" hidden="1" x14ac:dyDescent="0.4">
      <c r="A182">
        <v>1486</v>
      </c>
      <c r="B182" t="s">
        <v>26</v>
      </c>
      <c r="C182">
        <f t="shared" si="18"/>
        <v>0</v>
      </c>
      <c r="D182" t="s">
        <v>39</v>
      </c>
      <c r="E182">
        <f t="shared" si="13"/>
        <v>0</v>
      </c>
      <c r="F182" t="s">
        <v>40</v>
      </c>
      <c r="G182">
        <v>5</v>
      </c>
      <c r="H182" s="1">
        <v>58908</v>
      </c>
      <c r="I182" s="10">
        <v>0.15</v>
      </c>
      <c r="J182">
        <v>37.5</v>
      </c>
      <c r="K182" t="s">
        <v>34</v>
      </c>
      <c r="L182">
        <v>28</v>
      </c>
      <c r="M182" t="s">
        <v>29</v>
      </c>
      <c r="N182" t="s">
        <v>42</v>
      </c>
      <c r="O182" t="s">
        <v>44</v>
      </c>
      <c r="P182">
        <v>1</v>
      </c>
      <c r="Q182" t="s">
        <v>43</v>
      </c>
      <c r="R182" t="s">
        <v>45</v>
      </c>
      <c r="S182">
        <v>3</v>
      </c>
      <c r="T182">
        <v>1</v>
      </c>
      <c r="U182">
        <v>5</v>
      </c>
      <c r="V182">
        <v>3</v>
      </c>
      <c r="W182">
        <v>3</v>
      </c>
      <c r="X182">
        <v>2</v>
      </c>
      <c r="Y182">
        <v>1</v>
      </c>
      <c r="Z182">
        <v>2</v>
      </c>
      <c r="AA182" t="str">
        <f t="shared" si="15"/>
        <v>Mid Tenure</v>
      </c>
      <c r="AC182">
        <f t="shared" si="16"/>
        <v>0</v>
      </c>
      <c r="AE182">
        <f>VLOOKUP(A182,'Employee Engagement Survey'!A1024:B2493,2,FALSE)</f>
        <v>1</v>
      </c>
      <c r="AF182">
        <f>VLOOKUP(A182,'Employee Engagement Survey'!A1024:C2493,3,FALSE)</f>
        <v>3</v>
      </c>
      <c r="AG182">
        <f>VLOOKUP(A182,'Employee Engagement Survey'!A1024:D2493,4,FALSE)</f>
        <v>4</v>
      </c>
      <c r="AH182">
        <f>VLOOKUP(A182,'Employee Engagement Survey'!A1024:E2493,5,FALSE)</f>
        <v>4</v>
      </c>
      <c r="AI182">
        <f t="shared" si="14"/>
        <v>3</v>
      </c>
    </row>
    <row r="183" spans="1:35" hidden="1" x14ac:dyDescent="0.4">
      <c r="A183">
        <v>1494</v>
      </c>
      <c r="B183" t="s">
        <v>26</v>
      </c>
      <c r="C183">
        <f t="shared" si="18"/>
        <v>0</v>
      </c>
      <c r="D183" t="s">
        <v>46</v>
      </c>
      <c r="E183">
        <f t="shared" si="13"/>
        <v>0</v>
      </c>
      <c r="F183" t="s">
        <v>28</v>
      </c>
      <c r="G183">
        <v>6</v>
      </c>
      <c r="H183" s="1">
        <v>62064</v>
      </c>
      <c r="I183" s="10">
        <v>0.11</v>
      </c>
      <c r="J183">
        <v>37.5</v>
      </c>
      <c r="K183" t="s">
        <v>26</v>
      </c>
      <c r="L183">
        <v>24</v>
      </c>
      <c r="M183" t="s">
        <v>29</v>
      </c>
      <c r="N183" t="s">
        <v>30</v>
      </c>
      <c r="O183" t="s">
        <v>44</v>
      </c>
      <c r="P183">
        <v>9</v>
      </c>
      <c r="Q183" t="s">
        <v>43</v>
      </c>
      <c r="R183" t="s">
        <v>33</v>
      </c>
      <c r="S183">
        <v>3</v>
      </c>
      <c r="T183">
        <v>0</v>
      </c>
      <c r="U183">
        <v>4</v>
      </c>
      <c r="V183">
        <v>2</v>
      </c>
      <c r="W183">
        <v>0</v>
      </c>
      <c r="X183">
        <v>0</v>
      </c>
      <c r="Y183">
        <v>0</v>
      </c>
      <c r="Z183">
        <v>0</v>
      </c>
      <c r="AA183" t="str">
        <f t="shared" si="15"/>
        <v>Early Tenure</v>
      </c>
      <c r="AC183">
        <f t="shared" si="16"/>
        <v>0</v>
      </c>
      <c r="AE183">
        <f>VLOOKUP(A183,'Employee Engagement Survey'!A1028:B2497,2,FALSE)</f>
        <v>2</v>
      </c>
      <c r="AF183">
        <f>VLOOKUP(A183,'Employee Engagement Survey'!A1028:C2497,3,FALSE)</f>
        <v>1</v>
      </c>
      <c r="AG183">
        <f>VLOOKUP(A183,'Employee Engagement Survey'!A1028:D2497,4,FALSE)</f>
        <v>3</v>
      </c>
      <c r="AH183">
        <f>VLOOKUP(A183,'Employee Engagement Survey'!A1028:E2497,5,FALSE)</f>
        <v>2</v>
      </c>
      <c r="AI183">
        <f t="shared" si="14"/>
        <v>2</v>
      </c>
    </row>
    <row r="184" spans="1:35" hidden="1" x14ac:dyDescent="0.4">
      <c r="A184">
        <v>1504</v>
      </c>
      <c r="B184" t="s">
        <v>26</v>
      </c>
      <c r="C184">
        <f t="shared" si="18"/>
        <v>0</v>
      </c>
      <c r="D184" t="s">
        <v>46</v>
      </c>
      <c r="E184">
        <f t="shared" si="13"/>
        <v>0</v>
      </c>
      <c r="F184" t="s">
        <v>28</v>
      </c>
      <c r="G184">
        <v>4</v>
      </c>
      <c r="H184" s="1">
        <v>54732</v>
      </c>
      <c r="I184" s="10">
        <v>0.11</v>
      </c>
      <c r="J184">
        <v>37.5</v>
      </c>
      <c r="K184" t="s">
        <v>34</v>
      </c>
      <c r="L184">
        <v>28</v>
      </c>
      <c r="M184" t="s">
        <v>29</v>
      </c>
      <c r="N184" t="s">
        <v>30</v>
      </c>
      <c r="O184" t="s">
        <v>44</v>
      </c>
      <c r="P184">
        <v>2</v>
      </c>
      <c r="Q184" t="s">
        <v>36</v>
      </c>
      <c r="R184" t="s">
        <v>33</v>
      </c>
      <c r="S184">
        <v>3</v>
      </c>
      <c r="T184">
        <v>0</v>
      </c>
      <c r="U184">
        <v>8</v>
      </c>
      <c r="V184">
        <v>2</v>
      </c>
      <c r="W184">
        <v>0</v>
      </c>
      <c r="X184">
        <v>0</v>
      </c>
      <c r="Y184">
        <v>0</v>
      </c>
      <c r="Z184">
        <v>0</v>
      </c>
      <c r="AA184" t="str">
        <f t="shared" si="15"/>
        <v>Early Tenure</v>
      </c>
      <c r="AC184">
        <f t="shared" si="16"/>
        <v>0</v>
      </c>
      <c r="AE184">
        <f>VLOOKUP(A184,'Employee Engagement Survey'!A1038:B2507,2,FALSE)</f>
        <v>3</v>
      </c>
      <c r="AF184">
        <f>VLOOKUP(A184,'Employee Engagement Survey'!A1038:C2507,3,FALSE)</f>
        <v>1</v>
      </c>
      <c r="AG184">
        <f>VLOOKUP(A184,'Employee Engagement Survey'!A1038:D2507,4,FALSE)</f>
        <v>3</v>
      </c>
      <c r="AH184">
        <f>VLOOKUP(A184,'Employee Engagement Survey'!A1038:E2507,5,FALSE)</f>
        <v>2</v>
      </c>
      <c r="AI184">
        <f t="shared" si="14"/>
        <v>2.25</v>
      </c>
    </row>
    <row r="185" spans="1:35" hidden="1" x14ac:dyDescent="0.4">
      <c r="A185">
        <v>1522</v>
      </c>
      <c r="B185" t="s">
        <v>26</v>
      </c>
      <c r="C185">
        <f t="shared" si="18"/>
        <v>0</v>
      </c>
      <c r="D185" t="s">
        <v>27</v>
      </c>
      <c r="E185">
        <f t="shared" si="13"/>
        <v>0</v>
      </c>
      <c r="F185" t="s">
        <v>28</v>
      </c>
      <c r="G185">
        <v>4</v>
      </c>
      <c r="H185" s="1">
        <v>52344</v>
      </c>
      <c r="I185" s="10">
        <v>0.13</v>
      </c>
      <c r="J185">
        <v>37.5</v>
      </c>
      <c r="K185" t="s">
        <v>34</v>
      </c>
      <c r="L185">
        <v>29</v>
      </c>
      <c r="M185" t="s">
        <v>29</v>
      </c>
      <c r="N185" t="s">
        <v>30</v>
      </c>
      <c r="O185" t="s">
        <v>31</v>
      </c>
      <c r="P185">
        <v>1</v>
      </c>
      <c r="Q185" t="s">
        <v>51</v>
      </c>
      <c r="R185" t="s">
        <v>45</v>
      </c>
      <c r="S185">
        <v>3</v>
      </c>
      <c r="T185">
        <v>0</v>
      </c>
      <c r="U185">
        <v>11</v>
      </c>
      <c r="V185">
        <v>2</v>
      </c>
      <c r="W185">
        <v>9</v>
      </c>
      <c r="X185">
        <v>7</v>
      </c>
      <c r="Y185">
        <v>0</v>
      </c>
      <c r="Z185">
        <v>7</v>
      </c>
      <c r="AA185" t="str">
        <f t="shared" si="15"/>
        <v>Mid Tenure</v>
      </c>
      <c r="AC185">
        <f t="shared" si="16"/>
        <v>0</v>
      </c>
      <c r="AE185">
        <f>VLOOKUP(A185,'Employee Engagement Survey'!A1046:B2515,2,FALSE)</f>
        <v>1</v>
      </c>
      <c r="AF185">
        <f>VLOOKUP(A185,'Employee Engagement Survey'!A1046:C2515,3,FALSE)</f>
        <v>1</v>
      </c>
      <c r="AG185">
        <f>VLOOKUP(A185,'Employee Engagement Survey'!A1046:D2515,4,FALSE)</f>
        <v>3</v>
      </c>
      <c r="AH185">
        <f>VLOOKUP(A185,'Employee Engagement Survey'!A1046:E2515,5,FALSE)</f>
        <v>1</v>
      </c>
      <c r="AI185">
        <f t="shared" si="14"/>
        <v>1.5</v>
      </c>
    </row>
    <row r="186" spans="1:35" hidden="1" x14ac:dyDescent="0.4">
      <c r="A186">
        <v>1869</v>
      </c>
      <c r="B186" t="s">
        <v>26</v>
      </c>
      <c r="C186">
        <f t="shared" si="18"/>
        <v>0</v>
      </c>
      <c r="D186" t="s">
        <v>57</v>
      </c>
      <c r="E186">
        <f t="shared" si="13"/>
        <v>0</v>
      </c>
      <c r="F186" t="s">
        <v>40</v>
      </c>
      <c r="G186">
        <v>8</v>
      </c>
      <c r="H186" s="1">
        <v>99768</v>
      </c>
      <c r="I186" s="10">
        <v>0.21</v>
      </c>
      <c r="J186">
        <v>37.5</v>
      </c>
      <c r="K186" t="s">
        <v>34</v>
      </c>
      <c r="L186">
        <v>46</v>
      </c>
      <c r="M186" t="s">
        <v>47</v>
      </c>
      <c r="N186" t="s">
        <v>42</v>
      </c>
      <c r="O186" t="s">
        <v>31</v>
      </c>
      <c r="P186">
        <v>10</v>
      </c>
      <c r="Q186" t="s">
        <v>43</v>
      </c>
      <c r="R186" t="s">
        <v>37</v>
      </c>
      <c r="S186">
        <v>4</v>
      </c>
      <c r="T186">
        <v>3</v>
      </c>
      <c r="U186">
        <v>14</v>
      </c>
      <c r="V186">
        <v>2</v>
      </c>
      <c r="W186">
        <v>8</v>
      </c>
      <c r="X186">
        <v>7</v>
      </c>
      <c r="Y186">
        <v>0</v>
      </c>
      <c r="Z186">
        <v>7</v>
      </c>
      <c r="AA186" t="str">
        <f t="shared" si="15"/>
        <v>Mid Tenure</v>
      </c>
      <c r="AC186">
        <f t="shared" si="16"/>
        <v>0</v>
      </c>
      <c r="AE186">
        <f>VLOOKUP(A186,'Employee Engagement Survey'!A1048:B2517,2,FALSE)</f>
        <v>3</v>
      </c>
      <c r="AF186">
        <f>VLOOKUP(A186,'Employee Engagement Survey'!A1048:C2517,3,FALSE)</f>
        <v>2</v>
      </c>
      <c r="AG186">
        <f>VLOOKUP(A186,'Employee Engagement Survey'!A1048:D2517,4,FALSE)</f>
        <v>3</v>
      </c>
      <c r="AH186">
        <f>VLOOKUP(A186,'Employee Engagement Survey'!A1048:E2517,5,FALSE)</f>
        <v>3</v>
      </c>
      <c r="AI186">
        <f t="shared" si="14"/>
        <v>2.75</v>
      </c>
    </row>
    <row r="187" spans="1:35" hidden="1" x14ac:dyDescent="0.4">
      <c r="A187">
        <v>1165</v>
      </c>
      <c r="B187" t="s">
        <v>26</v>
      </c>
      <c r="C187">
        <f t="shared" si="18"/>
        <v>0</v>
      </c>
      <c r="D187" t="s">
        <v>57</v>
      </c>
      <c r="E187">
        <f t="shared" si="13"/>
        <v>0</v>
      </c>
      <c r="F187" t="s">
        <v>40</v>
      </c>
      <c r="G187">
        <v>9</v>
      </c>
      <c r="H187" s="1">
        <v>100032</v>
      </c>
      <c r="I187" s="10">
        <v>0.13</v>
      </c>
      <c r="J187">
        <v>37.5</v>
      </c>
      <c r="K187" t="s">
        <v>34</v>
      </c>
      <c r="L187">
        <v>29</v>
      </c>
      <c r="M187" t="s">
        <v>47</v>
      </c>
      <c r="N187" t="s">
        <v>42</v>
      </c>
      <c r="O187" t="s">
        <v>31</v>
      </c>
      <c r="P187">
        <v>23</v>
      </c>
      <c r="Q187" t="s">
        <v>32</v>
      </c>
      <c r="R187" t="s">
        <v>37</v>
      </c>
      <c r="S187">
        <v>3</v>
      </c>
      <c r="T187">
        <v>1</v>
      </c>
      <c r="U187">
        <v>11</v>
      </c>
      <c r="V187">
        <v>3</v>
      </c>
      <c r="W187">
        <v>11</v>
      </c>
      <c r="X187">
        <v>8</v>
      </c>
      <c r="Y187">
        <v>3</v>
      </c>
      <c r="Z187">
        <v>10</v>
      </c>
      <c r="AA187" t="str">
        <f t="shared" si="15"/>
        <v>Long Tenure</v>
      </c>
      <c r="AC187">
        <f t="shared" si="16"/>
        <v>0</v>
      </c>
      <c r="AE187">
        <f>VLOOKUP(A187,'Employee Engagement Survey'!A1049:B2518,2,FALSE)</f>
        <v>4</v>
      </c>
      <c r="AF187">
        <f>VLOOKUP(A187,'Employee Engagement Survey'!A1049:C2518,3,FALSE)</f>
        <v>1</v>
      </c>
      <c r="AG187">
        <f>VLOOKUP(A187,'Employee Engagement Survey'!A1049:D2518,4,FALSE)</f>
        <v>1</v>
      </c>
      <c r="AH187">
        <f>VLOOKUP(A187,'Employee Engagement Survey'!A1049:E2518,5,FALSE)</f>
        <v>1</v>
      </c>
      <c r="AI187">
        <f t="shared" si="14"/>
        <v>1.75</v>
      </c>
    </row>
    <row r="188" spans="1:35" hidden="1" x14ac:dyDescent="0.4">
      <c r="A188">
        <v>1534</v>
      </c>
      <c r="B188" t="s">
        <v>26</v>
      </c>
      <c r="C188">
        <f t="shared" si="18"/>
        <v>0</v>
      </c>
      <c r="D188" t="s">
        <v>46</v>
      </c>
      <c r="E188">
        <f t="shared" si="13"/>
        <v>0</v>
      </c>
      <c r="F188" t="s">
        <v>28</v>
      </c>
      <c r="G188">
        <v>3</v>
      </c>
      <c r="H188" s="1">
        <v>48216</v>
      </c>
      <c r="I188" s="10">
        <v>0.14000000000000001</v>
      </c>
      <c r="J188">
        <v>37.5</v>
      </c>
      <c r="K188" t="s">
        <v>34</v>
      </c>
      <c r="L188">
        <v>40</v>
      </c>
      <c r="M188" t="s">
        <v>29</v>
      </c>
      <c r="N188" t="s">
        <v>30</v>
      </c>
      <c r="O188" t="s">
        <v>31</v>
      </c>
      <c r="P188">
        <v>9</v>
      </c>
      <c r="Q188" t="s">
        <v>51</v>
      </c>
      <c r="R188" t="s">
        <v>37</v>
      </c>
      <c r="S188">
        <v>3</v>
      </c>
      <c r="T188">
        <v>0</v>
      </c>
      <c r="U188">
        <v>15</v>
      </c>
      <c r="V188">
        <v>3</v>
      </c>
      <c r="W188">
        <v>5</v>
      </c>
      <c r="X188">
        <v>4</v>
      </c>
      <c r="Y188">
        <v>1</v>
      </c>
      <c r="Z188">
        <v>0</v>
      </c>
      <c r="AA188" t="str">
        <f t="shared" si="15"/>
        <v>Mid Tenure</v>
      </c>
      <c r="AC188">
        <f t="shared" si="16"/>
        <v>0</v>
      </c>
      <c r="AE188">
        <f>VLOOKUP(A188,'Employee Engagement Survey'!A1051:B2520,2,FALSE)</f>
        <v>4</v>
      </c>
      <c r="AF188">
        <f>VLOOKUP(A188,'Employee Engagement Survey'!A1051:C2520,3,FALSE)</f>
        <v>1</v>
      </c>
      <c r="AG188">
        <f>VLOOKUP(A188,'Employee Engagement Survey'!A1051:D2520,4,FALSE)</f>
        <v>2</v>
      </c>
      <c r="AH188">
        <f>VLOOKUP(A188,'Employee Engagement Survey'!A1051:E2520,5,FALSE)</f>
        <v>1</v>
      </c>
      <c r="AI188">
        <f t="shared" si="14"/>
        <v>2</v>
      </c>
    </row>
    <row r="189" spans="1:35" hidden="1" x14ac:dyDescent="0.4">
      <c r="A189">
        <v>1459</v>
      </c>
      <c r="B189" t="s">
        <v>26</v>
      </c>
      <c r="C189">
        <f t="shared" si="18"/>
        <v>0</v>
      </c>
      <c r="D189" t="s">
        <v>54</v>
      </c>
      <c r="E189">
        <f t="shared" si="13"/>
        <v>1</v>
      </c>
      <c r="F189" t="s">
        <v>28</v>
      </c>
      <c r="G189">
        <v>9</v>
      </c>
      <c r="H189" s="1">
        <v>101352</v>
      </c>
      <c r="I189" s="10">
        <v>0.11</v>
      </c>
      <c r="J189">
        <v>37.5</v>
      </c>
      <c r="K189" t="s">
        <v>34</v>
      </c>
      <c r="L189">
        <v>31</v>
      </c>
      <c r="M189" t="s">
        <v>47</v>
      </c>
      <c r="N189" t="s">
        <v>30</v>
      </c>
      <c r="O189" t="s">
        <v>44</v>
      </c>
      <c r="P189">
        <v>1</v>
      </c>
      <c r="Q189" t="s">
        <v>58</v>
      </c>
      <c r="R189" t="s">
        <v>37</v>
      </c>
      <c r="S189">
        <v>3</v>
      </c>
      <c r="T189">
        <v>0</v>
      </c>
      <c r="U189">
        <v>10</v>
      </c>
      <c r="V189">
        <v>2</v>
      </c>
      <c r="W189">
        <v>10</v>
      </c>
      <c r="X189">
        <v>8</v>
      </c>
      <c r="Y189">
        <v>4</v>
      </c>
      <c r="Z189">
        <v>7</v>
      </c>
      <c r="AA189" t="str">
        <f t="shared" si="15"/>
        <v>Long Tenure</v>
      </c>
      <c r="AC189">
        <f t="shared" si="16"/>
        <v>0</v>
      </c>
      <c r="AE189">
        <f>VLOOKUP(A189,'Employee Engagement Survey'!A1057:B2526,2,FALSE)</f>
        <v>3</v>
      </c>
      <c r="AF189">
        <f>VLOOKUP(A189,'Employee Engagement Survey'!A1057:C2526,3,FALSE)</f>
        <v>2</v>
      </c>
      <c r="AG189">
        <f>VLOOKUP(A189,'Employee Engagement Survey'!A1057:D2526,4,FALSE)</f>
        <v>1</v>
      </c>
      <c r="AH189">
        <f>VLOOKUP(A189,'Employee Engagement Survey'!A1057:E2526,5,FALSE)</f>
        <v>3</v>
      </c>
      <c r="AI189">
        <f t="shared" si="14"/>
        <v>2.25</v>
      </c>
    </row>
    <row r="190" spans="1:35" hidden="1" x14ac:dyDescent="0.4">
      <c r="A190">
        <v>1421</v>
      </c>
      <c r="B190" t="s">
        <v>26</v>
      </c>
      <c r="C190">
        <f t="shared" si="18"/>
        <v>0</v>
      </c>
      <c r="D190" t="s">
        <v>55</v>
      </c>
      <c r="E190">
        <f t="shared" si="13"/>
        <v>0</v>
      </c>
      <c r="F190" t="s">
        <v>28</v>
      </c>
      <c r="G190">
        <v>9</v>
      </c>
      <c r="H190" s="1">
        <v>102636</v>
      </c>
      <c r="I190" s="10">
        <v>0.12</v>
      </c>
      <c r="J190">
        <v>37.5</v>
      </c>
      <c r="K190" t="s">
        <v>26</v>
      </c>
      <c r="L190">
        <v>29</v>
      </c>
      <c r="M190" t="s">
        <v>47</v>
      </c>
      <c r="N190" t="s">
        <v>30</v>
      </c>
      <c r="O190" t="s">
        <v>44</v>
      </c>
      <c r="P190">
        <v>14</v>
      </c>
      <c r="Q190" t="s">
        <v>32</v>
      </c>
      <c r="R190" t="s">
        <v>53</v>
      </c>
      <c r="S190">
        <v>3</v>
      </c>
      <c r="T190">
        <v>0</v>
      </c>
      <c r="U190">
        <v>9</v>
      </c>
      <c r="V190">
        <v>1</v>
      </c>
      <c r="W190">
        <v>8</v>
      </c>
      <c r="X190">
        <v>7</v>
      </c>
      <c r="Y190">
        <v>7</v>
      </c>
      <c r="Z190">
        <v>7</v>
      </c>
      <c r="AA190" t="str">
        <f t="shared" si="15"/>
        <v>Mid Tenure</v>
      </c>
      <c r="AC190">
        <f t="shared" si="16"/>
        <v>0</v>
      </c>
      <c r="AE190">
        <f>VLOOKUP(A190,'Employee Engagement Survey'!A1064:B2533,2,FALSE)</f>
        <v>3</v>
      </c>
      <c r="AF190">
        <f>VLOOKUP(A190,'Employee Engagement Survey'!A1064:C2533,3,FALSE)</f>
        <v>4</v>
      </c>
      <c r="AG190">
        <f>VLOOKUP(A190,'Employee Engagement Survey'!A1064:D2533,4,FALSE)</f>
        <v>1</v>
      </c>
      <c r="AH190">
        <f>VLOOKUP(A190,'Employee Engagement Survey'!A1064:E2533,5,FALSE)</f>
        <v>3</v>
      </c>
      <c r="AI190">
        <f t="shared" si="14"/>
        <v>2.75</v>
      </c>
    </row>
    <row r="191" spans="1:35" hidden="1" x14ac:dyDescent="0.4">
      <c r="A191">
        <v>283</v>
      </c>
      <c r="B191" t="s">
        <v>26</v>
      </c>
      <c r="C191">
        <f t="shared" si="18"/>
        <v>0</v>
      </c>
      <c r="D191" t="s">
        <v>57</v>
      </c>
      <c r="E191">
        <f t="shared" si="13"/>
        <v>0</v>
      </c>
      <c r="F191" t="s">
        <v>40</v>
      </c>
      <c r="G191">
        <v>9</v>
      </c>
      <c r="H191" s="1">
        <v>103668</v>
      </c>
      <c r="I191" s="10">
        <v>0.22</v>
      </c>
      <c r="J191">
        <v>37.5</v>
      </c>
      <c r="K191" t="s">
        <v>34</v>
      </c>
      <c r="L191">
        <v>29</v>
      </c>
      <c r="M191" t="s">
        <v>47</v>
      </c>
      <c r="N191" t="s">
        <v>42</v>
      </c>
      <c r="O191" t="s">
        <v>31</v>
      </c>
      <c r="P191">
        <v>27</v>
      </c>
      <c r="Q191" t="s">
        <v>43</v>
      </c>
      <c r="R191" t="s">
        <v>56</v>
      </c>
      <c r="S191">
        <v>4</v>
      </c>
      <c r="T191">
        <v>3</v>
      </c>
      <c r="U191">
        <v>10</v>
      </c>
      <c r="V191">
        <v>3</v>
      </c>
      <c r="W191">
        <v>10</v>
      </c>
      <c r="X191">
        <v>4</v>
      </c>
      <c r="Y191">
        <v>1</v>
      </c>
      <c r="Z191">
        <v>9</v>
      </c>
      <c r="AA191" t="str">
        <f t="shared" si="15"/>
        <v>Long Tenure</v>
      </c>
      <c r="AC191">
        <f t="shared" si="16"/>
        <v>0</v>
      </c>
      <c r="AE191">
        <f>VLOOKUP(A191,'Employee Engagement Survey'!A1070:B2539,2,FALSE)</f>
        <v>2</v>
      </c>
      <c r="AF191">
        <f>VLOOKUP(A191,'Employee Engagement Survey'!A1070:C2539,3,FALSE)</f>
        <v>4</v>
      </c>
      <c r="AG191">
        <f>VLOOKUP(A191,'Employee Engagement Survey'!A1070:D2539,4,FALSE)</f>
        <v>4</v>
      </c>
      <c r="AH191">
        <f>VLOOKUP(A191,'Employee Engagement Survey'!A1070:E2539,5,FALSE)</f>
        <v>2</v>
      </c>
      <c r="AI191">
        <f t="shared" si="14"/>
        <v>3</v>
      </c>
    </row>
    <row r="192" spans="1:35" hidden="1" x14ac:dyDescent="0.4">
      <c r="A192">
        <v>840</v>
      </c>
      <c r="B192" t="s">
        <v>26</v>
      </c>
      <c r="C192">
        <f t="shared" si="18"/>
        <v>0</v>
      </c>
      <c r="D192" t="s">
        <v>57</v>
      </c>
      <c r="E192">
        <f t="shared" si="13"/>
        <v>0</v>
      </c>
      <c r="F192" t="s">
        <v>40</v>
      </c>
      <c r="G192">
        <v>9</v>
      </c>
      <c r="H192" s="1">
        <v>103848</v>
      </c>
      <c r="I192" s="10">
        <v>0.18</v>
      </c>
      <c r="J192">
        <v>37.5</v>
      </c>
      <c r="K192" t="s">
        <v>34</v>
      </c>
      <c r="L192">
        <v>49</v>
      </c>
      <c r="M192" t="s">
        <v>47</v>
      </c>
      <c r="N192" t="s">
        <v>42</v>
      </c>
      <c r="O192" t="s">
        <v>31</v>
      </c>
      <c r="P192">
        <v>11</v>
      </c>
      <c r="Q192" t="s">
        <v>43</v>
      </c>
      <c r="R192" t="s">
        <v>56</v>
      </c>
      <c r="S192">
        <v>3</v>
      </c>
      <c r="T192">
        <v>2</v>
      </c>
      <c r="U192">
        <v>9</v>
      </c>
      <c r="V192">
        <v>3</v>
      </c>
      <c r="W192">
        <v>9</v>
      </c>
      <c r="X192">
        <v>8</v>
      </c>
      <c r="Y192">
        <v>7</v>
      </c>
      <c r="Z192">
        <v>7</v>
      </c>
      <c r="AA192" t="str">
        <f t="shared" si="15"/>
        <v>Mid Tenure</v>
      </c>
      <c r="AC192">
        <f t="shared" si="16"/>
        <v>0</v>
      </c>
      <c r="AE192">
        <f>VLOOKUP(A192,'Employee Engagement Survey'!A1073:B2542,2,FALSE)</f>
        <v>3</v>
      </c>
      <c r="AF192">
        <f>VLOOKUP(A192,'Employee Engagement Survey'!A1073:C2542,3,FALSE)</f>
        <v>4</v>
      </c>
      <c r="AG192">
        <f>VLOOKUP(A192,'Employee Engagement Survey'!A1073:D2542,4,FALSE)</f>
        <v>1</v>
      </c>
      <c r="AH192">
        <f>VLOOKUP(A192,'Employee Engagement Survey'!A1073:E2542,5,FALSE)</f>
        <v>4</v>
      </c>
      <c r="AI192">
        <f t="shared" si="14"/>
        <v>3</v>
      </c>
    </row>
    <row r="193" spans="1:35" hidden="1" x14ac:dyDescent="0.4">
      <c r="A193">
        <v>1562</v>
      </c>
      <c r="B193" t="s">
        <v>26</v>
      </c>
      <c r="C193">
        <f t="shared" si="18"/>
        <v>0</v>
      </c>
      <c r="D193" t="s">
        <v>57</v>
      </c>
      <c r="E193">
        <f t="shared" si="13"/>
        <v>0</v>
      </c>
      <c r="F193" t="s">
        <v>40</v>
      </c>
      <c r="G193">
        <v>9</v>
      </c>
      <c r="H193" s="1">
        <v>128568</v>
      </c>
      <c r="I193" s="10">
        <v>0.11</v>
      </c>
      <c r="J193">
        <v>37.5</v>
      </c>
      <c r="K193" t="s">
        <v>34</v>
      </c>
      <c r="L193">
        <v>30</v>
      </c>
      <c r="M193" t="s">
        <v>29</v>
      </c>
      <c r="N193" t="s">
        <v>42</v>
      </c>
      <c r="O193" t="s">
        <v>31</v>
      </c>
      <c r="P193">
        <v>1</v>
      </c>
      <c r="Q193" t="s">
        <v>43</v>
      </c>
      <c r="R193" t="s">
        <v>37</v>
      </c>
      <c r="S193">
        <v>3</v>
      </c>
      <c r="T193">
        <v>1</v>
      </c>
      <c r="U193">
        <v>10</v>
      </c>
      <c r="V193">
        <v>4</v>
      </c>
      <c r="W193">
        <v>10</v>
      </c>
      <c r="X193">
        <v>8</v>
      </c>
      <c r="Y193">
        <v>6</v>
      </c>
      <c r="Z193">
        <v>7</v>
      </c>
      <c r="AA193" t="str">
        <f t="shared" si="15"/>
        <v>Long Tenure</v>
      </c>
      <c r="AC193">
        <f t="shared" si="16"/>
        <v>0</v>
      </c>
      <c r="AE193">
        <f>VLOOKUP(A193,'Employee Engagement Survey'!A1087:B2556,2,FALSE)</f>
        <v>2</v>
      </c>
      <c r="AF193">
        <f>VLOOKUP(A193,'Employee Engagement Survey'!A1087:C2556,3,FALSE)</f>
        <v>1</v>
      </c>
      <c r="AG193">
        <f>VLOOKUP(A193,'Employee Engagement Survey'!A1087:D2556,4,FALSE)</f>
        <v>4</v>
      </c>
      <c r="AH193">
        <f>VLOOKUP(A193,'Employee Engagement Survey'!A1087:E2556,5,FALSE)</f>
        <v>3</v>
      </c>
      <c r="AI193">
        <f t="shared" si="14"/>
        <v>2.5</v>
      </c>
    </row>
    <row r="194" spans="1:35" hidden="1" x14ac:dyDescent="0.4">
      <c r="A194">
        <v>1295</v>
      </c>
      <c r="B194" t="s">
        <v>26</v>
      </c>
      <c r="C194">
        <f t="shared" si="18"/>
        <v>0</v>
      </c>
      <c r="D194" t="s">
        <v>55</v>
      </c>
      <c r="E194">
        <f t="shared" ref="E194:E257" si="19">IF(OR(D194="Manager, HR", D194="Manager, Sales", D194="Manager, R&amp;D", D194="Manufacturing Director",D194="Research Director", D194="VP, HR", D194="CEO"),1,0)</f>
        <v>0</v>
      </c>
      <c r="F194" t="s">
        <v>28</v>
      </c>
      <c r="G194">
        <v>9</v>
      </c>
      <c r="H194" s="1">
        <v>107736</v>
      </c>
      <c r="I194" s="10">
        <v>0.11</v>
      </c>
      <c r="J194">
        <v>37.5</v>
      </c>
      <c r="K194" t="s">
        <v>34</v>
      </c>
      <c r="L194">
        <v>44</v>
      </c>
      <c r="M194" t="s">
        <v>47</v>
      </c>
      <c r="N194" t="s">
        <v>42</v>
      </c>
      <c r="O194" t="s">
        <v>31</v>
      </c>
      <c r="P194">
        <v>15</v>
      </c>
      <c r="Q194" t="s">
        <v>43</v>
      </c>
      <c r="R194" t="s">
        <v>33</v>
      </c>
      <c r="S194">
        <v>3</v>
      </c>
      <c r="T194">
        <v>1</v>
      </c>
      <c r="U194">
        <v>10</v>
      </c>
      <c r="V194">
        <v>2</v>
      </c>
      <c r="W194">
        <v>10</v>
      </c>
      <c r="X194">
        <v>7</v>
      </c>
      <c r="Y194">
        <v>0</v>
      </c>
      <c r="Z194">
        <v>5</v>
      </c>
      <c r="AA194" t="str">
        <f t="shared" si="15"/>
        <v>Long Tenure</v>
      </c>
      <c r="AC194">
        <f t="shared" si="16"/>
        <v>0</v>
      </c>
      <c r="AE194">
        <f>VLOOKUP(A194,'Employee Engagement Survey'!A1088:B2557,2,FALSE)</f>
        <v>1</v>
      </c>
      <c r="AF194">
        <f>VLOOKUP(A194,'Employee Engagement Survey'!A1088:C2557,3,FALSE)</f>
        <v>4</v>
      </c>
      <c r="AG194">
        <f>VLOOKUP(A194,'Employee Engagement Survey'!A1088:D2557,4,FALSE)</f>
        <v>4</v>
      </c>
      <c r="AH194">
        <f>VLOOKUP(A194,'Employee Engagement Survey'!A1088:E2557,5,FALSE)</f>
        <v>3</v>
      </c>
      <c r="AI194">
        <f t="shared" ref="AI194:AI257" si="20">AVERAGE(AE194:AH194)</f>
        <v>3</v>
      </c>
    </row>
    <row r="195" spans="1:35" hidden="1" x14ac:dyDescent="0.4">
      <c r="A195">
        <v>1573</v>
      </c>
      <c r="B195" t="s">
        <v>26</v>
      </c>
      <c r="C195">
        <f t="shared" si="18"/>
        <v>0</v>
      </c>
      <c r="D195" t="s">
        <v>54</v>
      </c>
      <c r="E195">
        <f t="shared" si="19"/>
        <v>1</v>
      </c>
      <c r="F195" t="s">
        <v>28</v>
      </c>
      <c r="G195">
        <v>7</v>
      </c>
      <c r="H195" s="1">
        <v>70260</v>
      </c>
      <c r="I195" s="10">
        <v>0.11</v>
      </c>
      <c r="J195">
        <v>37.5</v>
      </c>
      <c r="K195" t="s">
        <v>34</v>
      </c>
      <c r="L195">
        <v>38</v>
      </c>
      <c r="M195" t="s">
        <v>29</v>
      </c>
      <c r="N195" t="s">
        <v>42</v>
      </c>
      <c r="O195" t="s">
        <v>31</v>
      </c>
      <c r="P195">
        <v>2</v>
      </c>
      <c r="Q195" t="s">
        <v>43</v>
      </c>
      <c r="R195" t="s">
        <v>33</v>
      </c>
      <c r="S195">
        <v>3</v>
      </c>
      <c r="T195">
        <v>2</v>
      </c>
      <c r="U195">
        <v>7</v>
      </c>
      <c r="V195">
        <v>2</v>
      </c>
      <c r="W195">
        <v>5</v>
      </c>
      <c r="X195">
        <v>2</v>
      </c>
      <c r="Y195">
        <v>1</v>
      </c>
      <c r="Z195">
        <v>4</v>
      </c>
      <c r="AA195" t="str">
        <f t="shared" ref="AA195:AA258" si="21">IF(W195&lt;=2,"Early Tenure",IF(W195&lt;=9,"Mid Tenure","Long Tenure"))</f>
        <v>Mid Tenure</v>
      </c>
      <c r="AC195">
        <f t="shared" ref="AC195:AC258" si="22">IF(AND(AB195&lt;&gt;"",AB195&gt;DATE(2024,1,1)),1,0)</f>
        <v>0</v>
      </c>
      <c r="AE195">
        <f>VLOOKUP(A195,'Employee Engagement Survey'!A1093:B2562,2,FALSE)</f>
        <v>3</v>
      </c>
      <c r="AF195">
        <f>VLOOKUP(A195,'Employee Engagement Survey'!A1093:C2562,3,FALSE)</f>
        <v>2</v>
      </c>
      <c r="AG195">
        <f>VLOOKUP(A195,'Employee Engagement Survey'!A1093:D2562,4,FALSE)</f>
        <v>1</v>
      </c>
      <c r="AH195">
        <f>VLOOKUP(A195,'Employee Engagement Survey'!A1093:E2562,5,FALSE)</f>
        <v>3</v>
      </c>
      <c r="AI195">
        <f t="shared" si="20"/>
        <v>2.25</v>
      </c>
    </row>
    <row r="196" spans="1:35" hidden="1" x14ac:dyDescent="0.4">
      <c r="A196">
        <v>1157</v>
      </c>
      <c r="B196" t="s">
        <v>26</v>
      </c>
      <c r="C196">
        <f t="shared" si="18"/>
        <v>0</v>
      </c>
      <c r="D196" t="s">
        <v>57</v>
      </c>
      <c r="E196">
        <f t="shared" si="19"/>
        <v>0</v>
      </c>
      <c r="F196" t="s">
        <v>40</v>
      </c>
      <c r="G196">
        <v>9</v>
      </c>
      <c r="H196" s="1">
        <v>110688</v>
      </c>
      <c r="I196" s="10">
        <v>0.17</v>
      </c>
      <c r="J196">
        <v>37.5</v>
      </c>
      <c r="K196" t="s">
        <v>26</v>
      </c>
      <c r="L196">
        <v>33</v>
      </c>
      <c r="M196" t="s">
        <v>47</v>
      </c>
      <c r="N196" t="s">
        <v>30</v>
      </c>
      <c r="O196" t="s">
        <v>31</v>
      </c>
      <c r="P196">
        <v>9</v>
      </c>
      <c r="Q196" t="s">
        <v>51</v>
      </c>
      <c r="R196" t="s">
        <v>56</v>
      </c>
      <c r="S196">
        <v>3</v>
      </c>
      <c r="T196">
        <v>0</v>
      </c>
      <c r="U196">
        <v>6</v>
      </c>
      <c r="V196">
        <v>3</v>
      </c>
      <c r="W196">
        <v>5</v>
      </c>
      <c r="X196">
        <v>2</v>
      </c>
      <c r="Y196">
        <v>0</v>
      </c>
      <c r="Z196">
        <v>3</v>
      </c>
      <c r="AA196" t="str">
        <f t="shared" si="21"/>
        <v>Mid Tenure</v>
      </c>
      <c r="AC196">
        <f t="shared" si="22"/>
        <v>0</v>
      </c>
      <c r="AE196">
        <f>VLOOKUP(A196,'Employee Engagement Survey'!A1098:B2567,2,FALSE)</f>
        <v>1</v>
      </c>
      <c r="AF196">
        <f>VLOOKUP(A196,'Employee Engagement Survey'!A1098:C2567,3,FALSE)</f>
        <v>1</v>
      </c>
      <c r="AG196">
        <f>VLOOKUP(A196,'Employee Engagement Survey'!A1098:D2567,4,FALSE)</f>
        <v>1</v>
      </c>
      <c r="AH196">
        <f>VLOOKUP(A196,'Employee Engagement Survey'!A1098:E2567,5,FALSE)</f>
        <v>3</v>
      </c>
      <c r="AI196">
        <f t="shared" si="20"/>
        <v>1.5</v>
      </c>
    </row>
    <row r="197" spans="1:35" hidden="1" x14ac:dyDescent="0.4">
      <c r="A197">
        <v>1758</v>
      </c>
      <c r="B197" t="s">
        <v>26</v>
      </c>
      <c r="C197">
        <f t="shared" si="18"/>
        <v>0</v>
      </c>
      <c r="D197" t="s">
        <v>57</v>
      </c>
      <c r="E197">
        <f t="shared" si="19"/>
        <v>0</v>
      </c>
      <c r="F197" t="s">
        <v>40</v>
      </c>
      <c r="G197">
        <v>9</v>
      </c>
      <c r="H197" s="1">
        <v>114768</v>
      </c>
      <c r="I197" s="10">
        <v>0.2</v>
      </c>
      <c r="J197">
        <v>37.5</v>
      </c>
      <c r="K197" t="s">
        <v>26</v>
      </c>
      <c r="L197">
        <v>33</v>
      </c>
      <c r="M197" t="s">
        <v>47</v>
      </c>
      <c r="N197" t="s">
        <v>30</v>
      </c>
      <c r="O197" t="s">
        <v>31</v>
      </c>
      <c r="P197">
        <v>16</v>
      </c>
      <c r="Q197" t="s">
        <v>43</v>
      </c>
      <c r="R197" t="s">
        <v>37</v>
      </c>
      <c r="S197">
        <v>4</v>
      </c>
      <c r="T197">
        <v>0</v>
      </c>
      <c r="U197">
        <v>11</v>
      </c>
      <c r="V197">
        <v>2</v>
      </c>
      <c r="W197">
        <v>0</v>
      </c>
      <c r="X197">
        <v>0</v>
      </c>
      <c r="Y197">
        <v>0</v>
      </c>
      <c r="Z197">
        <v>0</v>
      </c>
      <c r="AA197" t="str">
        <f t="shared" si="21"/>
        <v>Early Tenure</v>
      </c>
      <c r="AC197">
        <f t="shared" si="22"/>
        <v>0</v>
      </c>
      <c r="AE197">
        <f>VLOOKUP(A197,'Employee Engagement Survey'!A1113:B2582,2,FALSE)</f>
        <v>1</v>
      </c>
      <c r="AF197">
        <f>VLOOKUP(A197,'Employee Engagement Survey'!A1113:C2582,3,FALSE)</f>
        <v>1</v>
      </c>
      <c r="AG197">
        <f>VLOOKUP(A197,'Employee Engagement Survey'!A1113:D2582,4,FALSE)</f>
        <v>3</v>
      </c>
      <c r="AH197">
        <f>VLOOKUP(A197,'Employee Engagement Survey'!A1113:E2582,5,FALSE)</f>
        <v>2</v>
      </c>
      <c r="AI197">
        <f t="shared" si="20"/>
        <v>1.75</v>
      </c>
    </row>
    <row r="198" spans="1:35" hidden="1" x14ac:dyDescent="0.4">
      <c r="A198">
        <v>1604</v>
      </c>
      <c r="B198" t="s">
        <v>26</v>
      </c>
      <c r="C198">
        <f t="shared" si="18"/>
        <v>0</v>
      </c>
      <c r="D198" t="s">
        <v>46</v>
      </c>
      <c r="E198">
        <f t="shared" si="19"/>
        <v>0</v>
      </c>
      <c r="F198" t="s">
        <v>28</v>
      </c>
      <c r="G198">
        <v>4</v>
      </c>
      <c r="H198" s="1">
        <v>52896</v>
      </c>
      <c r="I198" s="10">
        <v>0.17</v>
      </c>
      <c r="J198">
        <v>37.5</v>
      </c>
      <c r="K198" t="s">
        <v>26</v>
      </c>
      <c r="L198">
        <v>28</v>
      </c>
      <c r="M198" t="s">
        <v>29</v>
      </c>
      <c r="N198" t="s">
        <v>42</v>
      </c>
      <c r="O198" t="s">
        <v>31</v>
      </c>
      <c r="P198">
        <v>24</v>
      </c>
      <c r="Q198" t="s">
        <v>43</v>
      </c>
      <c r="R198" t="s">
        <v>33</v>
      </c>
      <c r="S198">
        <v>3</v>
      </c>
      <c r="T198">
        <v>3</v>
      </c>
      <c r="U198">
        <v>1</v>
      </c>
      <c r="V198">
        <v>3</v>
      </c>
      <c r="W198">
        <v>1</v>
      </c>
      <c r="X198">
        <v>1</v>
      </c>
      <c r="Y198">
        <v>0</v>
      </c>
      <c r="Z198">
        <v>0</v>
      </c>
      <c r="AA198" t="str">
        <f t="shared" si="21"/>
        <v>Early Tenure</v>
      </c>
      <c r="AC198">
        <f t="shared" si="22"/>
        <v>0</v>
      </c>
      <c r="AE198">
        <f>VLOOKUP(A198,'Employee Engagement Survey'!A1120:B2589,2,FALSE)</f>
        <v>3</v>
      </c>
      <c r="AF198">
        <f>VLOOKUP(A198,'Employee Engagement Survey'!A1120:C2589,3,FALSE)</f>
        <v>2</v>
      </c>
      <c r="AG198">
        <f>VLOOKUP(A198,'Employee Engagement Survey'!A1120:D2589,4,FALSE)</f>
        <v>3</v>
      </c>
      <c r="AH198">
        <f>VLOOKUP(A198,'Employee Engagement Survey'!A1120:E2589,5,FALSE)</f>
        <v>3</v>
      </c>
      <c r="AI198">
        <f t="shared" si="20"/>
        <v>2.75</v>
      </c>
    </row>
    <row r="199" spans="1:35" hidden="1" x14ac:dyDescent="0.4">
      <c r="A199">
        <v>1821</v>
      </c>
      <c r="B199" t="s">
        <v>26</v>
      </c>
      <c r="C199">
        <f t="shared" si="18"/>
        <v>0</v>
      </c>
      <c r="D199" t="s">
        <v>55</v>
      </c>
      <c r="E199">
        <f t="shared" si="19"/>
        <v>0</v>
      </c>
      <c r="F199" t="s">
        <v>28</v>
      </c>
      <c r="G199">
        <v>9</v>
      </c>
      <c r="H199" s="1">
        <v>119112</v>
      </c>
      <c r="I199" s="10">
        <v>0.22</v>
      </c>
      <c r="J199">
        <v>37.5</v>
      </c>
      <c r="K199" t="s">
        <v>34</v>
      </c>
      <c r="L199">
        <v>46</v>
      </c>
      <c r="M199" t="s">
        <v>47</v>
      </c>
      <c r="N199" t="s">
        <v>42</v>
      </c>
      <c r="O199" t="s">
        <v>31</v>
      </c>
      <c r="P199">
        <v>21</v>
      </c>
      <c r="Q199" t="s">
        <v>36</v>
      </c>
      <c r="R199" t="s">
        <v>33</v>
      </c>
      <c r="S199">
        <v>4</v>
      </c>
      <c r="T199">
        <v>1</v>
      </c>
      <c r="U199">
        <v>13</v>
      </c>
      <c r="V199">
        <v>2</v>
      </c>
      <c r="W199">
        <v>9</v>
      </c>
      <c r="X199">
        <v>7</v>
      </c>
      <c r="Y199">
        <v>3</v>
      </c>
      <c r="Z199">
        <v>7</v>
      </c>
      <c r="AA199" t="str">
        <f t="shared" si="21"/>
        <v>Mid Tenure</v>
      </c>
      <c r="AC199">
        <f t="shared" si="22"/>
        <v>0</v>
      </c>
      <c r="AE199">
        <f>VLOOKUP(A199,'Employee Engagement Survey'!A1134:B2603,2,FALSE)</f>
        <v>4</v>
      </c>
      <c r="AF199">
        <f>VLOOKUP(A199,'Employee Engagement Survey'!A1134:C2603,3,FALSE)</f>
        <v>2</v>
      </c>
      <c r="AG199">
        <f>VLOOKUP(A199,'Employee Engagement Survey'!A1134:D2603,4,FALSE)</f>
        <v>4</v>
      </c>
      <c r="AH199">
        <f>VLOOKUP(A199,'Employee Engagement Survey'!A1134:E2603,5,FALSE)</f>
        <v>4</v>
      </c>
      <c r="AI199">
        <f t="shared" si="20"/>
        <v>3.5</v>
      </c>
    </row>
    <row r="200" spans="1:35" hidden="1" x14ac:dyDescent="0.4">
      <c r="A200">
        <v>1639</v>
      </c>
      <c r="B200" t="s">
        <v>26</v>
      </c>
      <c r="C200">
        <f t="shared" si="18"/>
        <v>0</v>
      </c>
      <c r="D200" t="s">
        <v>57</v>
      </c>
      <c r="E200">
        <f t="shared" si="19"/>
        <v>0</v>
      </c>
      <c r="F200" t="s">
        <v>40</v>
      </c>
      <c r="G200">
        <v>9</v>
      </c>
      <c r="H200" s="1">
        <v>135672</v>
      </c>
      <c r="I200" s="10">
        <v>0.17</v>
      </c>
      <c r="J200">
        <v>37.5</v>
      </c>
      <c r="K200" t="s">
        <v>34</v>
      </c>
      <c r="L200">
        <v>35</v>
      </c>
      <c r="M200" t="s">
        <v>29</v>
      </c>
      <c r="N200" t="s">
        <v>42</v>
      </c>
      <c r="O200" t="s">
        <v>31</v>
      </c>
      <c r="P200">
        <v>10</v>
      </c>
      <c r="Q200" t="s">
        <v>43</v>
      </c>
      <c r="R200" t="s">
        <v>33</v>
      </c>
      <c r="S200">
        <v>3</v>
      </c>
      <c r="T200">
        <v>0</v>
      </c>
      <c r="U200">
        <v>15</v>
      </c>
      <c r="V200">
        <v>3</v>
      </c>
      <c r="W200">
        <v>13</v>
      </c>
      <c r="X200">
        <v>12</v>
      </c>
      <c r="Y200">
        <v>6</v>
      </c>
      <c r="Z200">
        <v>0</v>
      </c>
      <c r="AA200" t="str">
        <f t="shared" si="21"/>
        <v>Long Tenure</v>
      </c>
      <c r="AC200">
        <f t="shared" si="22"/>
        <v>0</v>
      </c>
      <c r="AE200">
        <f>VLOOKUP(A200,'Employee Engagement Survey'!A1142:B2611,2,FALSE)</f>
        <v>4</v>
      </c>
      <c r="AF200">
        <f>VLOOKUP(A200,'Employee Engagement Survey'!A1142:C2611,3,FALSE)</f>
        <v>1</v>
      </c>
      <c r="AG200">
        <f>VLOOKUP(A200,'Employee Engagement Survey'!A1142:D2611,4,FALSE)</f>
        <v>3</v>
      </c>
      <c r="AH200">
        <f>VLOOKUP(A200,'Employee Engagement Survey'!A1142:E2611,5,FALSE)</f>
        <v>3</v>
      </c>
      <c r="AI200">
        <f t="shared" si="20"/>
        <v>2.75</v>
      </c>
    </row>
    <row r="201" spans="1:35" hidden="1" x14ac:dyDescent="0.4">
      <c r="A201">
        <v>1645</v>
      </c>
      <c r="B201" t="s">
        <v>26</v>
      </c>
      <c r="C201">
        <f t="shared" si="18"/>
        <v>0</v>
      </c>
      <c r="D201" t="s">
        <v>57</v>
      </c>
      <c r="E201">
        <f t="shared" si="19"/>
        <v>0</v>
      </c>
      <c r="F201" t="s">
        <v>40</v>
      </c>
      <c r="G201">
        <v>7</v>
      </c>
      <c r="H201" s="1">
        <v>77280</v>
      </c>
      <c r="I201" s="10">
        <v>0.14000000000000001</v>
      </c>
      <c r="J201">
        <v>37.5</v>
      </c>
      <c r="K201" t="s">
        <v>26</v>
      </c>
      <c r="L201">
        <v>35</v>
      </c>
      <c r="M201" t="s">
        <v>29</v>
      </c>
      <c r="N201" t="s">
        <v>48</v>
      </c>
      <c r="O201" t="s">
        <v>31</v>
      </c>
      <c r="P201">
        <v>15</v>
      </c>
      <c r="Q201" t="s">
        <v>36</v>
      </c>
      <c r="R201" t="s">
        <v>33</v>
      </c>
      <c r="S201">
        <v>3</v>
      </c>
      <c r="T201">
        <v>2</v>
      </c>
      <c r="U201">
        <v>7</v>
      </c>
      <c r="V201">
        <v>2</v>
      </c>
      <c r="W201">
        <v>2</v>
      </c>
      <c r="X201">
        <v>2</v>
      </c>
      <c r="Y201">
        <v>2</v>
      </c>
      <c r="Z201">
        <v>2</v>
      </c>
      <c r="AA201" t="str">
        <f t="shared" si="21"/>
        <v>Early Tenure</v>
      </c>
      <c r="AC201">
        <f t="shared" si="22"/>
        <v>0</v>
      </c>
      <c r="AE201">
        <f>VLOOKUP(A201,'Employee Engagement Survey'!A1147:B2616,2,FALSE)</f>
        <v>1</v>
      </c>
      <c r="AF201">
        <f>VLOOKUP(A201,'Employee Engagement Survey'!A1147:C2616,3,FALSE)</f>
        <v>4</v>
      </c>
      <c r="AG201">
        <f>VLOOKUP(A201,'Employee Engagement Survey'!A1147:D2616,4,FALSE)</f>
        <v>4</v>
      </c>
      <c r="AH201">
        <f>VLOOKUP(A201,'Employee Engagement Survey'!A1147:E2616,5,FALSE)</f>
        <v>2</v>
      </c>
      <c r="AI201">
        <f t="shared" si="20"/>
        <v>2.75</v>
      </c>
    </row>
    <row r="202" spans="1:35" hidden="1" x14ac:dyDescent="0.4">
      <c r="A202">
        <v>1649</v>
      </c>
      <c r="B202" t="s">
        <v>26</v>
      </c>
      <c r="C202">
        <f t="shared" si="18"/>
        <v>0</v>
      </c>
      <c r="D202" t="s">
        <v>46</v>
      </c>
      <c r="E202">
        <f t="shared" si="19"/>
        <v>0</v>
      </c>
      <c r="F202" t="s">
        <v>28</v>
      </c>
      <c r="G202">
        <v>3</v>
      </c>
      <c r="H202" s="1">
        <v>49992</v>
      </c>
      <c r="I202" s="10">
        <v>0.14000000000000001</v>
      </c>
      <c r="J202">
        <v>37.5</v>
      </c>
      <c r="K202" t="s">
        <v>26</v>
      </c>
      <c r="L202">
        <v>40</v>
      </c>
      <c r="M202" t="s">
        <v>29</v>
      </c>
      <c r="N202" t="s">
        <v>30</v>
      </c>
      <c r="O202" t="s">
        <v>31</v>
      </c>
      <c r="P202">
        <v>7</v>
      </c>
      <c r="Q202" t="s">
        <v>43</v>
      </c>
      <c r="R202" t="s">
        <v>37</v>
      </c>
      <c r="S202">
        <v>3</v>
      </c>
      <c r="T202">
        <v>0</v>
      </c>
      <c r="U202">
        <v>10</v>
      </c>
      <c r="V202">
        <v>3</v>
      </c>
      <c r="W202">
        <v>4</v>
      </c>
      <c r="X202">
        <v>2</v>
      </c>
      <c r="Y202">
        <v>0</v>
      </c>
      <c r="Z202">
        <v>3</v>
      </c>
      <c r="AA202" t="str">
        <f t="shared" si="21"/>
        <v>Mid Tenure</v>
      </c>
      <c r="AC202">
        <f t="shared" si="22"/>
        <v>0</v>
      </c>
      <c r="AE202">
        <f>VLOOKUP(A202,'Employee Engagement Survey'!A1149:B2618,2,FALSE)</f>
        <v>1</v>
      </c>
      <c r="AF202">
        <f>VLOOKUP(A202,'Employee Engagement Survey'!A1149:C2618,3,FALSE)</f>
        <v>1</v>
      </c>
      <c r="AG202">
        <f>VLOOKUP(A202,'Employee Engagement Survey'!A1149:D2618,4,FALSE)</f>
        <v>2</v>
      </c>
      <c r="AH202">
        <f>VLOOKUP(A202,'Employee Engagement Survey'!A1149:E2618,5,FALSE)</f>
        <v>1</v>
      </c>
      <c r="AI202">
        <f t="shared" si="20"/>
        <v>1.25</v>
      </c>
    </row>
    <row r="203" spans="1:35" hidden="1" x14ac:dyDescent="0.4">
      <c r="A203">
        <v>1667</v>
      </c>
      <c r="B203" t="s">
        <v>26</v>
      </c>
      <c r="C203">
        <f t="shared" si="18"/>
        <v>0</v>
      </c>
      <c r="D203" t="s">
        <v>57</v>
      </c>
      <c r="E203">
        <f t="shared" si="19"/>
        <v>0</v>
      </c>
      <c r="F203" t="s">
        <v>40</v>
      </c>
      <c r="G203">
        <v>6</v>
      </c>
      <c r="H203" s="1">
        <v>66972</v>
      </c>
      <c r="I203" s="10">
        <v>0.24</v>
      </c>
      <c r="J203">
        <v>37.5</v>
      </c>
      <c r="K203" t="s">
        <v>26</v>
      </c>
      <c r="L203">
        <v>35</v>
      </c>
      <c r="M203" t="s">
        <v>29</v>
      </c>
      <c r="N203" t="s">
        <v>30</v>
      </c>
      <c r="O203" t="s">
        <v>44</v>
      </c>
      <c r="P203">
        <v>12</v>
      </c>
      <c r="Q203" t="s">
        <v>51</v>
      </c>
      <c r="R203" t="s">
        <v>53</v>
      </c>
      <c r="S203">
        <v>4</v>
      </c>
      <c r="T203">
        <v>0</v>
      </c>
      <c r="U203">
        <v>13</v>
      </c>
      <c r="V203">
        <v>2</v>
      </c>
      <c r="W203">
        <v>11</v>
      </c>
      <c r="X203">
        <v>9</v>
      </c>
      <c r="Y203">
        <v>6</v>
      </c>
      <c r="Z203">
        <v>7</v>
      </c>
      <c r="AA203" t="str">
        <f t="shared" si="21"/>
        <v>Long Tenure</v>
      </c>
      <c r="AC203">
        <f t="shared" si="22"/>
        <v>0</v>
      </c>
      <c r="AE203">
        <f>VLOOKUP(A203,'Employee Engagement Survey'!A1157:B2626,2,FALSE)</f>
        <v>4</v>
      </c>
      <c r="AF203">
        <f>VLOOKUP(A203,'Employee Engagement Survey'!A1157:C2626,3,FALSE)</f>
        <v>4</v>
      </c>
      <c r="AG203">
        <f>VLOOKUP(A203,'Employee Engagement Survey'!A1157:D2626,4,FALSE)</f>
        <v>1</v>
      </c>
      <c r="AH203">
        <f>VLOOKUP(A203,'Employee Engagement Survey'!A1157:E2626,5,FALSE)</f>
        <v>4</v>
      </c>
      <c r="AI203">
        <f t="shared" si="20"/>
        <v>3.25</v>
      </c>
    </row>
    <row r="204" spans="1:35" hidden="1" x14ac:dyDescent="0.4">
      <c r="A204">
        <v>1684</v>
      </c>
      <c r="B204" t="s">
        <v>26</v>
      </c>
      <c r="C204">
        <f t="shared" si="18"/>
        <v>0</v>
      </c>
      <c r="D204" t="s">
        <v>46</v>
      </c>
      <c r="E204">
        <f t="shared" si="19"/>
        <v>0</v>
      </c>
      <c r="F204" t="s">
        <v>28</v>
      </c>
      <c r="G204">
        <v>7</v>
      </c>
      <c r="H204" s="1">
        <v>71868</v>
      </c>
      <c r="I204" s="10">
        <v>0.11</v>
      </c>
      <c r="J204">
        <v>37.5</v>
      </c>
      <c r="K204" t="s">
        <v>26</v>
      </c>
      <c r="L204">
        <v>23</v>
      </c>
      <c r="M204" t="s">
        <v>29</v>
      </c>
      <c r="N204" t="s">
        <v>30</v>
      </c>
      <c r="O204" t="s">
        <v>31</v>
      </c>
      <c r="P204">
        <v>8</v>
      </c>
      <c r="Q204" t="s">
        <v>32</v>
      </c>
      <c r="R204" t="s">
        <v>33</v>
      </c>
      <c r="S204">
        <v>3</v>
      </c>
      <c r="T204">
        <v>0</v>
      </c>
      <c r="U204">
        <v>5</v>
      </c>
      <c r="V204">
        <v>2</v>
      </c>
      <c r="W204">
        <v>5</v>
      </c>
      <c r="X204">
        <v>4</v>
      </c>
      <c r="Y204">
        <v>1</v>
      </c>
      <c r="Z204">
        <v>2</v>
      </c>
      <c r="AA204" t="str">
        <f t="shared" si="21"/>
        <v>Mid Tenure</v>
      </c>
      <c r="AC204">
        <f t="shared" si="22"/>
        <v>0</v>
      </c>
      <c r="AE204">
        <f>VLOOKUP(A204,'Employee Engagement Survey'!A1168:B2637,2,FALSE)</f>
        <v>4</v>
      </c>
      <c r="AF204">
        <f>VLOOKUP(A204,'Employee Engagement Survey'!A1168:C2637,3,FALSE)</f>
        <v>3</v>
      </c>
      <c r="AG204">
        <f>VLOOKUP(A204,'Employee Engagement Survey'!A1168:D2637,4,FALSE)</f>
        <v>1</v>
      </c>
      <c r="AH204">
        <f>VLOOKUP(A204,'Employee Engagement Survey'!A1168:E2637,5,FALSE)</f>
        <v>3</v>
      </c>
      <c r="AI204">
        <f t="shared" si="20"/>
        <v>2.75</v>
      </c>
    </row>
    <row r="205" spans="1:35" hidden="1" x14ac:dyDescent="0.4">
      <c r="A205">
        <v>1933</v>
      </c>
      <c r="B205" t="s">
        <v>26</v>
      </c>
      <c r="C205">
        <f t="shared" si="18"/>
        <v>0</v>
      </c>
      <c r="D205" t="s">
        <v>57</v>
      </c>
      <c r="E205">
        <f t="shared" si="19"/>
        <v>0</v>
      </c>
      <c r="F205" t="s">
        <v>40</v>
      </c>
      <c r="G205">
        <v>9</v>
      </c>
      <c r="H205" s="1">
        <v>130248</v>
      </c>
      <c r="I205" s="10">
        <v>0.11</v>
      </c>
      <c r="J205">
        <v>37.5</v>
      </c>
      <c r="K205" t="s">
        <v>26</v>
      </c>
      <c r="L205">
        <v>28</v>
      </c>
      <c r="M205" t="s">
        <v>47</v>
      </c>
      <c r="N205" t="s">
        <v>30</v>
      </c>
      <c r="O205" t="s">
        <v>31</v>
      </c>
      <c r="P205">
        <v>13</v>
      </c>
      <c r="Q205" t="s">
        <v>36</v>
      </c>
      <c r="R205" t="s">
        <v>56</v>
      </c>
      <c r="S205">
        <v>3</v>
      </c>
      <c r="T205">
        <v>0</v>
      </c>
      <c r="U205">
        <v>6</v>
      </c>
      <c r="V205">
        <v>0</v>
      </c>
      <c r="W205">
        <v>2</v>
      </c>
      <c r="X205">
        <v>0</v>
      </c>
      <c r="Y205">
        <v>2</v>
      </c>
      <c r="Z205">
        <v>2</v>
      </c>
      <c r="AA205" t="str">
        <f t="shared" si="21"/>
        <v>Early Tenure</v>
      </c>
      <c r="AC205">
        <f t="shared" si="22"/>
        <v>0</v>
      </c>
      <c r="AE205">
        <f>VLOOKUP(A205,'Employee Engagement Survey'!A1177:B2646,2,FALSE)</f>
        <v>4</v>
      </c>
      <c r="AF205">
        <f>VLOOKUP(A205,'Employee Engagement Survey'!A1177:C2646,3,FALSE)</f>
        <v>3</v>
      </c>
      <c r="AG205">
        <f>VLOOKUP(A205,'Employee Engagement Survey'!A1177:D2646,4,FALSE)</f>
        <v>4</v>
      </c>
      <c r="AH205">
        <f>VLOOKUP(A205,'Employee Engagement Survey'!A1177:E2646,5,FALSE)</f>
        <v>3</v>
      </c>
      <c r="AI205">
        <f t="shared" si="20"/>
        <v>3.5</v>
      </c>
    </row>
    <row r="206" spans="1:35" hidden="1" x14ac:dyDescent="0.4">
      <c r="A206">
        <v>1702</v>
      </c>
      <c r="B206" t="s">
        <v>26</v>
      </c>
      <c r="C206">
        <f t="shared" ref="C206:C237" si="23">IF(B206="No",1,0)</f>
        <v>0</v>
      </c>
      <c r="D206" t="s">
        <v>39</v>
      </c>
      <c r="E206">
        <f t="shared" si="19"/>
        <v>0</v>
      </c>
      <c r="F206" t="s">
        <v>40</v>
      </c>
      <c r="G206">
        <v>4</v>
      </c>
      <c r="H206" s="1">
        <v>51300</v>
      </c>
      <c r="I206" s="10">
        <v>0.21</v>
      </c>
      <c r="J206">
        <v>37.5</v>
      </c>
      <c r="K206" t="s">
        <v>26</v>
      </c>
      <c r="L206">
        <v>23</v>
      </c>
      <c r="M206" t="s">
        <v>29</v>
      </c>
      <c r="N206" t="s">
        <v>48</v>
      </c>
      <c r="O206" t="s">
        <v>31</v>
      </c>
      <c r="P206">
        <v>7</v>
      </c>
      <c r="Q206" t="s">
        <v>43</v>
      </c>
      <c r="R206" t="s">
        <v>37</v>
      </c>
      <c r="S206">
        <v>4</v>
      </c>
      <c r="T206">
        <v>1</v>
      </c>
      <c r="U206">
        <v>3</v>
      </c>
      <c r="V206">
        <v>2</v>
      </c>
      <c r="W206">
        <v>3</v>
      </c>
      <c r="X206">
        <v>2</v>
      </c>
      <c r="Y206">
        <v>0</v>
      </c>
      <c r="Z206">
        <v>2</v>
      </c>
      <c r="AA206" t="str">
        <f t="shared" si="21"/>
        <v>Mid Tenure</v>
      </c>
      <c r="AC206">
        <f t="shared" si="22"/>
        <v>0</v>
      </c>
      <c r="AE206">
        <f>VLOOKUP(A206,'Employee Engagement Survey'!A1182:B2651,2,FALSE)</f>
        <v>3</v>
      </c>
      <c r="AF206">
        <f>VLOOKUP(A206,'Employee Engagement Survey'!A1182:C2651,3,FALSE)</f>
        <v>4</v>
      </c>
      <c r="AG206">
        <f>VLOOKUP(A206,'Employee Engagement Survey'!A1182:D2651,4,FALSE)</f>
        <v>2</v>
      </c>
      <c r="AH206">
        <f>VLOOKUP(A206,'Employee Engagement Survey'!A1182:E2651,5,FALSE)</f>
        <v>3</v>
      </c>
      <c r="AI206">
        <f t="shared" si="20"/>
        <v>3</v>
      </c>
    </row>
    <row r="207" spans="1:35" hidden="1" x14ac:dyDescent="0.4">
      <c r="A207">
        <v>590</v>
      </c>
      <c r="B207" t="s">
        <v>26</v>
      </c>
      <c r="C207">
        <f t="shared" si="23"/>
        <v>0</v>
      </c>
      <c r="D207" t="s">
        <v>104</v>
      </c>
      <c r="E207">
        <f t="shared" si="19"/>
        <v>0</v>
      </c>
      <c r="F207" t="s">
        <v>59</v>
      </c>
      <c r="G207">
        <v>9</v>
      </c>
      <c r="H207" s="1">
        <v>131400</v>
      </c>
      <c r="I207" s="10">
        <v>0.15</v>
      </c>
      <c r="J207">
        <v>37.5</v>
      </c>
      <c r="K207" t="s">
        <v>26</v>
      </c>
      <c r="L207">
        <v>34</v>
      </c>
      <c r="M207" t="s">
        <v>47</v>
      </c>
      <c r="N207" t="s">
        <v>48</v>
      </c>
      <c r="O207" t="s">
        <v>44</v>
      </c>
      <c r="P207">
        <v>23</v>
      </c>
      <c r="Q207" t="s">
        <v>43</v>
      </c>
      <c r="R207" t="s">
        <v>59</v>
      </c>
      <c r="S207">
        <v>3</v>
      </c>
      <c r="T207">
        <v>3</v>
      </c>
      <c r="U207">
        <v>11</v>
      </c>
      <c r="V207">
        <v>2</v>
      </c>
      <c r="W207">
        <v>3</v>
      </c>
      <c r="X207">
        <v>2</v>
      </c>
      <c r="Y207">
        <v>0</v>
      </c>
      <c r="Z207">
        <v>2</v>
      </c>
      <c r="AA207" t="str">
        <f t="shared" si="21"/>
        <v>Mid Tenure</v>
      </c>
      <c r="AC207">
        <f t="shared" si="22"/>
        <v>0</v>
      </c>
      <c r="AE207">
        <f>VLOOKUP(A207,'Employee Engagement Survey'!A1183:B2652,2,FALSE)</f>
        <v>2</v>
      </c>
      <c r="AF207">
        <f>VLOOKUP(A207,'Employee Engagement Survey'!A1183:C2652,3,FALSE)</f>
        <v>1</v>
      </c>
      <c r="AG207">
        <f>VLOOKUP(A207,'Employee Engagement Survey'!A1183:D2652,4,FALSE)</f>
        <v>3</v>
      </c>
      <c r="AH207">
        <f>VLOOKUP(A207,'Employee Engagement Survey'!A1183:E2652,5,FALSE)</f>
        <v>3</v>
      </c>
      <c r="AI207">
        <f t="shared" si="20"/>
        <v>2.25</v>
      </c>
    </row>
    <row r="208" spans="1:35" hidden="1" x14ac:dyDescent="0.4">
      <c r="A208">
        <v>1360</v>
      </c>
      <c r="B208" t="s">
        <v>26</v>
      </c>
      <c r="C208">
        <f t="shared" si="23"/>
        <v>0</v>
      </c>
      <c r="D208" t="s">
        <v>54</v>
      </c>
      <c r="E208">
        <f t="shared" si="19"/>
        <v>1</v>
      </c>
      <c r="F208" t="s">
        <v>28</v>
      </c>
      <c r="G208">
        <v>9</v>
      </c>
      <c r="H208" s="1">
        <v>132096</v>
      </c>
      <c r="I208" s="10">
        <v>0.14000000000000001</v>
      </c>
      <c r="J208">
        <v>37.5</v>
      </c>
      <c r="K208" t="s">
        <v>26</v>
      </c>
      <c r="L208">
        <v>58</v>
      </c>
      <c r="M208" t="s">
        <v>47</v>
      </c>
      <c r="N208" t="s">
        <v>42</v>
      </c>
      <c r="O208" t="s">
        <v>31</v>
      </c>
      <c r="P208">
        <v>7</v>
      </c>
      <c r="Q208" t="s">
        <v>51</v>
      </c>
      <c r="R208" t="s">
        <v>33</v>
      </c>
      <c r="S208">
        <v>3</v>
      </c>
      <c r="T208">
        <v>0</v>
      </c>
      <c r="U208">
        <v>31</v>
      </c>
      <c r="V208">
        <v>0</v>
      </c>
      <c r="W208">
        <v>10</v>
      </c>
      <c r="X208">
        <v>9</v>
      </c>
      <c r="Y208">
        <v>5</v>
      </c>
      <c r="Z208">
        <v>9</v>
      </c>
      <c r="AA208" t="str">
        <f t="shared" si="21"/>
        <v>Long Tenure</v>
      </c>
      <c r="AC208">
        <f t="shared" si="22"/>
        <v>0</v>
      </c>
      <c r="AE208">
        <f>VLOOKUP(A208,'Employee Engagement Survey'!A1191:B2660,2,FALSE)</f>
        <v>3</v>
      </c>
      <c r="AF208">
        <f>VLOOKUP(A208,'Employee Engagement Survey'!A1191:C2660,3,FALSE)</f>
        <v>1</v>
      </c>
      <c r="AG208">
        <f>VLOOKUP(A208,'Employee Engagement Survey'!A1191:D2660,4,FALSE)</f>
        <v>4</v>
      </c>
      <c r="AH208">
        <f>VLOOKUP(A208,'Employee Engagement Survey'!A1191:E2660,5,FALSE)</f>
        <v>2</v>
      </c>
      <c r="AI208">
        <f t="shared" si="20"/>
        <v>2.5</v>
      </c>
    </row>
    <row r="209" spans="1:35" hidden="1" x14ac:dyDescent="0.4">
      <c r="A209">
        <v>1714</v>
      </c>
      <c r="B209" t="s">
        <v>26</v>
      </c>
      <c r="C209">
        <f t="shared" si="23"/>
        <v>0</v>
      </c>
      <c r="D209" t="s">
        <v>105</v>
      </c>
      <c r="E209">
        <f t="shared" si="19"/>
        <v>0</v>
      </c>
      <c r="F209" t="s">
        <v>59</v>
      </c>
      <c r="G209">
        <v>2</v>
      </c>
      <c r="H209" s="1">
        <v>42660</v>
      </c>
      <c r="I209" s="10">
        <v>0.11</v>
      </c>
      <c r="J209">
        <v>37.5</v>
      </c>
      <c r="K209" t="s">
        <v>34</v>
      </c>
      <c r="L209">
        <v>24</v>
      </c>
      <c r="M209" t="s">
        <v>29</v>
      </c>
      <c r="N209" t="s">
        <v>42</v>
      </c>
      <c r="O209" t="s">
        <v>31</v>
      </c>
      <c r="P209">
        <v>22</v>
      </c>
      <c r="Q209" t="s">
        <v>32</v>
      </c>
      <c r="R209" t="s">
        <v>59</v>
      </c>
      <c r="S209">
        <v>3</v>
      </c>
      <c r="T209">
        <v>1</v>
      </c>
      <c r="U209">
        <v>1</v>
      </c>
      <c r="V209">
        <v>2</v>
      </c>
      <c r="W209">
        <v>1</v>
      </c>
      <c r="X209">
        <v>0</v>
      </c>
      <c r="Y209">
        <v>0</v>
      </c>
      <c r="Z209">
        <v>0</v>
      </c>
      <c r="AA209" t="str">
        <f t="shared" si="21"/>
        <v>Early Tenure</v>
      </c>
      <c r="AC209">
        <f t="shared" si="22"/>
        <v>0</v>
      </c>
      <c r="AE209">
        <f>VLOOKUP(A209,'Employee Engagement Survey'!A1194:B2663,2,FALSE)</f>
        <v>4</v>
      </c>
      <c r="AF209">
        <f>VLOOKUP(A209,'Employee Engagement Survey'!A1194:C2663,3,FALSE)</f>
        <v>3</v>
      </c>
      <c r="AG209">
        <f>VLOOKUP(A209,'Employee Engagement Survey'!A1194:D2663,4,FALSE)</f>
        <v>3</v>
      </c>
      <c r="AH209">
        <f>VLOOKUP(A209,'Employee Engagement Survey'!A1194:E2663,5,FALSE)</f>
        <v>3</v>
      </c>
      <c r="AI209">
        <f t="shared" si="20"/>
        <v>3.25</v>
      </c>
    </row>
    <row r="210" spans="1:35" hidden="1" x14ac:dyDescent="0.4">
      <c r="A210">
        <v>1716</v>
      </c>
      <c r="B210" t="s">
        <v>26</v>
      </c>
      <c r="C210">
        <f t="shared" si="23"/>
        <v>0</v>
      </c>
      <c r="D210" t="s">
        <v>57</v>
      </c>
      <c r="E210">
        <f t="shared" si="19"/>
        <v>0</v>
      </c>
      <c r="F210" t="s">
        <v>40</v>
      </c>
      <c r="G210">
        <v>10</v>
      </c>
      <c r="H210" s="1">
        <v>167232</v>
      </c>
      <c r="I210" s="10">
        <v>0.11</v>
      </c>
      <c r="J210">
        <v>37.5</v>
      </c>
      <c r="K210" t="s">
        <v>34</v>
      </c>
      <c r="L210">
        <v>47</v>
      </c>
      <c r="M210" t="s">
        <v>29</v>
      </c>
      <c r="N210" t="s">
        <v>42</v>
      </c>
      <c r="O210" t="s">
        <v>44</v>
      </c>
      <c r="P210">
        <v>9</v>
      </c>
      <c r="Q210" t="s">
        <v>43</v>
      </c>
      <c r="R210" t="s">
        <v>37</v>
      </c>
      <c r="S210">
        <v>3</v>
      </c>
      <c r="T210">
        <v>0</v>
      </c>
      <c r="U210">
        <v>25</v>
      </c>
      <c r="V210">
        <v>3</v>
      </c>
      <c r="W210">
        <v>23</v>
      </c>
      <c r="X210">
        <v>5</v>
      </c>
      <c r="Y210">
        <v>14</v>
      </c>
      <c r="Z210">
        <v>10</v>
      </c>
      <c r="AA210" t="str">
        <f t="shared" si="21"/>
        <v>Long Tenure</v>
      </c>
      <c r="AC210">
        <f t="shared" si="22"/>
        <v>0</v>
      </c>
      <c r="AE210">
        <f>VLOOKUP(A210,'Employee Engagement Survey'!A1195:B2664,2,FALSE)</f>
        <v>3</v>
      </c>
      <c r="AF210">
        <f>VLOOKUP(A210,'Employee Engagement Survey'!A1195:C2664,3,FALSE)</f>
        <v>3</v>
      </c>
      <c r="AG210">
        <f>VLOOKUP(A210,'Employee Engagement Survey'!A1195:D2664,4,FALSE)</f>
        <v>3</v>
      </c>
      <c r="AH210">
        <f>VLOOKUP(A210,'Employee Engagement Survey'!A1195:E2664,5,FALSE)</f>
        <v>1</v>
      </c>
      <c r="AI210">
        <f t="shared" si="20"/>
        <v>2.5</v>
      </c>
    </row>
    <row r="211" spans="1:35" hidden="1" x14ac:dyDescent="0.4">
      <c r="A211">
        <v>1572</v>
      </c>
      <c r="B211" t="s">
        <v>26</v>
      </c>
      <c r="C211">
        <f t="shared" si="23"/>
        <v>0</v>
      </c>
      <c r="D211" t="s">
        <v>54</v>
      </c>
      <c r="E211">
        <f t="shared" si="19"/>
        <v>1</v>
      </c>
      <c r="F211" t="s">
        <v>28</v>
      </c>
      <c r="G211">
        <v>9</v>
      </c>
      <c r="H211" s="1">
        <v>134028</v>
      </c>
      <c r="I211" s="10">
        <v>0.16</v>
      </c>
      <c r="J211">
        <v>37.5</v>
      </c>
      <c r="K211" t="s">
        <v>34</v>
      </c>
      <c r="L211">
        <v>53</v>
      </c>
      <c r="M211" t="s">
        <v>47</v>
      </c>
      <c r="N211" t="s">
        <v>42</v>
      </c>
      <c r="O211" t="s">
        <v>31</v>
      </c>
      <c r="P211">
        <v>2</v>
      </c>
      <c r="Q211" t="s">
        <v>58</v>
      </c>
      <c r="R211" t="s">
        <v>45</v>
      </c>
      <c r="S211">
        <v>3</v>
      </c>
      <c r="T211">
        <v>1</v>
      </c>
      <c r="U211">
        <v>34</v>
      </c>
      <c r="V211">
        <v>4</v>
      </c>
      <c r="W211">
        <v>33</v>
      </c>
      <c r="X211">
        <v>7</v>
      </c>
      <c r="Y211">
        <v>1</v>
      </c>
      <c r="Z211">
        <v>9</v>
      </c>
      <c r="AA211" t="str">
        <f t="shared" si="21"/>
        <v>Long Tenure</v>
      </c>
      <c r="AC211">
        <f t="shared" si="22"/>
        <v>0</v>
      </c>
      <c r="AE211">
        <f>VLOOKUP(A211,'Employee Engagement Survey'!A1196:B2665,2,FALSE)</f>
        <v>3</v>
      </c>
      <c r="AF211">
        <f>VLOOKUP(A211,'Employee Engagement Survey'!A1196:C2665,3,FALSE)</f>
        <v>4</v>
      </c>
      <c r="AG211">
        <f>VLOOKUP(A211,'Employee Engagement Survey'!A1196:D2665,4,FALSE)</f>
        <v>2</v>
      </c>
      <c r="AH211">
        <f>VLOOKUP(A211,'Employee Engagement Survey'!A1196:E2665,5,FALSE)</f>
        <v>3</v>
      </c>
      <c r="AI211">
        <f t="shared" si="20"/>
        <v>3</v>
      </c>
    </row>
    <row r="212" spans="1:35" hidden="1" x14ac:dyDescent="0.4">
      <c r="A212">
        <v>165</v>
      </c>
      <c r="B212" t="s">
        <v>26</v>
      </c>
      <c r="C212">
        <f t="shared" si="23"/>
        <v>0</v>
      </c>
      <c r="D212" t="s">
        <v>55</v>
      </c>
      <c r="E212">
        <f t="shared" si="19"/>
        <v>0</v>
      </c>
      <c r="F212" t="s">
        <v>28</v>
      </c>
      <c r="G212">
        <v>9</v>
      </c>
      <c r="H212" s="1">
        <v>135744</v>
      </c>
      <c r="I212" s="10">
        <v>0.12</v>
      </c>
      <c r="J212">
        <v>37.5</v>
      </c>
      <c r="K212" t="s">
        <v>34</v>
      </c>
      <c r="L212">
        <v>58</v>
      </c>
      <c r="M212" t="s">
        <v>47</v>
      </c>
      <c r="N212" t="s">
        <v>42</v>
      </c>
      <c r="O212" t="s">
        <v>31</v>
      </c>
      <c r="P212">
        <v>23</v>
      </c>
      <c r="Q212" t="s">
        <v>51</v>
      </c>
      <c r="R212" t="s">
        <v>33</v>
      </c>
      <c r="S212">
        <v>3</v>
      </c>
      <c r="T212">
        <v>1</v>
      </c>
      <c r="U212">
        <v>40</v>
      </c>
      <c r="V212">
        <v>3</v>
      </c>
      <c r="W212">
        <v>40</v>
      </c>
      <c r="X212">
        <v>10</v>
      </c>
      <c r="Y212">
        <v>15</v>
      </c>
      <c r="Z212">
        <v>6</v>
      </c>
      <c r="AA212" t="str">
        <f t="shared" si="21"/>
        <v>Long Tenure</v>
      </c>
      <c r="AC212">
        <f t="shared" si="22"/>
        <v>0</v>
      </c>
      <c r="AE212">
        <f>VLOOKUP(A212,'Employee Engagement Survey'!A1206:B2675,2,FALSE)</f>
        <v>4</v>
      </c>
      <c r="AF212">
        <f>VLOOKUP(A212,'Employee Engagement Survey'!A1206:C2675,3,FALSE)</f>
        <v>4</v>
      </c>
      <c r="AG212">
        <f>VLOOKUP(A212,'Employee Engagement Survey'!A1206:D2675,4,FALSE)</f>
        <v>4</v>
      </c>
      <c r="AH212">
        <f>VLOOKUP(A212,'Employee Engagement Survey'!A1206:E2675,5,FALSE)</f>
        <v>2</v>
      </c>
      <c r="AI212">
        <f t="shared" si="20"/>
        <v>3.5</v>
      </c>
    </row>
    <row r="213" spans="1:35" hidden="1" x14ac:dyDescent="0.4">
      <c r="A213">
        <v>1733</v>
      </c>
      <c r="B213" t="s">
        <v>26</v>
      </c>
      <c r="C213">
        <f t="shared" si="23"/>
        <v>0</v>
      </c>
      <c r="D213" t="s">
        <v>57</v>
      </c>
      <c r="E213">
        <f t="shared" si="19"/>
        <v>0</v>
      </c>
      <c r="F213" t="s">
        <v>40</v>
      </c>
      <c r="G213">
        <v>8</v>
      </c>
      <c r="H213" s="1">
        <v>85608</v>
      </c>
      <c r="I213" s="10">
        <v>0.13</v>
      </c>
      <c r="J213">
        <v>37.5</v>
      </c>
      <c r="K213" t="s">
        <v>26</v>
      </c>
      <c r="L213">
        <v>36</v>
      </c>
      <c r="M213" t="s">
        <v>29</v>
      </c>
      <c r="N213" t="s">
        <v>48</v>
      </c>
      <c r="O213" t="s">
        <v>31</v>
      </c>
      <c r="P213">
        <v>13</v>
      </c>
      <c r="Q213" t="s">
        <v>58</v>
      </c>
      <c r="R213" t="s">
        <v>56</v>
      </c>
      <c r="S213">
        <v>3</v>
      </c>
      <c r="T213">
        <v>3</v>
      </c>
      <c r="U213">
        <v>16</v>
      </c>
      <c r="V213">
        <v>3</v>
      </c>
      <c r="W213">
        <v>2</v>
      </c>
      <c r="X213">
        <v>2</v>
      </c>
      <c r="Y213">
        <v>2</v>
      </c>
      <c r="Z213">
        <v>2</v>
      </c>
      <c r="AA213" t="str">
        <f t="shared" si="21"/>
        <v>Early Tenure</v>
      </c>
      <c r="AC213">
        <f t="shared" si="22"/>
        <v>0</v>
      </c>
      <c r="AE213">
        <f>VLOOKUP(A213,'Employee Engagement Survey'!A1218:B2687,2,FALSE)</f>
        <v>2</v>
      </c>
      <c r="AF213">
        <f>VLOOKUP(A213,'Employee Engagement Survey'!A1218:C2687,3,FALSE)</f>
        <v>1</v>
      </c>
      <c r="AG213">
        <f>VLOOKUP(A213,'Employee Engagement Survey'!A1218:D2687,4,FALSE)</f>
        <v>2</v>
      </c>
      <c r="AH213">
        <f>VLOOKUP(A213,'Employee Engagement Survey'!A1218:E2687,5,FALSE)</f>
        <v>3</v>
      </c>
      <c r="AI213">
        <f t="shared" si="20"/>
        <v>2</v>
      </c>
    </row>
    <row r="214" spans="1:35" hidden="1" x14ac:dyDescent="0.4">
      <c r="A214">
        <v>1734</v>
      </c>
      <c r="B214" t="s">
        <v>26</v>
      </c>
      <c r="C214">
        <f t="shared" si="23"/>
        <v>0</v>
      </c>
      <c r="D214" t="s">
        <v>57</v>
      </c>
      <c r="E214">
        <f t="shared" si="19"/>
        <v>0</v>
      </c>
      <c r="F214" t="s">
        <v>40</v>
      </c>
      <c r="G214">
        <v>8</v>
      </c>
      <c r="H214" s="1">
        <v>92820</v>
      </c>
      <c r="I214" s="10">
        <v>0.15</v>
      </c>
      <c r="J214">
        <v>37.5</v>
      </c>
      <c r="K214" t="s">
        <v>34</v>
      </c>
      <c r="L214">
        <v>32</v>
      </c>
      <c r="M214" t="s">
        <v>29</v>
      </c>
      <c r="N214" t="s">
        <v>30</v>
      </c>
      <c r="O214" t="s">
        <v>31</v>
      </c>
      <c r="P214">
        <v>1</v>
      </c>
      <c r="Q214" t="s">
        <v>36</v>
      </c>
      <c r="R214" t="s">
        <v>37</v>
      </c>
      <c r="S214">
        <v>3</v>
      </c>
      <c r="T214">
        <v>0</v>
      </c>
      <c r="U214">
        <v>10</v>
      </c>
      <c r="V214">
        <v>2</v>
      </c>
      <c r="W214">
        <v>0</v>
      </c>
      <c r="X214">
        <v>0</v>
      </c>
      <c r="Y214">
        <v>0</v>
      </c>
      <c r="Z214">
        <v>0</v>
      </c>
      <c r="AA214" t="str">
        <f t="shared" si="21"/>
        <v>Early Tenure</v>
      </c>
      <c r="AC214">
        <f t="shared" si="22"/>
        <v>0</v>
      </c>
      <c r="AE214">
        <f>VLOOKUP(A214,'Employee Engagement Survey'!A1220:B2689,2,FALSE)</f>
        <v>1</v>
      </c>
      <c r="AF214">
        <f>VLOOKUP(A214,'Employee Engagement Survey'!A1220:C2689,3,FALSE)</f>
        <v>2</v>
      </c>
      <c r="AG214">
        <f>VLOOKUP(A214,'Employee Engagement Survey'!A1220:D2689,4,FALSE)</f>
        <v>2</v>
      </c>
      <c r="AH214">
        <f>VLOOKUP(A214,'Employee Engagement Survey'!A1220:E2689,5,FALSE)</f>
        <v>3</v>
      </c>
      <c r="AI214">
        <f t="shared" si="20"/>
        <v>2</v>
      </c>
    </row>
    <row r="215" spans="1:35" hidden="1" x14ac:dyDescent="0.4">
      <c r="A215">
        <v>1761</v>
      </c>
      <c r="B215" t="s">
        <v>26</v>
      </c>
      <c r="C215">
        <f t="shared" si="23"/>
        <v>0</v>
      </c>
      <c r="D215" t="s">
        <v>57</v>
      </c>
      <c r="E215">
        <f t="shared" si="19"/>
        <v>0</v>
      </c>
      <c r="F215" t="s">
        <v>40</v>
      </c>
      <c r="G215">
        <v>9</v>
      </c>
      <c r="H215" s="1">
        <v>109932</v>
      </c>
      <c r="I215" s="10">
        <v>0.13</v>
      </c>
      <c r="J215">
        <v>37.5</v>
      </c>
      <c r="K215" t="s">
        <v>34</v>
      </c>
      <c r="L215">
        <v>31</v>
      </c>
      <c r="M215" t="s">
        <v>29</v>
      </c>
      <c r="N215" t="s">
        <v>42</v>
      </c>
      <c r="O215" t="s">
        <v>31</v>
      </c>
      <c r="P215">
        <v>16</v>
      </c>
      <c r="Q215" t="s">
        <v>51</v>
      </c>
      <c r="R215" t="s">
        <v>56</v>
      </c>
      <c r="S215">
        <v>3</v>
      </c>
      <c r="T215">
        <v>3</v>
      </c>
      <c r="U215">
        <v>10</v>
      </c>
      <c r="V215">
        <v>2</v>
      </c>
      <c r="W215">
        <v>1</v>
      </c>
      <c r="X215">
        <v>0</v>
      </c>
      <c r="Y215">
        <v>0</v>
      </c>
      <c r="Z215">
        <v>0</v>
      </c>
      <c r="AA215" t="str">
        <f t="shared" si="21"/>
        <v>Early Tenure</v>
      </c>
      <c r="AC215">
        <f t="shared" si="22"/>
        <v>0</v>
      </c>
      <c r="AE215">
        <f>VLOOKUP(A215,'Employee Engagement Survey'!A1232:B2701,2,FALSE)</f>
        <v>1</v>
      </c>
      <c r="AF215">
        <f>VLOOKUP(A215,'Employee Engagement Survey'!A1232:C2701,3,FALSE)</f>
        <v>3</v>
      </c>
      <c r="AG215">
        <f>VLOOKUP(A215,'Employee Engagement Survey'!A1232:D2701,4,FALSE)</f>
        <v>1</v>
      </c>
      <c r="AH215">
        <f>VLOOKUP(A215,'Employee Engagement Survey'!A1232:E2701,5,FALSE)</f>
        <v>3</v>
      </c>
      <c r="AI215">
        <f t="shared" si="20"/>
        <v>2</v>
      </c>
    </row>
    <row r="216" spans="1:35" hidden="1" x14ac:dyDescent="0.4">
      <c r="A216">
        <v>1767</v>
      </c>
      <c r="B216" t="s">
        <v>26</v>
      </c>
      <c r="C216">
        <f t="shared" si="23"/>
        <v>0</v>
      </c>
      <c r="D216" t="s">
        <v>27</v>
      </c>
      <c r="E216">
        <f t="shared" si="19"/>
        <v>0</v>
      </c>
      <c r="F216" t="s">
        <v>28</v>
      </c>
      <c r="G216">
        <v>4</v>
      </c>
      <c r="H216" s="1">
        <v>53244</v>
      </c>
      <c r="I216" s="10">
        <v>0.16</v>
      </c>
      <c r="J216">
        <v>37.5</v>
      </c>
      <c r="K216" t="s">
        <v>26</v>
      </c>
      <c r="L216">
        <v>43</v>
      </c>
      <c r="M216" t="s">
        <v>29</v>
      </c>
      <c r="N216" t="s">
        <v>42</v>
      </c>
      <c r="O216" t="s">
        <v>44</v>
      </c>
      <c r="P216">
        <v>17</v>
      </c>
      <c r="Q216" t="s">
        <v>43</v>
      </c>
      <c r="R216" t="s">
        <v>45</v>
      </c>
      <c r="S216">
        <v>3</v>
      </c>
      <c r="T216">
        <v>1</v>
      </c>
      <c r="U216">
        <v>6</v>
      </c>
      <c r="V216">
        <v>4</v>
      </c>
      <c r="W216">
        <v>1</v>
      </c>
      <c r="X216">
        <v>0</v>
      </c>
      <c r="Y216">
        <v>0</v>
      </c>
      <c r="Z216">
        <v>0</v>
      </c>
      <c r="AA216" t="str">
        <f t="shared" si="21"/>
        <v>Early Tenure</v>
      </c>
      <c r="AC216">
        <f t="shared" si="22"/>
        <v>0</v>
      </c>
      <c r="AE216">
        <f>VLOOKUP(A216,'Employee Engagement Survey'!A1239:B2708,2,FALSE)</f>
        <v>3</v>
      </c>
      <c r="AF216">
        <f>VLOOKUP(A216,'Employee Engagement Survey'!A1239:C2708,3,FALSE)</f>
        <v>3</v>
      </c>
      <c r="AG216">
        <f>VLOOKUP(A216,'Employee Engagement Survey'!A1239:D2708,4,FALSE)</f>
        <v>4</v>
      </c>
      <c r="AH216">
        <f>VLOOKUP(A216,'Employee Engagement Survey'!A1239:E2708,5,FALSE)</f>
        <v>3</v>
      </c>
      <c r="AI216">
        <f t="shared" si="20"/>
        <v>3.25</v>
      </c>
    </row>
    <row r="217" spans="1:35" hidden="1" x14ac:dyDescent="0.4">
      <c r="A217">
        <v>1780</v>
      </c>
      <c r="B217" t="s">
        <v>26</v>
      </c>
      <c r="C217">
        <f t="shared" si="23"/>
        <v>0</v>
      </c>
      <c r="D217" t="s">
        <v>39</v>
      </c>
      <c r="E217">
        <f t="shared" si="19"/>
        <v>0</v>
      </c>
      <c r="F217" t="s">
        <v>40</v>
      </c>
      <c r="G217">
        <v>5</v>
      </c>
      <c r="H217" s="1">
        <v>56148</v>
      </c>
      <c r="I217" s="10">
        <v>0.13</v>
      </c>
      <c r="J217">
        <v>37.5</v>
      </c>
      <c r="K217" t="s">
        <v>34</v>
      </c>
      <c r="L217">
        <v>21</v>
      </c>
      <c r="M217" t="s">
        <v>29</v>
      </c>
      <c r="N217" t="s">
        <v>30</v>
      </c>
      <c r="O217" t="s">
        <v>31</v>
      </c>
      <c r="P217">
        <v>7</v>
      </c>
      <c r="Q217" t="s">
        <v>32</v>
      </c>
      <c r="R217" t="s">
        <v>56</v>
      </c>
      <c r="S217">
        <v>3</v>
      </c>
      <c r="T217">
        <v>0</v>
      </c>
      <c r="U217">
        <v>1</v>
      </c>
      <c r="V217">
        <v>3</v>
      </c>
      <c r="W217">
        <v>1</v>
      </c>
      <c r="X217">
        <v>0</v>
      </c>
      <c r="Y217">
        <v>1</v>
      </c>
      <c r="Z217">
        <v>0</v>
      </c>
      <c r="AA217" t="str">
        <f t="shared" si="21"/>
        <v>Early Tenure</v>
      </c>
      <c r="AC217">
        <f t="shared" si="22"/>
        <v>0</v>
      </c>
      <c r="AE217">
        <f>VLOOKUP(A217,'Employee Engagement Survey'!A1248:B2717,2,FALSE)</f>
        <v>2</v>
      </c>
      <c r="AF217">
        <f>VLOOKUP(A217,'Employee Engagement Survey'!A1248:C2717,3,FALSE)</f>
        <v>2</v>
      </c>
      <c r="AG217">
        <f>VLOOKUP(A217,'Employee Engagement Survey'!A1248:D2717,4,FALSE)</f>
        <v>2</v>
      </c>
      <c r="AH217">
        <f>VLOOKUP(A217,'Employee Engagement Survey'!A1248:E2717,5,FALSE)</f>
        <v>3</v>
      </c>
      <c r="AI217">
        <f t="shared" si="20"/>
        <v>2.25</v>
      </c>
    </row>
    <row r="218" spans="1:35" hidden="1" x14ac:dyDescent="0.4">
      <c r="A218">
        <v>1792</v>
      </c>
      <c r="B218" t="s">
        <v>26</v>
      </c>
      <c r="C218">
        <f t="shared" si="23"/>
        <v>0</v>
      </c>
      <c r="D218" t="s">
        <v>27</v>
      </c>
      <c r="E218">
        <f t="shared" si="19"/>
        <v>0</v>
      </c>
      <c r="F218" t="s">
        <v>28</v>
      </c>
      <c r="G218">
        <v>4</v>
      </c>
      <c r="H218" s="1">
        <v>52104</v>
      </c>
      <c r="I218" s="10">
        <v>0.12</v>
      </c>
      <c r="J218">
        <v>37.5</v>
      </c>
      <c r="K218" t="s">
        <v>26</v>
      </c>
      <c r="L218">
        <v>44</v>
      </c>
      <c r="M218" t="s">
        <v>29</v>
      </c>
      <c r="N218" t="s">
        <v>48</v>
      </c>
      <c r="O218" t="s">
        <v>44</v>
      </c>
      <c r="P218">
        <v>1</v>
      </c>
      <c r="Q218" t="s">
        <v>36</v>
      </c>
      <c r="R218" t="s">
        <v>33</v>
      </c>
      <c r="S218">
        <v>3</v>
      </c>
      <c r="T218">
        <v>3</v>
      </c>
      <c r="U218">
        <v>6</v>
      </c>
      <c r="V218">
        <v>2</v>
      </c>
      <c r="W218">
        <v>5</v>
      </c>
      <c r="X218">
        <v>3</v>
      </c>
      <c r="Y218">
        <v>2</v>
      </c>
      <c r="Z218">
        <v>3</v>
      </c>
      <c r="AA218" t="str">
        <f t="shared" si="21"/>
        <v>Mid Tenure</v>
      </c>
      <c r="AC218">
        <f t="shared" si="22"/>
        <v>0</v>
      </c>
      <c r="AE218">
        <f>VLOOKUP(A218,'Employee Engagement Survey'!A1254:B2723,2,FALSE)</f>
        <v>3</v>
      </c>
      <c r="AF218">
        <f>VLOOKUP(A218,'Employee Engagement Survey'!A1254:C2723,3,FALSE)</f>
        <v>2</v>
      </c>
      <c r="AG218">
        <f>VLOOKUP(A218,'Employee Engagement Survey'!A1254:D2723,4,FALSE)</f>
        <v>3</v>
      </c>
      <c r="AH218">
        <f>VLOOKUP(A218,'Employee Engagement Survey'!A1254:E2723,5,FALSE)</f>
        <v>2</v>
      </c>
      <c r="AI218">
        <f t="shared" si="20"/>
        <v>2.5</v>
      </c>
    </row>
    <row r="219" spans="1:35" hidden="1" x14ac:dyDescent="0.4">
      <c r="A219">
        <v>1797</v>
      </c>
      <c r="B219" t="s">
        <v>26</v>
      </c>
      <c r="C219">
        <f t="shared" si="23"/>
        <v>0</v>
      </c>
      <c r="D219" t="s">
        <v>57</v>
      </c>
      <c r="E219">
        <f t="shared" si="19"/>
        <v>0</v>
      </c>
      <c r="F219" t="s">
        <v>40</v>
      </c>
      <c r="G219">
        <v>7</v>
      </c>
      <c r="H219" s="1">
        <v>81756</v>
      </c>
      <c r="I219" s="10">
        <v>0.18</v>
      </c>
      <c r="J219">
        <v>37.5</v>
      </c>
      <c r="K219" t="s">
        <v>26</v>
      </c>
      <c r="L219">
        <v>35</v>
      </c>
      <c r="M219" t="s">
        <v>29</v>
      </c>
      <c r="N219" t="s">
        <v>30</v>
      </c>
      <c r="O219" t="s">
        <v>31</v>
      </c>
      <c r="P219">
        <v>27</v>
      </c>
      <c r="Q219" t="s">
        <v>43</v>
      </c>
      <c r="R219" t="s">
        <v>37</v>
      </c>
      <c r="S219">
        <v>3</v>
      </c>
      <c r="T219">
        <v>0</v>
      </c>
      <c r="U219">
        <v>10</v>
      </c>
      <c r="V219">
        <v>2</v>
      </c>
      <c r="W219">
        <v>10</v>
      </c>
      <c r="X219">
        <v>7</v>
      </c>
      <c r="Y219">
        <v>7</v>
      </c>
      <c r="Z219">
        <v>7</v>
      </c>
      <c r="AA219" t="str">
        <f t="shared" si="21"/>
        <v>Long Tenure</v>
      </c>
      <c r="AC219">
        <f t="shared" si="22"/>
        <v>0</v>
      </c>
      <c r="AE219">
        <f>VLOOKUP(A219,'Employee Engagement Survey'!A1256:B2725,2,FALSE)</f>
        <v>3</v>
      </c>
      <c r="AF219">
        <f>VLOOKUP(A219,'Employee Engagement Survey'!A1256:C2725,3,FALSE)</f>
        <v>4</v>
      </c>
      <c r="AG219">
        <f>VLOOKUP(A219,'Employee Engagement Survey'!A1256:D2725,4,FALSE)</f>
        <v>4</v>
      </c>
      <c r="AH219">
        <f>VLOOKUP(A219,'Employee Engagement Survey'!A1256:E2725,5,FALSE)</f>
        <v>3</v>
      </c>
      <c r="AI219">
        <f t="shared" si="20"/>
        <v>3.5</v>
      </c>
    </row>
    <row r="220" spans="1:35" hidden="1" x14ac:dyDescent="0.4">
      <c r="A220">
        <v>1807</v>
      </c>
      <c r="B220" t="s">
        <v>26</v>
      </c>
      <c r="C220">
        <f t="shared" si="23"/>
        <v>0</v>
      </c>
      <c r="D220" t="s">
        <v>46</v>
      </c>
      <c r="E220">
        <f t="shared" si="19"/>
        <v>0</v>
      </c>
      <c r="F220" t="s">
        <v>28</v>
      </c>
      <c r="G220">
        <v>7</v>
      </c>
      <c r="H220" s="1">
        <v>76152</v>
      </c>
      <c r="I220" s="10">
        <v>0.17</v>
      </c>
      <c r="J220">
        <v>37.5</v>
      </c>
      <c r="K220" t="s">
        <v>34</v>
      </c>
      <c r="L220">
        <v>34</v>
      </c>
      <c r="M220" t="s">
        <v>29</v>
      </c>
      <c r="N220" t="s">
        <v>42</v>
      </c>
      <c r="O220" t="s">
        <v>44</v>
      </c>
      <c r="P220">
        <v>9</v>
      </c>
      <c r="Q220" t="s">
        <v>51</v>
      </c>
      <c r="R220" t="s">
        <v>37</v>
      </c>
      <c r="S220">
        <v>3</v>
      </c>
      <c r="T220">
        <v>1</v>
      </c>
      <c r="U220">
        <v>11</v>
      </c>
      <c r="V220">
        <v>3</v>
      </c>
      <c r="W220">
        <v>7</v>
      </c>
      <c r="X220">
        <v>1</v>
      </c>
      <c r="Y220">
        <v>0</v>
      </c>
      <c r="Z220">
        <v>7</v>
      </c>
      <c r="AA220" t="str">
        <f t="shared" si="21"/>
        <v>Mid Tenure</v>
      </c>
      <c r="AC220">
        <f t="shared" si="22"/>
        <v>0</v>
      </c>
      <c r="AE220">
        <f>VLOOKUP(A220,'Employee Engagement Survey'!A1269:B2738,2,FALSE)</f>
        <v>4</v>
      </c>
      <c r="AF220">
        <f>VLOOKUP(A220,'Employee Engagement Survey'!A1269:C2738,3,FALSE)</f>
        <v>1</v>
      </c>
      <c r="AG220">
        <f>VLOOKUP(A220,'Employee Engagement Survey'!A1269:D2738,4,FALSE)</f>
        <v>3</v>
      </c>
      <c r="AH220">
        <f>VLOOKUP(A220,'Employee Engagement Survey'!A1269:E2738,5,FALSE)</f>
        <v>2</v>
      </c>
      <c r="AI220">
        <f t="shared" si="20"/>
        <v>2.5</v>
      </c>
    </row>
    <row r="221" spans="1:35" hidden="1" x14ac:dyDescent="0.4">
      <c r="A221">
        <v>1809</v>
      </c>
      <c r="B221" t="s">
        <v>26</v>
      </c>
      <c r="C221">
        <f t="shared" si="23"/>
        <v>0</v>
      </c>
      <c r="D221" t="s">
        <v>54</v>
      </c>
      <c r="E221">
        <f t="shared" si="19"/>
        <v>1</v>
      </c>
      <c r="F221" t="s">
        <v>28</v>
      </c>
      <c r="G221">
        <v>6</v>
      </c>
      <c r="H221" s="1">
        <v>62556</v>
      </c>
      <c r="I221" s="10">
        <v>0.15</v>
      </c>
      <c r="J221">
        <v>37.5</v>
      </c>
      <c r="K221" t="s">
        <v>34</v>
      </c>
      <c r="L221">
        <v>37</v>
      </c>
      <c r="M221" t="s">
        <v>29</v>
      </c>
      <c r="N221" t="s">
        <v>30</v>
      </c>
      <c r="O221" t="s">
        <v>31</v>
      </c>
      <c r="P221">
        <v>10</v>
      </c>
      <c r="Q221" t="s">
        <v>51</v>
      </c>
      <c r="R221" t="s">
        <v>33</v>
      </c>
      <c r="S221">
        <v>3</v>
      </c>
      <c r="T221">
        <v>0</v>
      </c>
      <c r="U221">
        <v>10</v>
      </c>
      <c r="V221">
        <v>4</v>
      </c>
      <c r="W221">
        <v>10</v>
      </c>
      <c r="X221">
        <v>3</v>
      </c>
      <c r="Y221">
        <v>0</v>
      </c>
      <c r="Z221">
        <v>8</v>
      </c>
      <c r="AA221" t="str">
        <f t="shared" si="21"/>
        <v>Long Tenure</v>
      </c>
      <c r="AC221">
        <f t="shared" si="22"/>
        <v>0</v>
      </c>
      <c r="AE221">
        <f>VLOOKUP(A221,'Employee Engagement Survey'!A1271:B2740,2,FALSE)</f>
        <v>4</v>
      </c>
      <c r="AF221">
        <f>VLOOKUP(A221,'Employee Engagement Survey'!A1271:C2740,3,FALSE)</f>
        <v>1</v>
      </c>
      <c r="AG221">
        <f>VLOOKUP(A221,'Employee Engagement Survey'!A1271:D2740,4,FALSE)</f>
        <v>2</v>
      </c>
      <c r="AH221">
        <f>VLOOKUP(A221,'Employee Engagement Survey'!A1271:E2740,5,FALSE)</f>
        <v>1</v>
      </c>
      <c r="AI221">
        <f t="shared" si="20"/>
        <v>2</v>
      </c>
    </row>
    <row r="222" spans="1:35" hidden="1" x14ac:dyDescent="0.4">
      <c r="A222">
        <v>986</v>
      </c>
      <c r="B222" t="s">
        <v>26</v>
      </c>
      <c r="C222">
        <f t="shared" si="23"/>
        <v>0</v>
      </c>
      <c r="D222" t="s">
        <v>57</v>
      </c>
      <c r="E222">
        <f t="shared" si="19"/>
        <v>0</v>
      </c>
      <c r="F222" t="s">
        <v>40</v>
      </c>
      <c r="G222">
        <v>10</v>
      </c>
      <c r="H222" s="1">
        <v>170328</v>
      </c>
      <c r="I222" s="10">
        <v>0.16</v>
      </c>
      <c r="J222">
        <v>37.5</v>
      </c>
      <c r="K222" t="s">
        <v>26</v>
      </c>
      <c r="L222">
        <v>40</v>
      </c>
      <c r="M222" t="s">
        <v>47</v>
      </c>
      <c r="N222" t="s">
        <v>30</v>
      </c>
      <c r="O222" t="s">
        <v>35</v>
      </c>
      <c r="P222">
        <v>24</v>
      </c>
      <c r="Q222" t="s">
        <v>43</v>
      </c>
      <c r="R222" t="s">
        <v>37</v>
      </c>
      <c r="S222">
        <v>3</v>
      </c>
      <c r="T222">
        <v>0</v>
      </c>
      <c r="U222">
        <v>22</v>
      </c>
      <c r="V222">
        <v>2</v>
      </c>
      <c r="W222">
        <v>1</v>
      </c>
      <c r="X222">
        <v>0</v>
      </c>
      <c r="Y222">
        <v>0</v>
      </c>
      <c r="Z222">
        <v>0</v>
      </c>
      <c r="AA222" t="str">
        <f t="shared" si="21"/>
        <v>Early Tenure</v>
      </c>
      <c r="AC222">
        <f t="shared" si="22"/>
        <v>0</v>
      </c>
      <c r="AE222">
        <f>VLOOKUP(A222,'Employee Engagement Survey'!A1291:B2760,2,FALSE)</f>
        <v>2</v>
      </c>
      <c r="AF222">
        <f>VLOOKUP(A222,'Employee Engagement Survey'!A1291:C2760,3,FALSE)</f>
        <v>2</v>
      </c>
      <c r="AG222">
        <f>VLOOKUP(A222,'Employee Engagement Survey'!A1291:D2760,4,FALSE)</f>
        <v>4</v>
      </c>
      <c r="AH222">
        <f>VLOOKUP(A222,'Employee Engagement Survey'!A1291:E2760,5,FALSE)</f>
        <v>2</v>
      </c>
      <c r="AI222">
        <f t="shared" si="20"/>
        <v>2.5</v>
      </c>
    </row>
    <row r="223" spans="1:35" hidden="1" x14ac:dyDescent="0.4">
      <c r="A223">
        <v>1842</v>
      </c>
      <c r="B223" t="s">
        <v>26</v>
      </c>
      <c r="C223">
        <f t="shared" si="23"/>
        <v>0</v>
      </c>
      <c r="D223" t="s">
        <v>106</v>
      </c>
      <c r="E223">
        <f t="shared" si="19"/>
        <v>0</v>
      </c>
      <c r="F223" t="s">
        <v>59</v>
      </c>
      <c r="G223">
        <v>5</v>
      </c>
      <c r="H223" s="1">
        <v>59472</v>
      </c>
      <c r="I223" s="10">
        <v>0.17</v>
      </c>
      <c r="J223">
        <v>37.5</v>
      </c>
      <c r="K223" t="s">
        <v>34</v>
      </c>
      <c r="L223">
        <v>31</v>
      </c>
      <c r="M223" t="s">
        <v>29</v>
      </c>
      <c r="N223" t="s">
        <v>42</v>
      </c>
      <c r="O223" t="s">
        <v>31</v>
      </c>
      <c r="P223">
        <v>18</v>
      </c>
      <c r="Q223" t="s">
        <v>58</v>
      </c>
      <c r="R223" t="s">
        <v>59</v>
      </c>
      <c r="S223">
        <v>3</v>
      </c>
      <c r="T223">
        <v>0</v>
      </c>
      <c r="U223">
        <v>2</v>
      </c>
      <c r="V223">
        <v>4</v>
      </c>
      <c r="W223">
        <v>1</v>
      </c>
      <c r="X223">
        <v>0</v>
      </c>
      <c r="Y223">
        <v>0</v>
      </c>
      <c r="Z223">
        <v>0</v>
      </c>
      <c r="AA223" t="str">
        <f t="shared" si="21"/>
        <v>Early Tenure</v>
      </c>
      <c r="AC223">
        <f t="shared" si="22"/>
        <v>0</v>
      </c>
      <c r="AE223">
        <f>VLOOKUP(A223,'Employee Engagement Survey'!A1300:B2769,2,FALSE)</f>
        <v>4</v>
      </c>
      <c r="AF223">
        <f>VLOOKUP(A223,'Employee Engagement Survey'!A1300:C2769,3,FALSE)</f>
        <v>1</v>
      </c>
      <c r="AG223">
        <f>VLOOKUP(A223,'Employee Engagement Survey'!A1300:D2769,4,FALSE)</f>
        <v>3</v>
      </c>
      <c r="AH223">
        <f>VLOOKUP(A223,'Employee Engagement Survey'!A1300:E2769,5,FALSE)</f>
        <v>3</v>
      </c>
      <c r="AI223">
        <f t="shared" si="20"/>
        <v>2.75</v>
      </c>
    </row>
    <row r="224" spans="1:35" hidden="1" x14ac:dyDescent="0.4">
      <c r="A224">
        <v>1844</v>
      </c>
      <c r="B224" t="s">
        <v>26</v>
      </c>
      <c r="C224">
        <f t="shared" si="23"/>
        <v>0</v>
      </c>
      <c r="D224" t="s">
        <v>105</v>
      </c>
      <c r="E224">
        <f t="shared" si="19"/>
        <v>0</v>
      </c>
      <c r="F224" t="s">
        <v>59</v>
      </c>
      <c r="G224">
        <v>4</v>
      </c>
      <c r="H224" s="1">
        <v>52020</v>
      </c>
      <c r="I224" s="10">
        <v>0.15</v>
      </c>
      <c r="J224">
        <v>37.5</v>
      </c>
      <c r="K224" t="s">
        <v>26</v>
      </c>
      <c r="L224">
        <v>29</v>
      </c>
      <c r="M224" t="s">
        <v>29</v>
      </c>
      <c r="N224" t="s">
        <v>48</v>
      </c>
      <c r="O224" t="s">
        <v>31</v>
      </c>
      <c r="P224">
        <v>13</v>
      </c>
      <c r="Q224" t="s">
        <v>43</v>
      </c>
      <c r="R224" t="s">
        <v>59</v>
      </c>
      <c r="S224">
        <v>3</v>
      </c>
      <c r="T224">
        <v>3</v>
      </c>
      <c r="U224">
        <v>4</v>
      </c>
      <c r="V224">
        <v>3</v>
      </c>
      <c r="W224">
        <v>2</v>
      </c>
      <c r="X224">
        <v>2</v>
      </c>
      <c r="Y224">
        <v>2</v>
      </c>
      <c r="Z224">
        <v>0</v>
      </c>
      <c r="AA224" t="str">
        <f t="shared" si="21"/>
        <v>Early Tenure</v>
      </c>
      <c r="AC224">
        <f t="shared" si="22"/>
        <v>0</v>
      </c>
      <c r="AE224">
        <f>VLOOKUP(A224,'Employee Engagement Survey'!A1301:B2770,2,FALSE)</f>
        <v>1</v>
      </c>
      <c r="AF224">
        <f>VLOOKUP(A224,'Employee Engagement Survey'!A1301:C2770,3,FALSE)</f>
        <v>1</v>
      </c>
      <c r="AG224">
        <f>VLOOKUP(A224,'Employee Engagement Survey'!A1301:D2770,4,FALSE)</f>
        <v>4</v>
      </c>
      <c r="AH224">
        <f>VLOOKUP(A224,'Employee Engagement Survey'!A1301:E2770,5,FALSE)</f>
        <v>3</v>
      </c>
      <c r="AI224">
        <f t="shared" si="20"/>
        <v>2.25</v>
      </c>
    </row>
    <row r="225" spans="1:35" hidden="1" x14ac:dyDescent="0.4">
      <c r="A225">
        <v>1862</v>
      </c>
      <c r="B225" t="s">
        <v>26</v>
      </c>
      <c r="C225">
        <f t="shared" si="23"/>
        <v>0</v>
      </c>
      <c r="D225" t="s">
        <v>57</v>
      </c>
      <c r="E225">
        <f t="shared" si="19"/>
        <v>0</v>
      </c>
      <c r="F225" t="s">
        <v>40</v>
      </c>
      <c r="G225">
        <v>9</v>
      </c>
      <c r="H225" s="1">
        <v>130884</v>
      </c>
      <c r="I225" s="10">
        <v>0.12</v>
      </c>
      <c r="J225">
        <v>37.5</v>
      </c>
      <c r="K225" t="s">
        <v>26</v>
      </c>
      <c r="L225">
        <v>32</v>
      </c>
      <c r="M225" t="s">
        <v>29</v>
      </c>
      <c r="N225" t="s">
        <v>30</v>
      </c>
      <c r="O225" t="s">
        <v>31</v>
      </c>
      <c r="P225">
        <v>2</v>
      </c>
      <c r="Q225" t="s">
        <v>51</v>
      </c>
      <c r="R225" t="s">
        <v>56</v>
      </c>
      <c r="S225">
        <v>3</v>
      </c>
      <c r="T225">
        <v>0</v>
      </c>
      <c r="U225">
        <v>7</v>
      </c>
      <c r="V225">
        <v>3</v>
      </c>
      <c r="W225">
        <v>2</v>
      </c>
      <c r="X225">
        <v>2</v>
      </c>
      <c r="Y225">
        <v>2</v>
      </c>
      <c r="Z225">
        <v>2</v>
      </c>
      <c r="AA225" t="str">
        <f t="shared" si="21"/>
        <v>Early Tenure</v>
      </c>
      <c r="AC225">
        <f t="shared" si="22"/>
        <v>0</v>
      </c>
      <c r="AE225">
        <f>VLOOKUP(A225,'Employee Engagement Survey'!A1318:B2787,2,FALSE)</f>
        <v>3</v>
      </c>
      <c r="AF225">
        <f>VLOOKUP(A225,'Employee Engagement Survey'!A1318:C2787,3,FALSE)</f>
        <v>2</v>
      </c>
      <c r="AG225">
        <f>VLOOKUP(A225,'Employee Engagement Survey'!A1318:D2787,4,FALSE)</f>
        <v>3</v>
      </c>
      <c r="AH225">
        <f>VLOOKUP(A225,'Employee Engagement Survey'!A1318:E2787,5,FALSE)</f>
        <v>2</v>
      </c>
      <c r="AI225">
        <f t="shared" si="20"/>
        <v>2.5</v>
      </c>
    </row>
    <row r="226" spans="1:35" hidden="1" x14ac:dyDescent="0.4">
      <c r="A226">
        <v>1868</v>
      </c>
      <c r="B226" t="s">
        <v>26</v>
      </c>
      <c r="C226">
        <f t="shared" si="23"/>
        <v>0</v>
      </c>
      <c r="D226" t="s">
        <v>27</v>
      </c>
      <c r="E226">
        <f t="shared" si="19"/>
        <v>0</v>
      </c>
      <c r="F226" t="s">
        <v>28</v>
      </c>
      <c r="G226">
        <v>4</v>
      </c>
      <c r="H226" s="1">
        <v>53268</v>
      </c>
      <c r="I226" s="10">
        <v>0.24</v>
      </c>
      <c r="J226">
        <v>37.5</v>
      </c>
      <c r="K226" t="s">
        <v>26</v>
      </c>
      <c r="L226">
        <v>29</v>
      </c>
      <c r="M226" t="s">
        <v>29</v>
      </c>
      <c r="N226" t="s">
        <v>30</v>
      </c>
      <c r="O226" t="s">
        <v>44</v>
      </c>
      <c r="P226">
        <v>24</v>
      </c>
      <c r="Q226" t="s">
        <v>36</v>
      </c>
      <c r="R226" t="s">
        <v>37</v>
      </c>
      <c r="S226">
        <v>4</v>
      </c>
      <c r="T226">
        <v>0</v>
      </c>
      <c r="U226">
        <v>1</v>
      </c>
      <c r="V226">
        <v>3</v>
      </c>
      <c r="W226">
        <v>1</v>
      </c>
      <c r="X226">
        <v>0</v>
      </c>
      <c r="Y226">
        <v>1</v>
      </c>
      <c r="Z226">
        <v>0</v>
      </c>
      <c r="AA226" t="str">
        <f t="shared" si="21"/>
        <v>Early Tenure</v>
      </c>
      <c r="AC226">
        <f t="shared" si="22"/>
        <v>0</v>
      </c>
      <c r="AE226">
        <f>VLOOKUP(A226,'Employee Engagement Survey'!A1326:B2795,2,FALSE)</f>
        <v>4</v>
      </c>
      <c r="AF226">
        <f>VLOOKUP(A226,'Employee Engagement Survey'!A1326:C2795,3,FALSE)</f>
        <v>4</v>
      </c>
      <c r="AG226">
        <f>VLOOKUP(A226,'Employee Engagement Survey'!A1326:D2795,4,FALSE)</f>
        <v>2</v>
      </c>
      <c r="AH226">
        <f>VLOOKUP(A226,'Employee Engagement Survey'!A1326:E2795,5,FALSE)</f>
        <v>2</v>
      </c>
      <c r="AI226">
        <f t="shared" si="20"/>
        <v>3</v>
      </c>
    </row>
    <row r="227" spans="1:35" hidden="1" x14ac:dyDescent="0.4">
      <c r="A227">
        <v>1878</v>
      </c>
      <c r="B227" t="s">
        <v>26</v>
      </c>
      <c r="C227">
        <f t="shared" si="23"/>
        <v>0</v>
      </c>
      <c r="D227" t="s">
        <v>27</v>
      </c>
      <c r="E227">
        <f t="shared" si="19"/>
        <v>0</v>
      </c>
      <c r="F227" t="s">
        <v>28</v>
      </c>
      <c r="G227">
        <v>4</v>
      </c>
      <c r="H227" s="1">
        <v>53664</v>
      </c>
      <c r="I227" s="10">
        <v>0.23</v>
      </c>
      <c r="J227">
        <v>37.5</v>
      </c>
      <c r="K227" t="s">
        <v>26</v>
      </c>
      <c r="L227">
        <v>22</v>
      </c>
      <c r="M227" t="s">
        <v>29</v>
      </c>
      <c r="N227" t="s">
        <v>30</v>
      </c>
      <c r="O227" t="s">
        <v>31</v>
      </c>
      <c r="P227">
        <v>7</v>
      </c>
      <c r="Q227" t="s">
        <v>32</v>
      </c>
      <c r="R227" t="s">
        <v>37</v>
      </c>
      <c r="S227">
        <v>4</v>
      </c>
      <c r="T227">
        <v>0</v>
      </c>
      <c r="U227">
        <v>1</v>
      </c>
      <c r="V227">
        <v>2</v>
      </c>
      <c r="W227">
        <v>1</v>
      </c>
      <c r="X227">
        <v>0</v>
      </c>
      <c r="Y227">
        <v>0</v>
      </c>
      <c r="Z227">
        <v>0</v>
      </c>
      <c r="AA227" t="str">
        <f t="shared" si="21"/>
        <v>Early Tenure</v>
      </c>
      <c r="AC227">
        <f t="shared" si="22"/>
        <v>0</v>
      </c>
      <c r="AE227">
        <f>VLOOKUP(A227,'Employee Engagement Survey'!A1331:B2800,2,FALSE)</f>
        <v>4</v>
      </c>
      <c r="AF227">
        <f>VLOOKUP(A227,'Employee Engagement Survey'!A1331:C2800,3,FALSE)</f>
        <v>2</v>
      </c>
      <c r="AG227">
        <f>VLOOKUP(A227,'Employee Engagement Survey'!A1331:D2800,4,FALSE)</f>
        <v>1</v>
      </c>
      <c r="AH227">
        <f>VLOOKUP(A227,'Employee Engagement Survey'!A1331:E2800,5,FALSE)</f>
        <v>3</v>
      </c>
      <c r="AI227">
        <f t="shared" si="20"/>
        <v>2.5</v>
      </c>
    </row>
    <row r="228" spans="1:35" hidden="1" x14ac:dyDescent="0.4">
      <c r="A228">
        <v>1905</v>
      </c>
      <c r="B228" t="s">
        <v>26</v>
      </c>
      <c r="C228">
        <f t="shared" si="23"/>
        <v>0</v>
      </c>
      <c r="D228" t="s">
        <v>27</v>
      </c>
      <c r="E228">
        <f t="shared" si="19"/>
        <v>0</v>
      </c>
      <c r="F228" t="s">
        <v>28</v>
      </c>
      <c r="G228">
        <v>4</v>
      </c>
      <c r="H228" s="1">
        <v>51684</v>
      </c>
      <c r="I228" s="10">
        <v>0.23</v>
      </c>
      <c r="J228">
        <v>37.5</v>
      </c>
      <c r="K228" t="s">
        <v>26</v>
      </c>
      <c r="L228">
        <v>34</v>
      </c>
      <c r="M228" t="s">
        <v>29</v>
      </c>
      <c r="N228" t="s">
        <v>42</v>
      </c>
      <c r="O228" t="s">
        <v>35</v>
      </c>
      <c r="P228">
        <v>16</v>
      </c>
      <c r="Q228" t="s">
        <v>51</v>
      </c>
      <c r="R228" t="s">
        <v>45</v>
      </c>
      <c r="S228">
        <v>4</v>
      </c>
      <c r="T228">
        <v>1</v>
      </c>
      <c r="U228">
        <v>5</v>
      </c>
      <c r="V228">
        <v>2</v>
      </c>
      <c r="W228">
        <v>5</v>
      </c>
      <c r="X228">
        <v>2</v>
      </c>
      <c r="Y228">
        <v>3</v>
      </c>
      <c r="Z228">
        <v>0</v>
      </c>
      <c r="AA228" t="str">
        <f t="shared" si="21"/>
        <v>Mid Tenure</v>
      </c>
      <c r="AC228">
        <f t="shared" si="22"/>
        <v>0</v>
      </c>
      <c r="AE228">
        <f>VLOOKUP(A228,'Employee Engagement Survey'!A1343:B2812,2,FALSE)</f>
        <v>4</v>
      </c>
      <c r="AF228">
        <f>VLOOKUP(A228,'Employee Engagement Survey'!A1343:C2812,3,FALSE)</f>
        <v>1</v>
      </c>
      <c r="AG228">
        <f>VLOOKUP(A228,'Employee Engagement Survey'!A1343:D2812,4,FALSE)</f>
        <v>2</v>
      </c>
      <c r="AH228">
        <f>VLOOKUP(A228,'Employee Engagement Survey'!A1343:E2812,5,FALSE)</f>
        <v>3</v>
      </c>
      <c r="AI228">
        <f t="shared" si="20"/>
        <v>2.5</v>
      </c>
    </row>
    <row r="229" spans="1:35" hidden="1" x14ac:dyDescent="0.4">
      <c r="A229">
        <v>1907</v>
      </c>
      <c r="B229" t="s">
        <v>26</v>
      </c>
      <c r="C229">
        <f t="shared" si="23"/>
        <v>0</v>
      </c>
      <c r="D229" t="s">
        <v>46</v>
      </c>
      <c r="E229">
        <f t="shared" si="19"/>
        <v>0</v>
      </c>
      <c r="F229" t="s">
        <v>28</v>
      </c>
      <c r="G229">
        <v>5</v>
      </c>
      <c r="H229" s="1">
        <v>55044</v>
      </c>
      <c r="I229" s="10">
        <v>0.16</v>
      </c>
      <c r="J229">
        <v>37.5</v>
      </c>
      <c r="K229" t="s">
        <v>34</v>
      </c>
      <c r="L229">
        <v>56</v>
      </c>
      <c r="M229" t="s">
        <v>29</v>
      </c>
      <c r="N229" t="s">
        <v>30</v>
      </c>
      <c r="O229" t="s">
        <v>31</v>
      </c>
      <c r="P229">
        <v>24</v>
      </c>
      <c r="Q229" t="s">
        <v>36</v>
      </c>
      <c r="R229" t="s">
        <v>37</v>
      </c>
      <c r="S229">
        <v>3</v>
      </c>
      <c r="T229">
        <v>0</v>
      </c>
      <c r="U229">
        <v>5</v>
      </c>
      <c r="V229">
        <v>3</v>
      </c>
      <c r="W229">
        <v>4</v>
      </c>
      <c r="X229">
        <v>2</v>
      </c>
      <c r="Y229">
        <v>1</v>
      </c>
      <c r="Z229">
        <v>0</v>
      </c>
      <c r="AA229" t="str">
        <f t="shared" si="21"/>
        <v>Mid Tenure</v>
      </c>
      <c r="AC229">
        <f t="shared" si="22"/>
        <v>0</v>
      </c>
      <c r="AE229">
        <f>VLOOKUP(A229,'Employee Engagement Survey'!A1346:B2815,2,FALSE)</f>
        <v>1</v>
      </c>
      <c r="AF229">
        <f>VLOOKUP(A229,'Employee Engagement Survey'!A1346:C2815,3,FALSE)</f>
        <v>4</v>
      </c>
      <c r="AG229">
        <f>VLOOKUP(A229,'Employee Engagement Survey'!A1346:D2815,4,FALSE)</f>
        <v>4</v>
      </c>
      <c r="AH229">
        <f>VLOOKUP(A229,'Employee Engagement Survey'!A1346:E2815,5,FALSE)</f>
        <v>3</v>
      </c>
      <c r="AI229">
        <f t="shared" si="20"/>
        <v>3</v>
      </c>
    </row>
    <row r="230" spans="1:35" hidden="1" x14ac:dyDescent="0.4">
      <c r="A230">
        <v>1960</v>
      </c>
      <c r="B230" t="s">
        <v>26</v>
      </c>
      <c r="C230">
        <f t="shared" si="23"/>
        <v>0</v>
      </c>
      <c r="D230" t="s">
        <v>46</v>
      </c>
      <c r="E230">
        <f t="shared" si="19"/>
        <v>0</v>
      </c>
      <c r="F230" t="s">
        <v>28</v>
      </c>
      <c r="G230">
        <v>4</v>
      </c>
      <c r="H230" s="1">
        <v>52404</v>
      </c>
      <c r="I230" s="10">
        <v>0.12</v>
      </c>
      <c r="J230">
        <v>37.5</v>
      </c>
      <c r="K230" t="s">
        <v>34</v>
      </c>
      <c r="L230">
        <v>28</v>
      </c>
      <c r="M230" t="s">
        <v>29</v>
      </c>
      <c r="N230" t="s">
        <v>48</v>
      </c>
      <c r="O230" t="s">
        <v>31</v>
      </c>
      <c r="P230">
        <v>17</v>
      </c>
      <c r="Q230" t="s">
        <v>43</v>
      </c>
      <c r="R230" t="s">
        <v>45</v>
      </c>
      <c r="S230">
        <v>3</v>
      </c>
      <c r="T230">
        <v>1</v>
      </c>
      <c r="U230">
        <v>6</v>
      </c>
      <c r="V230">
        <v>2</v>
      </c>
      <c r="W230">
        <v>4</v>
      </c>
      <c r="X230">
        <v>1</v>
      </c>
      <c r="Y230">
        <v>0</v>
      </c>
      <c r="Z230">
        <v>3</v>
      </c>
      <c r="AA230" t="str">
        <f t="shared" si="21"/>
        <v>Mid Tenure</v>
      </c>
      <c r="AC230">
        <f t="shared" si="22"/>
        <v>0</v>
      </c>
      <c r="AE230">
        <f>VLOOKUP(A230,'Employee Engagement Survey'!A1393:B2862,2,FALSE)</f>
        <v>3</v>
      </c>
      <c r="AF230">
        <f>VLOOKUP(A230,'Employee Engagement Survey'!A1393:C2862,3,FALSE)</f>
        <v>4</v>
      </c>
      <c r="AG230">
        <f>VLOOKUP(A230,'Employee Engagement Survey'!A1393:D2862,4,FALSE)</f>
        <v>1</v>
      </c>
      <c r="AH230">
        <f>VLOOKUP(A230,'Employee Engagement Survey'!A1393:E2862,5,FALSE)</f>
        <v>2</v>
      </c>
      <c r="AI230">
        <f t="shared" si="20"/>
        <v>2.5</v>
      </c>
    </row>
    <row r="231" spans="1:35" hidden="1" x14ac:dyDescent="0.4">
      <c r="A231">
        <v>1967</v>
      </c>
      <c r="B231" t="s">
        <v>26</v>
      </c>
      <c r="C231">
        <f t="shared" si="23"/>
        <v>0</v>
      </c>
      <c r="D231" t="s">
        <v>57</v>
      </c>
      <c r="E231">
        <f t="shared" si="19"/>
        <v>0</v>
      </c>
      <c r="F231" t="s">
        <v>40</v>
      </c>
      <c r="G231">
        <v>7</v>
      </c>
      <c r="H231" s="1">
        <v>79404</v>
      </c>
      <c r="I231" s="10">
        <v>0.11</v>
      </c>
      <c r="J231">
        <v>37.5</v>
      </c>
      <c r="K231" t="s">
        <v>26</v>
      </c>
      <c r="L231">
        <v>31</v>
      </c>
      <c r="M231" t="s">
        <v>29</v>
      </c>
      <c r="N231" t="s">
        <v>42</v>
      </c>
      <c r="O231" t="s">
        <v>44</v>
      </c>
      <c r="P231">
        <v>26</v>
      </c>
      <c r="Q231" t="s">
        <v>51</v>
      </c>
      <c r="R231" t="s">
        <v>56</v>
      </c>
      <c r="S231">
        <v>3</v>
      </c>
      <c r="T231">
        <v>0</v>
      </c>
      <c r="U231">
        <v>10</v>
      </c>
      <c r="V231">
        <v>4</v>
      </c>
      <c r="W231">
        <v>10</v>
      </c>
      <c r="X231">
        <v>7</v>
      </c>
      <c r="Y231">
        <v>0</v>
      </c>
      <c r="Z231">
        <v>8</v>
      </c>
      <c r="AA231" t="str">
        <f t="shared" si="21"/>
        <v>Long Tenure</v>
      </c>
      <c r="AC231">
        <f t="shared" si="22"/>
        <v>0</v>
      </c>
      <c r="AE231">
        <f>VLOOKUP(A231,'Employee Engagement Survey'!A1399:B2868,2,FALSE)</f>
        <v>1</v>
      </c>
      <c r="AF231">
        <f>VLOOKUP(A231,'Employee Engagement Survey'!A1399:C2868,3,FALSE)</f>
        <v>4</v>
      </c>
      <c r="AG231">
        <f>VLOOKUP(A231,'Employee Engagement Survey'!A1399:D2868,4,FALSE)</f>
        <v>3</v>
      </c>
      <c r="AH231">
        <f>VLOOKUP(A231,'Employee Engagement Survey'!A1399:E2868,5,FALSE)</f>
        <v>3</v>
      </c>
      <c r="AI231">
        <f t="shared" si="20"/>
        <v>2.75</v>
      </c>
    </row>
    <row r="232" spans="1:35" hidden="1" x14ac:dyDescent="0.4">
      <c r="A232">
        <v>1968</v>
      </c>
      <c r="B232" t="s">
        <v>26</v>
      </c>
      <c r="C232">
        <f t="shared" si="23"/>
        <v>0</v>
      </c>
      <c r="D232" t="s">
        <v>57</v>
      </c>
      <c r="E232">
        <f t="shared" si="19"/>
        <v>0</v>
      </c>
      <c r="F232" t="s">
        <v>40</v>
      </c>
      <c r="G232">
        <v>9</v>
      </c>
      <c r="H232" s="1">
        <v>137376</v>
      </c>
      <c r="I232" s="10">
        <v>0.13</v>
      </c>
      <c r="J232">
        <v>37.5</v>
      </c>
      <c r="K232" t="s">
        <v>26</v>
      </c>
      <c r="L232">
        <v>53</v>
      </c>
      <c r="M232" t="s">
        <v>29</v>
      </c>
      <c r="N232" t="s">
        <v>30</v>
      </c>
      <c r="O232" t="s">
        <v>31</v>
      </c>
      <c r="P232">
        <v>24</v>
      </c>
      <c r="Q232" t="s">
        <v>51</v>
      </c>
      <c r="R232" t="s">
        <v>37</v>
      </c>
      <c r="S232">
        <v>3</v>
      </c>
      <c r="T232">
        <v>0</v>
      </c>
      <c r="U232">
        <v>15</v>
      </c>
      <c r="V232">
        <v>2</v>
      </c>
      <c r="W232">
        <v>2</v>
      </c>
      <c r="X232">
        <v>2</v>
      </c>
      <c r="Y232">
        <v>2</v>
      </c>
      <c r="Z232">
        <v>2</v>
      </c>
      <c r="AA232" t="str">
        <f t="shared" si="21"/>
        <v>Early Tenure</v>
      </c>
      <c r="AC232">
        <f t="shared" si="22"/>
        <v>0</v>
      </c>
      <c r="AE232">
        <f>VLOOKUP(A232,'Employee Engagement Survey'!A1400:B2869,2,FALSE)</f>
        <v>1</v>
      </c>
      <c r="AF232">
        <f>VLOOKUP(A232,'Employee Engagement Survey'!A1400:C2869,3,FALSE)</f>
        <v>1</v>
      </c>
      <c r="AG232">
        <f>VLOOKUP(A232,'Employee Engagement Survey'!A1400:D2869,4,FALSE)</f>
        <v>2</v>
      </c>
      <c r="AH232">
        <f>VLOOKUP(A232,'Employee Engagement Survey'!A1400:E2869,5,FALSE)</f>
        <v>2</v>
      </c>
      <c r="AI232">
        <f t="shared" si="20"/>
        <v>1.5</v>
      </c>
    </row>
    <row r="233" spans="1:35" hidden="1" x14ac:dyDescent="0.4">
      <c r="A233">
        <v>1277</v>
      </c>
      <c r="B233" t="s">
        <v>26</v>
      </c>
      <c r="C233">
        <f t="shared" si="23"/>
        <v>0</v>
      </c>
      <c r="D233" t="s">
        <v>110</v>
      </c>
      <c r="E233">
        <f t="shared" si="19"/>
        <v>1</v>
      </c>
      <c r="F233" t="s">
        <v>40</v>
      </c>
      <c r="G233">
        <v>5</v>
      </c>
      <c r="H233" s="1">
        <v>237888</v>
      </c>
      <c r="I233" s="10">
        <v>0.16</v>
      </c>
      <c r="J233">
        <v>37.5</v>
      </c>
      <c r="K233" t="s">
        <v>26</v>
      </c>
      <c r="L233">
        <v>45</v>
      </c>
      <c r="M233" t="s">
        <v>47</v>
      </c>
      <c r="N233" t="s">
        <v>30</v>
      </c>
      <c r="O233" t="s">
        <v>31</v>
      </c>
      <c r="P233">
        <v>2</v>
      </c>
      <c r="Q233" t="s">
        <v>43</v>
      </c>
      <c r="R233" t="s">
        <v>56</v>
      </c>
      <c r="S233">
        <v>3</v>
      </c>
      <c r="T233">
        <v>0</v>
      </c>
      <c r="U233">
        <v>26</v>
      </c>
      <c r="V233">
        <v>2</v>
      </c>
      <c r="W233">
        <v>24</v>
      </c>
      <c r="X233">
        <v>10</v>
      </c>
      <c r="Y233">
        <v>1</v>
      </c>
      <c r="Z233">
        <v>11</v>
      </c>
      <c r="AA233" t="str">
        <f t="shared" si="21"/>
        <v>Long Tenure</v>
      </c>
      <c r="AC233">
        <f t="shared" si="22"/>
        <v>0</v>
      </c>
      <c r="AE233">
        <f>VLOOKUP(A233,'Employee Engagement Survey'!A1418:B2887,2,FALSE)</f>
        <v>1</v>
      </c>
      <c r="AF233">
        <f>VLOOKUP(A233,'Employee Engagement Survey'!A1418:C2887,3,FALSE)</f>
        <v>2</v>
      </c>
      <c r="AG233">
        <f>VLOOKUP(A233,'Employee Engagement Survey'!A1418:D2887,4,FALSE)</f>
        <v>1</v>
      </c>
      <c r="AH233">
        <f>VLOOKUP(A233,'Employee Engagement Survey'!A1418:E2887,5,FALSE)</f>
        <v>3</v>
      </c>
      <c r="AI233">
        <f t="shared" si="20"/>
        <v>1.75</v>
      </c>
    </row>
    <row r="234" spans="1:35" hidden="1" x14ac:dyDescent="0.4">
      <c r="A234">
        <v>2023</v>
      </c>
      <c r="B234" t="s">
        <v>26</v>
      </c>
      <c r="C234">
        <f t="shared" si="23"/>
        <v>0</v>
      </c>
      <c r="D234" t="s">
        <v>39</v>
      </c>
      <c r="E234">
        <f t="shared" si="19"/>
        <v>0</v>
      </c>
      <c r="F234" t="s">
        <v>40</v>
      </c>
      <c r="G234">
        <v>2</v>
      </c>
      <c r="H234" s="1">
        <v>45480</v>
      </c>
      <c r="I234" s="10">
        <v>0.19</v>
      </c>
      <c r="J234">
        <v>37.5</v>
      </c>
      <c r="K234" t="s">
        <v>34</v>
      </c>
      <c r="L234">
        <v>23</v>
      </c>
      <c r="M234" t="s">
        <v>29</v>
      </c>
      <c r="N234" t="s">
        <v>42</v>
      </c>
      <c r="O234" t="s">
        <v>44</v>
      </c>
      <c r="P234">
        <v>9</v>
      </c>
      <c r="Q234" t="s">
        <v>43</v>
      </c>
      <c r="R234" t="s">
        <v>56</v>
      </c>
      <c r="S234">
        <v>3</v>
      </c>
      <c r="T234">
        <v>1</v>
      </c>
      <c r="U234">
        <v>1</v>
      </c>
      <c r="V234">
        <v>3</v>
      </c>
      <c r="W234">
        <v>1</v>
      </c>
      <c r="X234">
        <v>0</v>
      </c>
      <c r="Y234">
        <v>1</v>
      </c>
      <c r="Z234">
        <v>0</v>
      </c>
      <c r="AA234" t="str">
        <f t="shared" si="21"/>
        <v>Early Tenure</v>
      </c>
      <c r="AC234">
        <f t="shared" si="22"/>
        <v>0</v>
      </c>
      <c r="AE234">
        <f>VLOOKUP(A234,'Employee Engagement Survey'!A1444:B2913,2,FALSE)</f>
        <v>4</v>
      </c>
      <c r="AF234">
        <f>VLOOKUP(A234,'Employee Engagement Survey'!A1444:C2913,3,FALSE)</f>
        <v>1</v>
      </c>
      <c r="AG234">
        <f>VLOOKUP(A234,'Employee Engagement Survey'!A1444:D2913,4,FALSE)</f>
        <v>1</v>
      </c>
      <c r="AH234">
        <f>VLOOKUP(A234,'Employee Engagement Survey'!A1444:E2913,5,FALSE)</f>
        <v>2</v>
      </c>
      <c r="AI234">
        <f t="shared" si="20"/>
        <v>2</v>
      </c>
    </row>
    <row r="235" spans="1:35" hidden="1" x14ac:dyDescent="0.4">
      <c r="A235">
        <v>2027</v>
      </c>
      <c r="B235" t="s">
        <v>26</v>
      </c>
      <c r="C235">
        <f t="shared" si="23"/>
        <v>0</v>
      </c>
      <c r="D235" t="s">
        <v>27</v>
      </c>
      <c r="E235">
        <f t="shared" si="19"/>
        <v>0</v>
      </c>
      <c r="F235" t="s">
        <v>28</v>
      </c>
      <c r="G235">
        <v>6</v>
      </c>
      <c r="H235" s="1">
        <v>69444</v>
      </c>
      <c r="I235" s="10">
        <v>0.14000000000000001</v>
      </c>
      <c r="J235">
        <v>37.5</v>
      </c>
      <c r="K235" t="s">
        <v>26</v>
      </c>
      <c r="L235">
        <v>29</v>
      </c>
      <c r="M235" t="s">
        <v>29</v>
      </c>
      <c r="N235" t="s">
        <v>42</v>
      </c>
      <c r="O235" t="s">
        <v>31</v>
      </c>
      <c r="P235">
        <v>1</v>
      </c>
      <c r="Q235" t="s">
        <v>51</v>
      </c>
      <c r="R235" t="s">
        <v>33</v>
      </c>
      <c r="S235">
        <v>3</v>
      </c>
      <c r="T235">
        <v>3</v>
      </c>
      <c r="U235">
        <v>4</v>
      </c>
      <c r="V235">
        <v>3</v>
      </c>
      <c r="W235">
        <v>2</v>
      </c>
      <c r="X235">
        <v>2</v>
      </c>
      <c r="Y235">
        <v>2</v>
      </c>
      <c r="Z235">
        <v>2</v>
      </c>
      <c r="AA235" t="str">
        <f t="shared" si="21"/>
        <v>Early Tenure</v>
      </c>
      <c r="AC235">
        <f t="shared" si="22"/>
        <v>0</v>
      </c>
      <c r="AE235">
        <f>VLOOKUP(A235,'Employee Engagement Survey'!A1446:B2915,2,FALSE)</f>
        <v>1</v>
      </c>
      <c r="AF235">
        <f>VLOOKUP(A235,'Employee Engagement Survey'!A1446:C2915,3,FALSE)</f>
        <v>4</v>
      </c>
      <c r="AG235">
        <f>VLOOKUP(A235,'Employee Engagement Survey'!A1446:D2915,4,FALSE)</f>
        <v>2</v>
      </c>
      <c r="AH235">
        <f>VLOOKUP(A235,'Employee Engagement Survey'!A1446:E2915,5,FALSE)</f>
        <v>4</v>
      </c>
      <c r="AI235">
        <f t="shared" si="20"/>
        <v>2.75</v>
      </c>
    </row>
    <row r="236" spans="1:35" hidden="1" x14ac:dyDescent="0.4">
      <c r="A236">
        <v>2032</v>
      </c>
      <c r="B236" t="s">
        <v>26</v>
      </c>
      <c r="C236">
        <f t="shared" si="23"/>
        <v>0</v>
      </c>
      <c r="D236" t="s">
        <v>46</v>
      </c>
      <c r="E236">
        <f t="shared" si="19"/>
        <v>0</v>
      </c>
      <c r="F236" t="s">
        <v>28</v>
      </c>
      <c r="G236">
        <v>4</v>
      </c>
      <c r="H236" s="1">
        <v>52068</v>
      </c>
      <c r="I236" s="10">
        <v>0.11</v>
      </c>
      <c r="J236">
        <v>37.5</v>
      </c>
      <c r="K236" t="s">
        <v>34</v>
      </c>
      <c r="L236">
        <v>56</v>
      </c>
      <c r="M236" t="s">
        <v>29</v>
      </c>
      <c r="N236" t="s">
        <v>42</v>
      </c>
      <c r="O236" t="s">
        <v>31</v>
      </c>
      <c r="P236">
        <v>7</v>
      </c>
      <c r="Q236" t="s">
        <v>36</v>
      </c>
      <c r="R236" t="s">
        <v>45</v>
      </c>
      <c r="S236">
        <v>3</v>
      </c>
      <c r="T236">
        <v>1</v>
      </c>
      <c r="U236">
        <v>14</v>
      </c>
      <c r="V236">
        <v>4</v>
      </c>
      <c r="W236">
        <v>10</v>
      </c>
      <c r="X236">
        <v>9</v>
      </c>
      <c r="Y236">
        <v>9</v>
      </c>
      <c r="Z236">
        <v>8</v>
      </c>
      <c r="AA236" t="str">
        <f t="shared" si="21"/>
        <v>Long Tenure</v>
      </c>
      <c r="AC236">
        <f t="shared" si="22"/>
        <v>0</v>
      </c>
      <c r="AE236">
        <f>VLOOKUP(A236,'Employee Engagement Survey'!A1448:B2917,2,FALSE)</f>
        <v>4</v>
      </c>
      <c r="AF236">
        <f>VLOOKUP(A236,'Employee Engagement Survey'!A1448:C2917,3,FALSE)</f>
        <v>3</v>
      </c>
      <c r="AG236">
        <f>VLOOKUP(A236,'Employee Engagement Survey'!A1448:D2917,4,FALSE)</f>
        <v>4</v>
      </c>
      <c r="AH236">
        <f>VLOOKUP(A236,'Employee Engagement Survey'!A1448:E2917,5,FALSE)</f>
        <v>1</v>
      </c>
      <c r="AI236">
        <f t="shared" si="20"/>
        <v>3</v>
      </c>
    </row>
    <row r="237" spans="1:35" hidden="1" x14ac:dyDescent="0.4">
      <c r="A237">
        <v>58</v>
      </c>
      <c r="B237" t="s">
        <v>26</v>
      </c>
      <c r="C237">
        <f t="shared" si="23"/>
        <v>0</v>
      </c>
      <c r="D237" t="s">
        <v>60</v>
      </c>
      <c r="E237">
        <f t="shared" si="19"/>
        <v>1</v>
      </c>
      <c r="F237" t="s">
        <v>28</v>
      </c>
      <c r="G237">
        <v>5</v>
      </c>
      <c r="H237" s="1">
        <v>246540</v>
      </c>
      <c r="I237" s="10">
        <v>0.12</v>
      </c>
      <c r="J237">
        <v>37.5</v>
      </c>
      <c r="K237" t="s">
        <v>34</v>
      </c>
      <c r="L237">
        <v>41</v>
      </c>
      <c r="M237" t="s">
        <v>47</v>
      </c>
      <c r="N237" t="s">
        <v>42</v>
      </c>
      <c r="O237" t="s">
        <v>31</v>
      </c>
      <c r="P237">
        <v>12</v>
      </c>
      <c r="Q237" t="s">
        <v>43</v>
      </c>
      <c r="R237" t="s">
        <v>45</v>
      </c>
      <c r="S237">
        <v>3</v>
      </c>
      <c r="T237">
        <v>0</v>
      </c>
      <c r="U237">
        <v>23</v>
      </c>
      <c r="V237">
        <v>0</v>
      </c>
      <c r="W237">
        <v>22</v>
      </c>
      <c r="X237">
        <v>15</v>
      </c>
      <c r="Y237">
        <v>15</v>
      </c>
      <c r="Z237">
        <v>8</v>
      </c>
      <c r="AA237" t="str">
        <f t="shared" si="21"/>
        <v>Long Tenure</v>
      </c>
      <c r="AC237">
        <f t="shared" si="22"/>
        <v>0</v>
      </c>
      <c r="AE237">
        <f>VLOOKUP(A237,'Employee Engagement Survey'!A1452:B2921,2,FALSE)</f>
        <v>2</v>
      </c>
      <c r="AF237">
        <f>VLOOKUP(A237,'Employee Engagement Survey'!A1452:C2921,3,FALSE)</f>
        <v>3</v>
      </c>
      <c r="AG237">
        <f>VLOOKUP(A237,'Employee Engagement Survey'!A1452:D2921,4,FALSE)</f>
        <v>4</v>
      </c>
      <c r="AH237">
        <f>VLOOKUP(A237,'Employee Engagement Survey'!A1452:E2921,5,FALSE)</f>
        <v>3</v>
      </c>
      <c r="AI237">
        <f t="shared" si="20"/>
        <v>3</v>
      </c>
    </row>
    <row r="238" spans="1:35" hidden="1" x14ac:dyDescent="0.4">
      <c r="A238">
        <v>2044</v>
      </c>
      <c r="B238" t="s">
        <v>26</v>
      </c>
      <c r="C238">
        <f t="shared" ref="C238:C240" si="24">IF(B238="No",1,0)</f>
        <v>0</v>
      </c>
      <c r="D238" t="s">
        <v>57</v>
      </c>
      <c r="E238">
        <f t="shared" si="19"/>
        <v>0</v>
      </c>
      <c r="F238" t="s">
        <v>40</v>
      </c>
      <c r="G238">
        <v>8</v>
      </c>
      <c r="H238" s="1">
        <v>92736</v>
      </c>
      <c r="I238" s="10">
        <v>0.12</v>
      </c>
      <c r="J238">
        <v>37.5</v>
      </c>
      <c r="K238" t="s">
        <v>34</v>
      </c>
      <c r="L238">
        <v>50</v>
      </c>
      <c r="M238" t="s">
        <v>29</v>
      </c>
      <c r="N238" t="s">
        <v>48</v>
      </c>
      <c r="O238" t="s">
        <v>44</v>
      </c>
      <c r="P238">
        <v>1</v>
      </c>
      <c r="Q238" t="s">
        <v>51</v>
      </c>
      <c r="R238" t="s">
        <v>37</v>
      </c>
      <c r="S238">
        <v>3</v>
      </c>
      <c r="T238">
        <v>2</v>
      </c>
      <c r="U238">
        <v>12</v>
      </c>
      <c r="V238">
        <v>3</v>
      </c>
      <c r="W238">
        <v>6</v>
      </c>
      <c r="X238">
        <v>3</v>
      </c>
      <c r="Y238">
        <v>0</v>
      </c>
      <c r="Z238">
        <v>1</v>
      </c>
      <c r="AA238" t="str">
        <f t="shared" si="21"/>
        <v>Mid Tenure</v>
      </c>
      <c r="AC238">
        <f t="shared" si="22"/>
        <v>0</v>
      </c>
      <c r="AE238">
        <f>VLOOKUP(A238,'Employee Engagement Survey'!A1455:B2924,2,FALSE)</f>
        <v>2</v>
      </c>
      <c r="AF238">
        <f>VLOOKUP(A238,'Employee Engagement Survey'!A1455:C2924,3,FALSE)</f>
        <v>3</v>
      </c>
      <c r="AG238">
        <f>VLOOKUP(A238,'Employee Engagement Survey'!A1455:D2924,4,FALSE)</f>
        <v>4</v>
      </c>
      <c r="AH238">
        <f>VLOOKUP(A238,'Employee Engagement Survey'!A1455:E2924,5,FALSE)</f>
        <v>3</v>
      </c>
      <c r="AI238">
        <f t="shared" si="20"/>
        <v>3</v>
      </c>
    </row>
    <row r="239" spans="1:35" hidden="1" x14ac:dyDescent="0.4">
      <c r="A239">
        <v>2055</v>
      </c>
      <c r="B239" t="s">
        <v>26</v>
      </c>
      <c r="C239">
        <f t="shared" si="24"/>
        <v>0</v>
      </c>
      <c r="D239" t="s">
        <v>57</v>
      </c>
      <c r="E239">
        <f t="shared" si="19"/>
        <v>0</v>
      </c>
      <c r="F239" t="s">
        <v>40</v>
      </c>
      <c r="G239">
        <v>10</v>
      </c>
      <c r="H239" s="1">
        <v>142248</v>
      </c>
      <c r="I239" s="10">
        <v>0.13</v>
      </c>
      <c r="J239">
        <v>37.5</v>
      </c>
      <c r="K239" t="s">
        <v>26</v>
      </c>
      <c r="L239">
        <v>50</v>
      </c>
      <c r="M239" t="s">
        <v>29</v>
      </c>
      <c r="N239" t="s">
        <v>48</v>
      </c>
      <c r="O239" t="s">
        <v>31</v>
      </c>
      <c r="P239">
        <v>28</v>
      </c>
      <c r="Q239" t="s">
        <v>43</v>
      </c>
      <c r="R239" t="s">
        <v>56</v>
      </c>
      <c r="S239">
        <v>3</v>
      </c>
      <c r="T239">
        <v>1</v>
      </c>
      <c r="U239">
        <v>20</v>
      </c>
      <c r="V239">
        <v>3</v>
      </c>
      <c r="W239">
        <v>3</v>
      </c>
      <c r="X239">
        <v>2</v>
      </c>
      <c r="Y239">
        <v>2</v>
      </c>
      <c r="Z239">
        <v>0</v>
      </c>
      <c r="AA239" t="str">
        <f t="shared" si="21"/>
        <v>Mid Tenure</v>
      </c>
      <c r="AC239">
        <f t="shared" si="22"/>
        <v>0</v>
      </c>
      <c r="AE239">
        <f>VLOOKUP(A239,'Employee Engagement Survey'!A1460:B2929,2,FALSE)</f>
        <v>4</v>
      </c>
      <c r="AF239">
        <f>VLOOKUP(A239,'Employee Engagement Survey'!A1460:C2929,3,FALSE)</f>
        <v>1</v>
      </c>
      <c r="AG239">
        <f>VLOOKUP(A239,'Employee Engagement Survey'!A1460:D2929,4,FALSE)</f>
        <v>2</v>
      </c>
      <c r="AH239">
        <f>VLOOKUP(A239,'Employee Engagement Survey'!A1460:E2929,5,FALSE)</f>
        <v>3</v>
      </c>
      <c r="AI239">
        <f t="shared" si="20"/>
        <v>2.5</v>
      </c>
    </row>
    <row r="240" spans="1:35" hidden="1" x14ac:dyDescent="0.4">
      <c r="A240">
        <v>1038</v>
      </c>
      <c r="B240" t="s">
        <v>26</v>
      </c>
      <c r="C240">
        <f t="shared" si="24"/>
        <v>0</v>
      </c>
      <c r="D240" t="s">
        <v>110</v>
      </c>
      <c r="E240">
        <f t="shared" si="19"/>
        <v>1</v>
      </c>
      <c r="F240" t="s">
        <v>40</v>
      </c>
      <c r="G240">
        <v>5</v>
      </c>
      <c r="H240" s="1">
        <v>250140</v>
      </c>
      <c r="I240" s="10">
        <v>0.15</v>
      </c>
      <c r="J240">
        <v>37.5</v>
      </c>
      <c r="K240" t="s">
        <v>34</v>
      </c>
      <c r="L240">
        <v>52</v>
      </c>
      <c r="M240" t="s">
        <v>47</v>
      </c>
      <c r="N240" t="s">
        <v>42</v>
      </c>
      <c r="O240" t="s">
        <v>31</v>
      </c>
      <c r="P240">
        <v>2</v>
      </c>
      <c r="Q240" t="s">
        <v>32</v>
      </c>
      <c r="R240" t="s">
        <v>56</v>
      </c>
      <c r="S240">
        <v>3</v>
      </c>
      <c r="T240">
        <v>1</v>
      </c>
      <c r="U240">
        <v>33</v>
      </c>
      <c r="V240">
        <v>3</v>
      </c>
      <c r="W240">
        <v>32</v>
      </c>
      <c r="X240">
        <v>14</v>
      </c>
      <c r="Y240">
        <v>6</v>
      </c>
      <c r="Z240">
        <v>9</v>
      </c>
      <c r="AA240" t="str">
        <f t="shared" si="21"/>
        <v>Long Tenure</v>
      </c>
      <c r="AC240">
        <f t="shared" si="22"/>
        <v>0</v>
      </c>
      <c r="AE240">
        <f>VLOOKUP(A240,'Employee Engagement Survey'!A1465:B2934,2,FALSE)</f>
        <v>1</v>
      </c>
      <c r="AF240">
        <f>VLOOKUP(A240,'Employee Engagement Survey'!A1465:C2934,3,FALSE)</f>
        <v>4</v>
      </c>
      <c r="AG240">
        <f>VLOOKUP(A240,'Employee Engagement Survey'!A1465:D2934,4,FALSE)</f>
        <v>4</v>
      </c>
      <c r="AH240">
        <f>VLOOKUP(A240,'Employee Engagement Survey'!A1465:E2934,5,FALSE)</f>
        <v>3</v>
      </c>
      <c r="AI240">
        <f t="shared" si="20"/>
        <v>3</v>
      </c>
    </row>
    <row r="241" spans="1:35" hidden="1" x14ac:dyDescent="0.4">
      <c r="A241">
        <v>2029</v>
      </c>
      <c r="B241" t="s">
        <v>26</v>
      </c>
      <c r="C241">
        <v>0</v>
      </c>
      <c r="D241" t="s">
        <v>112</v>
      </c>
      <c r="E241">
        <f t="shared" si="19"/>
        <v>1</v>
      </c>
      <c r="F241" t="s">
        <v>28</v>
      </c>
      <c r="G241">
        <v>11</v>
      </c>
      <c r="H241" s="7">
        <v>300000</v>
      </c>
      <c r="I241" s="10">
        <v>0.19</v>
      </c>
      <c r="J241">
        <v>37.5</v>
      </c>
      <c r="K241" t="s">
        <v>34</v>
      </c>
      <c r="L241">
        <v>47</v>
      </c>
      <c r="M241" t="s">
        <v>29</v>
      </c>
      <c r="N241" t="s">
        <v>42</v>
      </c>
      <c r="O241" t="s">
        <v>31</v>
      </c>
      <c r="P241">
        <v>23</v>
      </c>
      <c r="Q241" t="s">
        <v>43</v>
      </c>
      <c r="R241" t="s">
        <v>37</v>
      </c>
      <c r="S241">
        <v>4</v>
      </c>
      <c r="T241">
        <v>2</v>
      </c>
      <c r="U241">
        <v>21</v>
      </c>
      <c r="V241">
        <v>3</v>
      </c>
      <c r="W241">
        <v>4</v>
      </c>
      <c r="X241">
        <v>3</v>
      </c>
      <c r="Y241">
        <v>3</v>
      </c>
      <c r="Z241">
        <v>3</v>
      </c>
      <c r="AA241" t="str">
        <f t="shared" si="21"/>
        <v>Mid Tenure</v>
      </c>
      <c r="AC241">
        <f t="shared" si="22"/>
        <v>0</v>
      </c>
      <c r="AE241">
        <v>4</v>
      </c>
      <c r="AF241">
        <v>4</v>
      </c>
      <c r="AG241">
        <v>3</v>
      </c>
      <c r="AH241">
        <v>4</v>
      </c>
      <c r="AI241">
        <f t="shared" si="20"/>
        <v>3.75</v>
      </c>
    </row>
    <row r="242" spans="1:35" hidden="1" x14ac:dyDescent="0.4">
      <c r="A242">
        <v>1012</v>
      </c>
      <c r="B242" t="s">
        <v>34</v>
      </c>
      <c r="C242">
        <f t="shared" ref="C242:C305" si="25">IF(B242="No",1,0)</f>
        <v>1</v>
      </c>
      <c r="D242" t="s">
        <v>27</v>
      </c>
      <c r="E242">
        <f t="shared" si="19"/>
        <v>0</v>
      </c>
      <c r="F242" t="s">
        <v>28</v>
      </c>
      <c r="G242">
        <v>1</v>
      </c>
      <c r="H242" s="1">
        <v>36612</v>
      </c>
      <c r="I242" s="10">
        <v>0.15</v>
      </c>
      <c r="J242">
        <v>37.5</v>
      </c>
      <c r="K242" t="s">
        <v>34</v>
      </c>
      <c r="L242">
        <v>18</v>
      </c>
      <c r="M242" t="s">
        <v>29</v>
      </c>
      <c r="N242" t="s">
        <v>30</v>
      </c>
      <c r="O242" t="s">
        <v>35</v>
      </c>
      <c r="P242">
        <v>5</v>
      </c>
      <c r="Q242" t="s">
        <v>36</v>
      </c>
      <c r="R242" t="s">
        <v>37</v>
      </c>
      <c r="S242">
        <v>3</v>
      </c>
      <c r="T242">
        <v>0</v>
      </c>
      <c r="U242">
        <v>0</v>
      </c>
      <c r="V242">
        <v>2</v>
      </c>
      <c r="W242">
        <v>0</v>
      </c>
      <c r="X242">
        <v>0</v>
      </c>
      <c r="Y242">
        <v>0</v>
      </c>
      <c r="Z242">
        <v>0</v>
      </c>
      <c r="AA242" t="str">
        <f t="shared" si="21"/>
        <v>Early Tenure</v>
      </c>
      <c r="AB242" s="5">
        <v>45687</v>
      </c>
      <c r="AC242">
        <f t="shared" si="22"/>
        <v>1</v>
      </c>
      <c r="AD242" t="s">
        <v>38</v>
      </c>
      <c r="AE242">
        <f>VLOOKUP(A242,'Employee Engagement Survey'!A3:B1472,2,FALSE)</f>
        <v>2</v>
      </c>
      <c r="AF242">
        <f>VLOOKUP(A242,'Employee Engagement Survey'!A3:C1472,3,FALSE)</f>
        <v>4</v>
      </c>
      <c r="AG242">
        <f>VLOOKUP(A242,'Employee Engagement Survey'!A3:D1472,4,FALSE)</f>
        <v>4</v>
      </c>
      <c r="AH242">
        <f>VLOOKUP(A242,'Employee Engagement Survey'!A3:E1472,5,FALSE)</f>
        <v>3</v>
      </c>
      <c r="AI242">
        <f t="shared" si="20"/>
        <v>3.25</v>
      </c>
    </row>
    <row r="243" spans="1:35" hidden="1" x14ac:dyDescent="0.4">
      <c r="A243">
        <v>1056</v>
      </c>
      <c r="B243" t="s">
        <v>34</v>
      </c>
      <c r="C243">
        <f t="shared" si="25"/>
        <v>1</v>
      </c>
      <c r="D243" t="s">
        <v>39</v>
      </c>
      <c r="E243">
        <f t="shared" si="19"/>
        <v>0</v>
      </c>
      <c r="F243" t="s">
        <v>40</v>
      </c>
      <c r="G243">
        <v>1</v>
      </c>
      <c r="H243" s="1">
        <v>36624</v>
      </c>
      <c r="I243" s="10">
        <v>0.22</v>
      </c>
      <c r="J243">
        <v>37.5</v>
      </c>
      <c r="K243" t="s">
        <v>34</v>
      </c>
      <c r="L243">
        <v>28</v>
      </c>
      <c r="M243" t="s">
        <v>41</v>
      </c>
      <c r="N243" t="s">
        <v>42</v>
      </c>
      <c r="O243" t="s">
        <v>31</v>
      </c>
      <c r="P243">
        <v>10</v>
      </c>
      <c r="Q243" t="s">
        <v>32</v>
      </c>
      <c r="R243" t="s">
        <v>33</v>
      </c>
      <c r="S243">
        <v>4</v>
      </c>
      <c r="T243">
        <v>0</v>
      </c>
      <c r="U243">
        <v>1</v>
      </c>
      <c r="V243">
        <v>5</v>
      </c>
      <c r="W243">
        <v>1</v>
      </c>
      <c r="X243">
        <v>0</v>
      </c>
      <c r="Y243">
        <v>0</v>
      </c>
      <c r="Z243">
        <v>0</v>
      </c>
      <c r="AA243" t="str">
        <f t="shared" si="21"/>
        <v>Early Tenure</v>
      </c>
      <c r="AB243" s="5">
        <v>45375</v>
      </c>
      <c r="AC243">
        <f t="shared" si="22"/>
        <v>1</v>
      </c>
      <c r="AD243" t="s">
        <v>38</v>
      </c>
      <c r="AE243">
        <f>VLOOKUP(A243,'Employee Engagement Survey'!A4:B1473,2,FALSE)</f>
        <v>4</v>
      </c>
      <c r="AF243">
        <f>VLOOKUP(A243,'Employee Engagement Survey'!A4:C1473,3,FALSE)</f>
        <v>2</v>
      </c>
      <c r="AG243">
        <f>VLOOKUP(A243,'Employee Engagement Survey'!A4:D1473,4,FALSE)</f>
        <v>2</v>
      </c>
      <c r="AH243">
        <f>VLOOKUP(A243,'Employee Engagement Survey'!A4:E1473,5,FALSE)</f>
        <v>3</v>
      </c>
      <c r="AI243">
        <f t="shared" si="20"/>
        <v>2.75</v>
      </c>
    </row>
    <row r="244" spans="1:35" hidden="1" x14ac:dyDescent="0.4">
      <c r="A244">
        <v>1974</v>
      </c>
      <c r="B244" t="s">
        <v>34</v>
      </c>
      <c r="C244">
        <f t="shared" si="25"/>
        <v>1</v>
      </c>
      <c r="D244" t="s">
        <v>46</v>
      </c>
      <c r="E244">
        <f t="shared" si="19"/>
        <v>0</v>
      </c>
      <c r="F244" t="s">
        <v>28</v>
      </c>
      <c r="G244">
        <v>1</v>
      </c>
      <c r="H244" s="1">
        <v>37548</v>
      </c>
      <c r="I244" s="10">
        <v>0.11</v>
      </c>
      <c r="J244">
        <v>37.5</v>
      </c>
      <c r="K244" t="s">
        <v>26</v>
      </c>
      <c r="L244">
        <v>31</v>
      </c>
      <c r="M244" t="s">
        <v>47</v>
      </c>
      <c r="N244" t="s">
        <v>48</v>
      </c>
      <c r="O244" t="s">
        <v>31</v>
      </c>
      <c r="P244">
        <v>2</v>
      </c>
      <c r="Q244" t="s">
        <v>32</v>
      </c>
      <c r="R244" t="s">
        <v>33</v>
      </c>
      <c r="S244">
        <v>3</v>
      </c>
      <c r="T244">
        <v>3</v>
      </c>
      <c r="U244">
        <v>1</v>
      </c>
      <c r="V244">
        <v>4</v>
      </c>
      <c r="W244">
        <v>1</v>
      </c>
      <c r="X244">
        <v>0</v>
      </c>
      <c r="Y244">
        <v>0</v>
      </c>
      <c r="Z244">
        <v>0</v>
      </c>
      <c r="AA244" t="str">
        <f t="shared" si="21"/>
        <v>Early Tenure</v>
      </c>
      <c r="AB244" s="5">
        <v>45708</v>
      </c>
      <c r="AC244">
        <f t="shared" si="22"/>
        <v>1</v>
      </c>
      <c r="AD244" t="s">
        <v>49</v>
      </c>
      <c r="AE244">
        <f>VLOOKUP(A244,'Employee Engagement Survey'!A9:B1478,2,FALSE)</f>
        <v>4</v>
      </c>
      <c r="AF244">
        <f>VLOOKUP(A244,'Employee Engagement Survey'!A9:C1478,3,FALSE)</f>
        <v>4</v>
      </c>
      <c r="AG244">
        <f>VLOOKUP(A244,'Employee Engagement Survey'!A9:D1478,4,FALSE)</f>
        <v>3</v>
      </c>
      <c r="AH244">
        <f>VLOOKUP(A244,'Employee Engagement Survey'!A9:E1478,5,FALSE)</f>
        <v>3</v>
      </c>
      <c r="AI244">
        <f t="shared" si="20"/>
        <v>3.5</v>
      </c>
    </row>
    <row r="245" spans="1:35" hidden="1" x14ac:dyDescent="0.4">
      <c r="A245">
        <v>411</v>
      </c>
      <c r="B245" t="s">
        <v>34</v>
      </c>
      <c r="C245">
        <f t="shared" si="25"/>
        <v>1</v>
      </c>
      <c r="D245" t="s">
        <v>39</v>
      </c>
      <c r="E245">
        <f t="shared" si="19"/>
        <v>0</v>
      </c>
      <c r="F245" t="s">
        <v>40</v>
      </c>
      <c r="G245">
        <v>1</v>
      </c>
      <c r="H245" s="1">
        <v>38400</v>
      </c>
      <c r="I245" s="10">
        <v>0.12</v>
      </c>
      <c r="J245">
        <v>37.5</v>
      </c>
      <c r="K245" t="s">
        <v>34</v>
      </c>
      <c r="L245">
        <v>18</v>
      </c>
      <c r="M245" t="s">
        <v>47</v>
      </c>
      <c r="N245" t="s">
        <v>30</v>
      </c>
      <c r="O245" t="s">
        <v>31</v>
      </c>
      <c r="P245">
        <v>10</v>
      </c>
      <c r="Q245" t="s">
        <v>43</v>
      </c>
      <c r="R245" t="s">
        <v>33</v>
      </c>
      <c r="S245">
        <v>3</v>
      </c>
      <c r="T245">
        <v>0</v>
      </c>
      <c r="U245">
        <v>0</v>
      </c>
      <c r="V245">
        <v>2</v>
      </c>
      <c r="W245">
        <v>0</v>
      </c>
      <c r="X245">
        <v>0</v>
      </c>
      <c r="Y245">
        <v>0</v>
      </c>
      <c r="Z245">
        <v>0</v>
      </c>
      <c r="AA245" t="str">
        <f t="shared" si="21"/>
        <v>Early Tenure</v>
      </c>
      <c r="AB245" s="5">
        <v>45065</v>
      </c>
      <c r="AC245">
        <f t="shared" si="22"/>
        <v>0</v>
      </c>
      <c r="AD245" t="s">
        <v>49</v>
      </c>
      <c r="AE245">
        <f>VLOOKUP(A245,'Employee Engagement Survey'!A10:B1479,2,FALSE)</f>
        <v>4</v>
      </c>
      <c r="AF245">
        <f>VLOOKUP(A245,'Employee Engagement Survey'!A10:C1479,3,FALSE)</f>
        <v>3</v>
      </c>
      <c r="AG245">
        <f>VLOOKUP(A245,'Employee Engagement Survey'!A10:D1479,4,FALSE)</f>
        <v>1</v>
      </c>
      <c r="AH245">
        <f>VLOOKUP(A245,'Employee Engagement Survey'!A10:E1479,5,FALSE)</f>
        <v>3</v>
      </c>
      <c r="AI245">
        <f t="shared" si="20"/>
        <v>2.75</v>
      </c>
    </row>
    <row r="246" spans="1:35" hidden="1" x14ac:dyDescent="0.4">
      <c r="A246">
        <v>1270</v>
      </c>
      <c r="B246" t="s">
        <v>34</v>
      </c>
      <c r="C246">
        <f t="shared" si="25"/>
        <v>1</v>
      </c>
      <c r="D246" t="s">
        <v>27</v>
      </c>
      <c r="E246">
        <f t="shared" si="19"/>
        <v>0</v>
      </c>
      <c r="F246" t="s">
        <v>28</v>
      </c>
      <c r="G246">
        <v>1</v>
      </c>
      <c r="H246" s="1">
        <v>38676</v>
      </c>
      <c r="I246" s="10">
        <v>0.22</v>
      </c>
      <c r="J246">
        <v>37.5</v>
      </c>
      <c r="K246" t="s">
        <v>34</v>
      </c>
      <c r="L246">
        <v>23</v>
      </c>
      <c r="M246" t="s">
        <v>41</v>
      </c>
      <c r="N246" t="s">
        <v>42</v>
      </c>
      <c r="O246" t="s">
        <v>31</v>
      </c>
      <c r="P246">
        <v>1</v>
      </c>
      <c r="Q246" t="s">
        <v>36</v>
      </c>
      <c r="R246" t="s">
        <v>37</v>
      </c>
      <c r="S246">
        <v>4</v>
      </c>
      <c r="T246">
        <v>1</v>
      </c>
      <c r="U246">
        <v>1</v>
      </c>
      <c r="V246">
        <v>2</v>
      </c>
      <c r="W246">
        <v>1</v>
      </c>
      <c r="X246">
        <v>0</v>
      </c>
      <c r="Y246">
        <v>0</v>
      </c>
      <c r="Z246">
        <v>1</v>
      </c>
      <c r="AA246" t="str">
        <f t="shared" si="21"/>
        <v>Early Tenure</v>
      </c>
      <c r="AB246" s="5">
        <v>44954</v>
      </c>
      <c r="AC246">
        <f t="shared" si="22"/>
        <v>0</v>
      </c>
      <c r="AD246" t="s">
        <v>38</v>
      </c>
      <c r="AE246">
        <f>VLOOKUP(A246,'Employee Engagement Survey'!A11:B1480,2,FALSE)</f>
        <v>4</v>
      </c>
      <c r="AF246">
        <f>VLOOKUP(A246,'Employee Engagement Survey'!A11:C1480,3,FALSE)</f>
        <v>3</v>
      </c>
      <c r="AG246">
        <f>VLOOKUP(A246,'Employee Engagement Survey'!A11:D1480,4,FALSE)</f>
        <v>4</v>
      </c>
      <c r="AH246">
        <f>VLOOKUP(A246,'Employee Engagement Survey'!A11:E1480,5,FALSE)</f>
        <v>3</v>
      </c>
      <c r="AI246">
        <f t="shared" si="20"/>
        <v>3.5</v>
      </c>
    </row>
    <row r="247" spans="1:35" hidden="1" x14ac:dyDescent="0.4">
      <c r="A247">
        <v>30</v>
      </c>
      <c r="B247" t="s">
        <v>34</v>
      </c>
      <c r="C247">
        <f t="shared" si="25"/>
        <v>1</v>
      </c>
      <c r="D247" t="s">
        <v>27</v>
      </c>
      <c r="E247">
        <f t="shared" si="19"/>
        <v>0</v>
      </c>
      <c r="F247" t="s">
        <v>28</v>
      </c>
      <c r="G247">
        <v>1</v>
      </c>
      <c r="H247" s="1">
        <v>38784</v>
      </c>
      <c r="I247" s="10">
        <v>0.14000000000000001</v>
      </c>
      <c r="J247">
        <v>37.5</v>
      </c>
      <c r="K247" t="s">
        <v>34</v>
      </c>
      <c r="L247">
        <v>21</v>
      </c>
      <c r="M247" t="s">
        <v>50</v>
      </c>
      <c r="N247" t="s">
        <v>30</v>
      </c>
      <c r="O247" t="s">
        <v>31</v>
      </c>
      <c r="P247">
        <v>15</v>
      </c>
      <c r="Q247" t="s">
        <v>36</v>
      </c>
      <c r="R247" t="s">
        <v>37</v>
      </c>
      <c r="S247">
        <v>3</v>
      </c>
      <c r="T247">
        <v>0</v>
      </c>
      <c r="U247">
        <v>0</v>
      </c>
      <c r="V247">
        <v>6</v>
      </c>
      <c r="W247">
        <v>0</v>
      </c>
      <c r="X247">
        <v>0</v>
      </c>
      <c r="Y247">
        <v>0</v>
      </c>
      <c r="Z247">
        <v>0</v>
      </c>
      <c r="AA247" t="str">
        <f t="shared" si="21"/>
        <v>Early Tenure</v>
      </c>
      <c r="AB247" s="5">
        <v>45008</v>
      </c>
      <c r="AC247">
        <f t="shared" si="22"/>
        <v>0</v>
      </c>
      <c r="AD247" t="s">
        <v>38</v>
      </c>
      <c r="AE247">
        <f>VLOOKUP(A247,'Employee Engagement Survey'!A12:B1481,2,FALSE)</f>
        <v>3</v>
      </c>
      <c r="AF247">
        <f>VLOOKUP(A247,'Employee Engagement Survey'!A12:C1481,3,FALSE)</f>
        <v>4</v>
      </c>
      <c r="AG247">
        <f>VLOOKUP(A247,'Employee Engagement Survey'!A12:D1481,4,FALSE)</f>
        <v>4</v>
      </c>
      <c r="AH247">
        <f>VLOOKUP(A247,'Employee Engagement Survey'!A12:E1481,5,FALSE)</f>
        <v>3</v>
      </c>
      <c r="AI247">
        <f t="shared" si="20"/>
        <v>3.5</v>
      </c>
    </row>
    <row r="248" spans="1:35" hidden="1" x14ac:dyDescent="0.4">
      <c r="A248">
        <v>1482</v>
      </c>
      <c r="B248" t="s">
        <v>34</v>
      </c>
      <c r="C248">
        <f t="shared" si="25"/>
        <v>1</v>
      </c>
      <c r="D248" t="s">
        <v>27</v>
      </c>
      <c r="E248">
        <f t="shared" si="19"/>
        <v>0</v>
      </c>
      <c r="F248" t="s">
        <v>28</v>
      </c>
      <c r="G248">
        <v>1</v>
      </c>
      <c r="H248" s="1">
        <v>39288</v>
      </c>
      <c r="I248" s="10">
        <v>0.13</v>
      </c>
      <c r="J248">
        <v>37.5</v>
      </c>
      <c r="K248" t="s">
        <v>34</v>
      </c>
      <c r="L248">
        <v>30</v>
      </c>
      <c r="M248" t="s">
        <v>29</v>
      </c>
      <c r="N248" t="s">
        <v>48</v>
      </c>
      <c r="O248" t="s">
        <v>35</v>
      </c>
      <c r="P248">
        <v>7</v>
      </c>
      <c r="Q248" t="s">
        <v>43</v>
      </c>
      <c r="R248" t="s">
        <v>45</v>
      </c>
      <c r="S248">
        <v>3</v>
      </c>
      <c r="T248">
        <v>2</v>
      </c>
      <c r="U248">
        <v>1</v>
      </c>
      <c r="V248">
        <v>2</v>
      </c>
      <c r="W248">
        <v>1</v>
      </c>
      <c r="X248">
        <v>0</v>
      </c>
      <c r="Y248">
        <v>0</v>
      </c>
      <c r="Z248">
        <v>0</v>
      </c>
      <c r="AA248" t="str">
        <f t="shared" si="21"/>
        <v>Early Tenure</v>
      </c>
      <c r="AB248" s="5">
        <v>45297</v>
      </c>
      <c r="AC248">
        <f t="shared" si="22"/>
        <v>1</v>
      </c>
      <c r="AD248" t="s">
        <v>49</v>
      </c>
      <c r="AE248">
        <f>VLOOKUP(A248,'Employee Engagement Survey'!A14:B1483,2,FALSE)</f>
        <v>3</v>
      </c>
      <c r="AF248">
        <f>VLOOKUP(A248,'Employee Engagement Survey'!A14:C1483,3,FALSE)</f>
        <v>3</v>
      </c>
      <c r="AG248">
        <f>VLOOKUP(A248,'Employee Engagement Survey'!A14:D1483,4,FALSE)</f>
        <v>2</v>
      </c>
      <c r="AH248">
        <f>VLOOKUP(A248,'Employee Engagement Survey'!A14:E1483,5,FALSE)</f>
        <v>2</v>
      </c>
      <c r="AI248">
        <f t="shared" si="20"/>
        <v>2.5</v>
      </c>
    </row>
    <row r="249" spans="1:35" hidden="1" x14ac:dyDescent="0.4">
      <c r="A249">
        <v>704</v>
      </c>
      <c r="B249" t="s">
        <v>34</v>
      </c>
      <c r="C249">
        <f t="shared" si="25"/>
        <v>1</v>
      </c>
      <c r="D249" t="s">
        <v>46</v>
      </c>
      <c r="E249">
        <f t="shared" si="19"/>
        <v>0</v>
      </c>
      <c r="F249" t="s">
        <v>28</v>
      </c>
      <c r="G249">
        <v>1</v>
      </c>
      <c r="H249" s="1">
        <v>39372</v>
      </c>
      <c r="I249" s="10">
        <v>0.18</v>
      </c>
      <c r="J249">
        <v>37.5</v>
      </c>
      <c r="K249" t="s">
        <v>34</v>
      </c>
      <c r="L249">
        <v>35</v>
      </c>
      <c r="M249" t="s">
        <v>29</v>
      </c>
      <c r="N249" t="s">
        <v>42</v>
      </c>
      <c r="O249" t="s">
        <v>35</v>
      </c>
      <c r="P249">
        <v>3</v>
      </c>
      <c r="Q249" t="s">
        <v>43</v>
      </c>
      <c r="R249" t="s">
        <v>37</v>
      </c>
      <c r="S249">
        <v>3</v>
      </c>
      <c r="T249">
        <v>2</v>
      </c>
      <c r="U249">
        <v>1</v>
      </c>
      <c r="V249">
        <v>3</v>
      </c>
      <c r="W249">
        <v>1</v>
      </c>
      <c r="X249">
        <v>0</v>
      </c>
      <c r="Y249">
        <v>0</v>
      </c>
      <c r="Z249">
        <v>0</v>
      </c>
      <c r="AA249" t="str">
        <f t="shared" si="21"/>
        <v>Early Tenure</v>
      </c>
      <c r="AB249" s="5">
        <v>45348</v>
      </c>
      <c r="AC249">
        <f t="shared" si="22"/>
        <v>1</v>
      </c>
      <c r="AD249" t="s">
        <v>38</v>
      </c>
      <c r="AE249">
        <f>VLOOKUP(A249,'Employee Engagement Survey'!A15:B1484,2,FALSE)</f>
        <v>3</v>
      </c>
      <c r="AF249">
        <f>VLOOKUP(A249,'Employee Engagement Survey'!A15:C1484,3,FALSE)</f>
        <v>3</v>
      </c>
      <c r="AG249">
        <f>VLOOKUP(A249,'Employee Engagement Survey'!A15:D1484,4,FALSE)</f>
        <v>3</v>
      </c>
      <c r="AH249">
        <f>VLOOKUP(A249,'Employee Engagement Survey'!A15:E1484,5,FALSE)</f>
        <v>3</v>
      </c>
      <c r="AI249">
        <f t="shared" si="20"/>
        <v>3</v>
      </c>
    </row>
    <row r="250" spans="1:35" hidden="1" x14ac:dyDescent="0.4">
      <c r="A250">
        <v>201</v>
      </c>
      <c r="B250" t="s">
        <v>34</v>
      </c>
      <c r="C250">
        <f t="shared" si="25"/>
        <v>1</v>
      </c>
      <c r="D250" t="s">
        <v>46</v>
      </c>
      <c r="E250">
        <f t="shared" si="19"/>
        <v>0</v>
      </c>
      <c r="F250" t="s">
        <v>28</v>
      </c>
      <c r="G250">
        <v>2</v>
      </c>
      <c r="H250" s="1">
        <v>41796</v>
      </c>
      <c r="I250" s="10">
        <v>0.14000000000000001</v>
      </c>
      <c r="J250">
        <v>37.5</v>
      </c>
      <c r="K250" t="s">
        <v>34</v>
      </c>
      <c r="L250">
        <v>19</v>
      </c>
      <c r="M250" t="s">
        <v>47</v>
      </c>
      <c r="N250" t="s">
        <v>30</v>
      </c>
      <c r="O250" t="s">
        <v>31</v>
      </c>
      <c r="P250">
        <v>3</v>
      </c>
      <c r="Q250" t="s">
        <v>32</v>
      </c>
      <c r="R250" t="s">
        <v>33</v>
      </c>
      <c r="S250">
        <v>3</v>
      </c>
      <c r="T250">
        <v>0</v>
      </c>
      <c r="U250">
        <v>1</v>
      </c>
      <c r="V250">
        <v>3</v>
      </c>
      <c r="W250">
        <v>1</v>
      </c>
      <c r="X250">
        <v>0</v>
      </c>
      <c r="Y250">
        <v>0</v>
      </c>
      <c r="Z250">
        <v>0</v>
      </c>
      <c r="AA250" t="str">
        <f t="shared" si="21"/>
        <v>Early Tenure</v>
      </c>
      <c r="AB250" s="5">
        <v>45392</v>
      </c>
      <c r="AC250">
        <f t="shared" si="22"/>
        <v>1</v>
      </c>
      <c r="AD250" t="s">
        <v>49</v>
      </c>
      <c r="AE250">
        <f>VLOOKUP(A250,'Employee Engagement Survey'!A20:B1489,2,FALSE)</f>
        <v>2</v>
      </c>
      <c r="AF250">
        <f>VLOOKUP(A250,'Employee Engagement Survey'!A20:C1489,3,FALSE)</f>
        <v>2</v>
      </c>
      <c r="AG250">
        <f>VLOOKUP(A250,'Employee Engagement Survey'!A20:D1489,4,FALSE)</f>
        <v>4</v>
      </c>
      <c r="AH250">
        <f>VLOOKUP(A250,'Employee Engagement Survey'!A20:E1489,5,FALSE)</f>
        <v>3</v>
      </c>
      <c r="AI250">
        <f t="shared" si="20"/>
        <v>2.75</v>
      </c>
    </row>
    <row r="251" spans="1:35" hidden="1" x14ac:dyDescent="0.4">
      <c r="A251">
        <v>1839</v>
      </c>
      <c r="B251" t="s">
        <v>34</v>
      </c>
      <c r="C251">
        <f t="shared" si="25"/>
        <v>1</v>
      </c>
      <c r="D251" t="s">
        <v>27</v>
      </c>
      <c r="E251">
        <f t="shared" si="19"/>
        <v>0</v>
      </c>
      <c r="F251" t="s">
        <v>28</v>
      </c>
      <c r="G251">
        <v>2</v>
      </c>
      <c r="H251" s="1">
        <v>42168</v>
      </c>
      <c r="I251" s="10">
        <v>0.16</v>
      </c>
      <c r="J251">
        <v>37.5</v>
      </c>
      <c r="K251" t="s">
        <v>34</v>
      </c>
      <c r="L251">
        <v>18</v>
      </c>
      <c r="M251" t="s">
        <v>47</v>
      </c>
      <c r="N251" t="s">
        <v>30</v>
      </c>
      <c r="O251" t="s">
        <v>35</v>
      </c>
      <c r="P251">
        <v>14</v>
      </c>
      <c r="Q251" t="s">
        <v>43</v>
      </c>
      <c r="R251" t="s">
        <v>33</v>
      </c>
      <c r="S251">
        <v>3</v>
      </c>
      <c r="T251">
        <v>0</v>
      </c>
      <c r="U251">
        <v>0</v>
      </c>
      <c r="V251">
        <v>4</v>
      </c>
      <c r="W251">
        <v>0</v>
      </c>
      <c r="X251">
        <v>0</v>
      </c>
      <c r="Y251">
        <v>0</v>
      </c>
      <c r="Z251">
        <v>0</v>
      </c>
      <c r="AA251" t="str">
        <f t="shared" si="21"/>
        <v>Early Tenure</v>
      </c>
      <c r="AB251" s="5">
        <v>45341</v>
      </c>
      <c r="AC251">
        <f t="shared" si="22"/>
        <v>1</v>
      </c>
      <c r="AD251" t="s">
        <v>38</v>
      </c>
      <c r="AE251">
        <f>VLOOKUP(A251,'Employee Engagement Survey'!A21:B1490,2,FALSE)</f>
        <v>2</v>
      </c>
      <c r="AF251">
        <f>VLOOKUP(A251,'Employee Engagement Survey'!A21:C1490,3,FALSE)</f>
        <v>3</v>
      </c>
      <c r="AG251">
        <f>VLOOKUP(A251,'Employee Engagement Survey'!A21:D1490,4,FALSE)</f>
        <v>3</v>
      </c>
      <c r="AH251">
        <f>VLOOKUP(A251,'Employee Engagement Survey'!A21:E1490,5,FALSE)</f>
        <v>1</v>
      </c>
      <c r="AI251">
        <f t="shared" si="20"/>
        <v>2.25</v>
      </c>
    </row>
    <row r="252" spans="1:35" hidden="1" x14ac:dyDescent="0.4">
      <c r="A252">
        <v>2</v>
      </c>
      <c r="B252" t="s">
        <v>34</v>
      </c>
      <c r="C252">
        <f t="shared" si="25"/>
        <v>1</v>
      </c>
      <c r="D252" t="s">
        <v>27</v>
      </c>
      <c r="E252">
        <f t="shared" si="19"/>
        <v>0</v>
      </c>
      <c r="F252" t="s">
        <v>28</v>
      </c>
      <c r="G252">
        <v>7</v>
      </c>
      <c r="H252" s="1">
        <v>73560</v>
      </c>
      <c r="I252" s="10">
        <v>0.23</v>
      </c>
      <c r="J252">
        <v>37.5</v>
      </c>
      <c r="K252" t="s">
        <v>34</v>
      </c>
      <c r="L252">
        <v>49</v>
      </c>
      <c r="M252" t="s">
        <v>29</v>
      </c>
      <c r="N252" t="s">
        <v>42</v>
      </c>
      <c r="O252" t="s">
        <v>44</v>
      </c>
      <c r="P252">
        <v>8</v>
      </c>
      <c r="Q252" t="s">
        <v>32</v>
      </c>
      <c r="R252" t="s">
        <v>37</v>
      </c>
      <c r="S252">
        <v>4</v>
      </c>
      <c r="T252">
        <v>1</v>
      </c>
      <c r="U252">
        <v>10</v>
      </c>
      <c r="V252">
        <v>3</v>
      </c>
      <c r="W252">
        <v>10</v>
      </c>
      <c r="X252">
        <v>7</v>
      </c>
      <c r="Y252">
        <v>1</v>
      </c>
      <c r="Z252">
        <v>7</v>
      </c>
      <c r="AA252" t="str">
        <f t="shared" si="21"/>
        <v>Long Tenure</v>
      </c>
      <c r="AB252" s="5">
        <v>44963</v>
      </c>
      <c r="AC252">
        <f t="shared" si="22"/>
        <v>0</v>
      </c>
      <c r="AD252" t="s">
        <v>49</v>
      </c>
      <c r="AE252">
        <f>VLOOKUP(A252,'Employee Engagement Survey'!A22:B1491,2,FALSE)</f>
        <v>3</v>
      </c>
      <c r="AF252">
        <f>VLOOKUP(A252,'Employee Engagement Survey'!A22:C1491,3,FALSE)</f>
        <v>2</v>
      </c>
      <c r="AG252">
        <f>VLOOKUP(A252,'Employee Engagement Survey'!A22:D1491,4,FALSE)</f>
        <v>4</v>
      </c>
      <c r="AH252">
        <f>VLOOKUP(A252,'Employee Engagement Survey'!A22:E1491,5,FALSE)</f>
        <v>3</v>
      </c>
      <c r="AI252">
        <f t="shared" si="20"/>
        <v>3</v>
      </c>
    </row>
    <row r="253" spans="1:35" hidden="1" x14ac:dyDescent="0.4">
      <c r="A253">
        <v>7</v>
      </c>
      <c r="B253" t="s">
        <v>34</v>
      </c>
      <c r="C253">
        <f t="shared" si="25"/>
        <v>1</v>
      </c>
      <c r="D253" t="s">
        <v>46</v>
      </c>
      <c r="E253">
        <f t="shared" si="19"/>
        <v>0</v>
      </c>
      <c r="F253" t="s">
        <v>28</v>
      </c>
      <c r="G253">
        <v>6</v>
      </c>
      <c r="H253" s="1">
        <v>65616</v>
      </c>
      <c r="I253" s="10">
        <v>0.12</v>
      </c>
      <c r="J253">
        <v>37.5</v>
      </c>
      <c r="K253" t="s">
        <v>34</v>
      </c>
      <c r="L253">
        <v>27</v>
      </c>
      <c r="M253" t="s">
        <v>29</v>
      </c>
      <c r="N253" t="s">
        <v>42</v>
      </c>
      <c r="O253" t="s">
        <v>31</v>
      </c>
      <c r="P253">
        <v>2</v>
      </c>
      <c r="Q253" t="s">
        <v>32</v>
      </c>
      <c r="R253" t="s">
        <v>33</v>
      </c>
      <c r="S253">
        <v>3</v>
      </c>
      <c r="T253">
        <v>1</v>
      </c>
      <c r="U253">
        <v>6</v>
      </c>
      <c r="V253">
        <v>3</v>
      </c>
      <c r="W253">
        <v>2</v>
      </c>
      <c r="X253">
        <v>2</v>
      </c>
      <c r="Y253">
        <v>2</v>
      </c>
      <c r="Z253">
        <v>2</v>
      </c>
      <c r="AA253" t="str">
        <f t="shared" si="21"/>
        <v>Early Tenure</v>
      </c>
      <c r="AB253" s="5">
        <v>45723</v>
      </c>
      <c r="AC253">
        <f t="shared" si="22"/>
        <v>1</v>
      </c>
      <c r="AD253" t="s">
        <v>49</v>
      </c>
      <c r="AE253">
        <f>VLOOKUP(A253,'Employee Engagement Survey'!A25:B1494,2,FALSE)</f>
        <v>1</v>
      </c>
      <c r="AF253">
        <f>VLOOKUP(A253,'Employee Engagement Survey'!A25:C1494,3,FALSE)</f>
        <v>2</v>
      </c>
      <c r="AG253">
        <f>VLOOKUP(A253,'Employee Engagement Survey'!A25:D1494,4,FALSE)</f>
        <v>4</v>
      </c>
      <c r="AH253">
        <f>VLOOKUP(A253,'Employee Engagement Survey'!A25:E1494,5,FALSE)</f>
        <v>3</v>
      </c>
      <c r="AI253">
        <f t="shared" si="20"/>
        <v>2.5</v>
      </c>
    </row>
    <row r="254" spans="1:35" hidden="1" x14ac:dyDescent="0.4">
      <c r="A254">
        <v>1368</v>
      </c>
      <c r="B254" t="s">
        <v>34</v>
      </c>
      <c r="C254">
        <f t="shared" si="25"/>
        <v>1</v>
      </c>
      <c r="D254" t="s">
        <v>46</v>
      </c>
      <c r="E254">
        <f t="shared" si="19"/>
        <v>0</v>
      </c>
      <c r="F254" t="s">
        <v>28</v>
      </c>
      <c r="G254">
        <v>2</v>
      </c>
      <c r="H254" s="1">
        <v>43332</v>
      </c>
      <c r="I254" s="10">
        <v>0.15</v>
      </c>
      <c r="J254">
        <v>37.5</v>
      </c>
      <c r="K254" t="s">
        <v>34</v>
      </c>
      <c r="L254">
        <v>18</v>
      </c>
      <c r="M254" t="s">
        <v>47</v>
      </c>
      <c r="N254" t="s">
        <v>30</v>
      </c>
      <c r="O254" t="s">
        <v>35</v>
      </c>
      <c r="P254">
        <v>1</v>
      </c>
      <c r="Q254" t="s">
        <v>43</v>
      </c>
      <c r="R254" t="s">
        <v>37</v>
      </c>
      <c r="S254">
        <v>3</v>
      </c>
      <c r="T254">
        <v>0</v>
      </c>
      <c r="U254">
        <v>0</v>
      </c>
      <c r="V254">
        <v>5</v>
      </c>
      <c r="W254">
        <v>0</v>
      </c>
      <c r="X254">
        <v>0</v>
      </c>
      <c r="Y254">
        <v>0</v>
      </c>
      <c r="Z254">
        <v>0</v>
      </c>
      <c r="AA254" t="str">
        <f t="shared" si="21"/>
        <v>Early Tenure</v>
      </c>
      <c r="AB254" s="5">
        <v>45163</v>
      </c>
      <c r="AC254">
        <f t="shared" si="22"/>
        <v>0</v>
      </c>
      <c r="AD254" t="s">
        <v>38</v>
      </c>
      <c r="AE254">
        <f>VLOOKUP(A254,'Employee Engagement Survey'!A26:B1495,2,FALSE)</f>
        <v>4</v>
      </c>
      <c r="AF254">
        <f>VLOOKUP(A254,'Employee Engagement Survey'!A26:C1495,3,FALSE)</f>
        <v>4</v>
      </c>
      <c r="AG254">
        <f>VLOOKUP(A254,'Employee Engagement Survey'!A26:D1495,4,FALSE)</f>
        <v>3</v>
      </c>
      <c r="AH254">
        <f>VLOOKUP(A254,'Employee Engagement Survey'!A26:E1495,5,FALSE)</f>
        <v>4</v>
      </c>
      <c r="AI254">
        <f t="shared" si="20"/>
        <v>3.75</v>
      </c>
    </row>
    <row r="255" spans="1:35" hidden="1" x14ac:dyDescent="0.4">
      <c r="A255">
        <v>8</v>
      </c>
      <c r="B255" t="s">
        <v>34</v>
      </c>
      <c r="C255">
        <f t="shared" si="25"/>
        <v>1</v>
      </c>
      <c r="D255" t="s">
        <v>46</v>
      </c>
      <c r="E255">
        <f t="shared" si="19"/>
        <v>0</v>
      </c>
      <c r="F255" t="s">
        <v>28</v>
      </c>
      <c r="G255">
        <v>6</v>
      </c>
      <c r="H255" s="1">
        <v>60816</v>
      </c>
      <c r="I255" s="10">
        <v>0.13</v>
      </c>
      <c r="J255">
        <v>37.5</v>
      </c>
      <c r="K255" t="s">
        <v>34</v>
      </c>
      <c r="L255">
        <v>32</v>
      </c>
      <c r="M255" t="s">
        <v>41</v>
      </c>
      <c r="N255" t="s">
        <v>30</v>
      </c>
      <c r="O255" t="s">
        <v>44</v>
      </c>
      <c r="P255">
        <v>2</v>
      </c>
      <c r="Q255" t="s">
        <v>36</v>
      </c>
      <c r="R255" t="s">
        <v>37</v>
      </c>
      <c r="S255">
        <v>3</v>
      </c>
      <c r="T255">
        <v>0</v>
      </c>
      <c r="U255">
        <v>8</v>
      </c>
      <c r="V255">
        <v>2</v>
      </c>
      <c r="W255">
        <v>7</v>
      </c>
      <c r="X255">
        <v>7</v>
      </c>
      <c r="Y255">
        <v>3</v>
      </c>
      <c r="Z255">
        <v>6</v>
      </c>
      <c r="AA255" t="str">
        <f t="shared" si="21"/>
        <v>Mid Tenure</v>
      </c>
      <c r="AB255" s="5">
        <v>44840</v>
      </c>
      <c r="AC255">
        <f t="shared" si="22"/>
        <v>0</v>
      </c>
      <c r="AD255" t="s">
        <v>49</v>
      </c>
      <c r="AE255">
        <f>VLOOKUP(A255,'Employee Engagement Survey'!A27:B1496,2,FALSE)</f>
        <v>4</v>
      </c>
      <c r="AF255">
        <f>VLOOKUP(A255,'Employee Engagement Survey'!A27:C1496,3,FALSE)</f>
        <v>4</v>
      </c>
      <c r="AG255">
        <f>VLOOKUP(A255,'Employee Engagement Survey'!A27:D1496,4,FALSE)</f>
        <v>3</v>
      </c>
      <c r="AH255">
        <f>VLOOKUP(A255,'Employee Engagement Survey'!A27:E1496,5,FALSE)</f>
        <v>2</v>
      </c>
      <c r="AI255">
        <f t="shared" si="20"/>
        <v>3.25</v>
      </c>
    </row>
    <row r="256" spans="1:35" hidden="1" x14ac:dyDescent="0.4">
      <c r="A256">
        <v>11</v>
      </c>
      <c r="B256" t="s">
        <v>34</v>
      </c>
      <c r="C256">
        <f t="shared" si="25"/>
        <v>1</v>
      </c>
      <c r="D256" t="s">
        <v>46</v>
      </c>
      <c r="E256">
        <f t="shared" si="19"/>
        <v>0</v>
      </c>
      <c r="F256" t="s">
        <v>28</v>
      </c>
      <c r="G256">
        <v>5</v>
      </c>
      <c r="H256" s="1">
        <v>56316</v>
      </c>
      <c r="I256" s="10">
        <v>0.22</v>
      </c>
      <c r="J256">
        <v>37.5</v>
      </c>
      <c r="K256" t="s">
        <v>34</v>
      </c>
      <c r="L256">
        <v>30</v>
      </c>
      <c r="M256" t="s">
        <v>41</v>
      </c>
      <c r="N256" t="s">
        <v>48</v>
      </c>
      <c r="O256" t="s">
        <v>31</v>
      </c>
      <c r="P256">
        <v>24</v>
      </c>
      <c r="Q256" t="s">
        <v>32</v>
      </c>
      <c r="R256" t="s">
        <v>37</v>
      </c>
      <c r="S256">
        <v>4</v>
      </c>
      <c r="T256">
        <v>1</v>
      </c>
      <c r="U256">
        <v>1</v>
      </c>
      <c r="V256">
        <v>2</v>
      </c>
      <c r="W256">
        <v>1</v>
      </c>
      <c r="X256">
        <v>0</v>
      </c>
      <c r="Y256">
        <v>0</v>
      </c>
      <c r="Z256">
        <v>0</v>
      </c>
      <c r="AA256" t="str">
        <f t="shared" si="21"/>
        <v>Early Tenure</v>
      </c>
      <c r="AB256" s="5">
        <v>45924</v>
      </c>
      <c r="AC256">
        <f t="shared" si="22"/>
        <v>1</v>
      </c>
      <c r="AD256" t="s">
        <v>38</v>
      </c>
      <c r="AE256">
        <f>VLOOKUP(A256,'Employee Engagement Survey'!A28:B1497,2,FALSE)</f>
        <v>4</v>
      </c>
      <c r="AF256">
        <f>VLOOKUP(A256,'Employee Engagement Survey'!A28:C1497,3,FALSE)</f>
        <v>3</v>
      </c>
      <c r="AG256">
        <f>VLOOKUP(A256,'Employee Engagement Survey'!A28:D1497,4,FALSE)</f>
        <v>2</v>
      </c>
      <c r="AH256">
        <f>VLOOKUP(A256,'Employee Engagement Survey'!A28:E1497,5,FALSE)</f>
        <v>3</v>
      </c>
      <c r="AI256">
        <f t="shared" si="20"/>
        <v>3</v>
      </c>
    </row>
    <row r="257" spans="1:35" hidden="1" x14ac:dyDescent="0.4">
      <c r="A257">
        <v>12</v>
      </c>
      <c r="B257" t="s">
        <v>34</v>
      </c>
      <c r="C257">
        <f t="shared" si="25"/>
        <v>1</v>
      </c>
      <c r="D257" t="s">
        <v>54</v>
      </c>
      <c r="E257">
        <f t="shared" si="19"/>
        <v>1</v>
      </c>
      <c r="F257" t="s">
        <v>28</v>
      </c>
      <c r="G257">
        <v>9</v>
      </c>
      <c r="H257" s="1">
        <v>126312</v>
      </c>
      <c r="I257" s="10">
        <v>0.21</v>
      </c>
      <c r="J257">
        <v>37.5</v>
      </c>
      <c r="K257" t="s">
        <v>34</v>
      </c>
      <c r="L257">
        <v>38</v>
      </c>
      <c r="M257" t="s">
        <v>41</v>
      </c>
      <c r="N257" t="s">
        <v>30</v>
      </c>
      <c r="O257" t="s">
        <v>44</v>
      </c>
      <c r="P257">
        <v>23</v>
      </c>
      <c r="Q257" t="s">
        <v>43</v>
      </c>
      <c r="R257" t="s">
        <v>37</v>
      </c>
      <c r="S257">
        <v>4</v>
      </c>
      <c r="T257">
        <v>0</v>
      </c>
      <c r="U257">
        <v>10</v>
      </c>
      <c r="V257">
        <v>2</v>
      </c>
      <c r="W257">
        <v>9</v>
      </c>
      <c r="X257">
        <v>7</v>
      </c>
      <c r="Y257">
        <v>1</v>
      </c>
      <c r="Z257">
        <v>8</v>
      </c>
      <c r="AA257" t="str">
        <f t="shared" si="21"/>
        <v>Mid Tenure</v>
      </c>
      <c r="AB257" s="5">
        <v>45560</v>
      </c>
      <c r="AC257">
        <f t="shared" si="22"/>
        <v>1</v>
      </c>
      <c r="AD257" t="s">
        <v>49</v>
      </c>
      <c r="AE257">
        <f>VLOOKUP(A257,'Employee Engagement Survey'!A29:B1498,2,FALSE)</f>
        <v>4</v>
      </c>
      <c r="AF257">
        <f>VLOOKUP(A257,'Employee Engagement Survey'!A29:C1498,3,FALSE)</f>
        <v>3</v>
      </c>
      <c r="AG257">
        <f>VLOOKUP(A257,'Employee Engagement Survey'!A29:D1498,4,FALSE)</f>
        <v>2</v>
      </c>
      <c r="AH257">
        <f>VLOOKUP(A257,'Employee Engagement Survey'!A29:E1498,5,FALSE)</f>
        <v>3</v>
      </c>
      <c r="AI257">
        <f t="shared" si="20"/>
        <v>3</v>
      </c>
    </row>
    <row r="258" spans="1:35" hidden="1" x14ac:dyDescent="0.4">
      <c r="A258">
        <v>13</v>
      </c>
      <c r="B258" t="s">
        <v>34</v>
      </c>
      <c r="C258">
        <f t="shared" si="25"/>
        <v>1</v>
      </c>
      <c r="D258" t="s">
        <v>55</v>
      </c>
      <c r="E258">
        <f t="shared" ref="E258:E321" si="26">IF(OR(D258="Manager, HR", D258="Manager, Sales", D258="Manager, R&amp;D", D258="Manufacturing Director",D258="Research Director", D258="VP, HR", D258="CEO"),1,0)</f>
        <v>0</v>
      </c>
      <c r="F258" t="s">
        <v>28</v>
      </c>
      <c r="G258">
        <v>7</v>
      </c>
      <c r="H258" s="1">
        <v>74844</v>
      </c>
      <c r="I258" s="10">
        <v>0.13</v>
      </c>
      <c r="J258">
        <v>37.5</v>
      </c>
      <c r="K258" t="s">
        <v>34</v>
      </c>
      <c r="L258">
        <v>36</v>
      </c>
      <c r="M258" t="s">
        <v>41</v>
      </c>
      <c r="N258" t="s">
        <v>42</v>
      </c>
      <c r="O258" t="s">
        <v>31</v>
      </c>
      <c r="P258">
        <v>27</v>
      </c>
      <c r="Q258" t="s">
        <v>43</v>
      </c>
      <c r="R258" t="s">
        <v>33</v>
      </c>
      <c r="S258">
        <v>3</v>
      </c>
      <c r="T258">
        <v>2</v>
      </c>
      <c r="U258">
        <v>17</v>
      </c>
      <c r="V258">
        <v>3</v>
      </c>
      <c r="W258">
        <v>7</v>
      </c>
      <c r="X258">
        <v>7</v>
      </c>
      <c r="Y258">
        <v>7</v>
      </c>
      <c r="Z258">
        <v>7</v>
      </c>
      <c r="AA258" t="str">
        <f t="shared" si="21"/>
        <v>Mid Tenure</v>
      </c>
      <c r="AB258" s="5">
        <v>44993</v>
      </c>
      <c r="AC258">
        <f t="shared" si="22"/>
        <v>0</v>
      </c>
      <c r="AD258" t="s">
        <v>49</v>
      </c>
      <c r="AE258">
        <f>VLOOKUP(A258,'Employee Engagement Survey'!A30:B1499,2,FALSE)</f>
        <v>3</v>
      </c>
      <c r="AF258">
        <f>VLOOKUP(A258,'Employee Engagement Survey'!A30:C1499,3,FALSE)</f>
        <v>3</v>
      </c>
      <c r="AG258">
        <f>VLOOKUP(A258,'Employee Engagement Survey'!A30:D1499,4,FALSE)</f>
        <v>2</v>
      </c>
      <c r="AH258">
        <f>VLOOKUP(A258,'Employee Engagement Survey'!A30:E1499,5,FALSE)</f>
        <v>2</v>
      </c>
      <c r="AI258">
        <f t="shared" ref="AI258:AI321" si="27">AVERAGE(AE258:AH258)</f>
        <v>2.5</v>
      </c>
    </row>
    <row r="259" spans="1:35" hidden="1" x14ac:dyDescent="0.4">
      <c r="A259">
        <v>14</v>
      </c>
      <c r="B259" t="s">
        <v>34</v>
      </c>
      <c r="C259">
        <f t="shared" si="25"/>
        <v>1</v>
      </c>
      <c r="D259" t="s">
        <v>46</v>
      </c>
      <c r="E259">
        <f t="shared" si="26"/>
        <v>0</v>
      </c>
      <c r="F259" t="s">
        <v>28</v>
      </c>
      <c r="G259">
        <v>4</v>
      </c>
      <c r="H259" s="1">
        <v>53112</v>
      </c>
      <c r="I259" s="10">
        <v>0.13</v>
      </c>
      <c r="J259">
        <v>37.5</v>
      </c>
      <c r="K259" t="s">
        <v>34</v>
      </c>
      <c r="L259">
        <v>35</v>
      </c>
      <c r="M259" t="s">
        <v>41</v>
      </c>
      <c r="N259" t="s">
        <v>42</v>
      </c>
      <c r="O259" t="s">
        <v>31</v>
      </c>
      <c r="P259">
        <v>16</v>
      </c>
      <c r="Q259" t="s">
        <v>43</v>
      </c>
      <c r="R259" t="s">
        <v>33</v>
      </c>
      <c r="S259">
        <v>3</v>
      </c>
      <c r="T259">
        <v>1</v>
      </c>
      <c r="U259">
        <v>6</v>
      </c>
      <c r="V259">
        <v>5</v>
      </c>
      <c r="W259">
        <v>5</v>
      </c>
      <c r="X259">
        <v>4</v>
      </c>
      <c r="Y259">
        <v>0</v>
      </c>
      <c r="Z259">
        <v>3</v>
      </c>
      <c r="AA259" t="str">
        <f t="shared" ref="AA259:AA322" si="28">IF(W259&lt;=2,"Early Tenure",IF(W259&lt;=9,"Mid Tenure","Long Tenure"))</f>
        <v>Mid Tenure</v>
      </c>
      <c r="AB259" s="5">
        <v>44577</v>
      </c>
      <c r="AC259">
        <f t="shared" ref="AC259:AC322" si="29">IF(AND(AB259&lt;&gt;"",AB259&gt;DATE(2024,1,1)),1,0)</f>
        <v>0</v>
      </c>
      <c r="AD259" t="s">
        <v>38</v>
      </c>
      <c r="AE259">
        <f>VLOOKUP(A259,'Employee Engagement Survey'!A32:B1501,2,FALSE)</f>
        <v>1</v>
      </c>
      <c r="AF259">
        <f>VLOOKUP(A259,'Employee Engagement Survey'!A32:C1501,3,FALSE)</f>
        <v>2</v>
      </c>
      <c r="AG259">
        <f>VLOOKUP(A259,'Employee Engagement Survey'!A32:D1501,4,FALSE)</f>
        <v>3</v>
      </c>
      <c r="AH259">
        <f>VLOOKUP(A259,'Employee Engagement Survey'!A32:E1501,5,FALSE)</f>
        <v>3</v>
      </c>
      <c r="AI259">
        <f t="shared" si="27"/>
        <v>2.25</v>
      </c>
    </row>
    <row r="260" spans="1:35" hidden="1" x14ac:dyDescent="0.4">
      <c r="A260">
        <v>18</v>
      </c>
      <c r="B260" t="s">
        <v>34</v>
      </c>
      <c r="C260">
        <f t="shared" si="25"/>
        <v>1</v>
      </c>
      <c r="D260" t="s">
        <v>46</v>
      </c>
      <c r="E260">
        <f t="shared" si="26"/>
        <v>0</v>
      </c>
      <c r="F260" t="s">
        <v>28</v>
      </c>
      <c r="G260">
        <v>5</v>
      </c>
      <c r="H260" s="1">
        <v>55932</v>
      </c>
      <c r="I260" s="10">
        <v>0.11</v>
      </c>
      <c r="J260">
        <v>37.5</v>
      </c>
      <c r="K260" t="s">
        <v>34</v>
      </c>
      <c r="L260">
        <v>34</v>
      </c>
      <c r="M260" t="s">
        <v>41</v>
      </c>
      <c r="N260" t="s">
        <v>48</v>
      </c>
      <c r="O260" t="s">
        <v>31</v>
      </c>
      <c r="P260">
        <v>19</v>
      </c>
      <c r="Q260" t="s">
        <v>36</v>
      </c>
      <c r="R260" t="s">
        <v>33</v>
      </c>
      <c r="S260">
        <v>3</v>
      </c>
      <c r="T260">
        <v>1</v>
      </c>
      <c r="U260">
        <v>3</v>
      </c>
      <c r="V260">
        <v>2</v>
      </c>
      <c r="W260">
        <v>2</v>
      </c>
      <c r="X260">
        <v>2</v>
      </c>
      <c r="Y260">
        <v>1</v>
      </c>
      <c r="Z260">
        <v>2</v>
      </c>
      <c r="AA260" t="str">
        <f t="shared" si="28"/>
        <v>Early Tenure</v>
      </c>
      <c r="AB260" s="5">
        <v>44864</v>
      </c>
      <c r="AC260">
        <f t="shared" si="29"/>
        <v>0</v>
      </c>
      <c r="AD260" t="s">
        <v>38</v>
      </c>
      <c r="AE260">
        <f>VLOOKUP(A260,'Employee Engagement Survey'!A34:B1503,2,FALSE)</f>
        <v>2</v>
      </c>
      <c r="AF260">
        <f>VLOOKUP(A260,'Employee Engagement Survey'!A34:C1503,3,FALSE)</f>
        <v>4</v>
      </c>
      <c r="AG260">
        <f>VLOOKUP(A260,'Employee Engagement Survey'!A34:D1503,4,FALSE)</f>
        <v>3</v>
      </c>
      <c r="AH260">
        <f>VLOOKUP(A260,'Employee Engagement Survey'!A34:E1503,5,FALSE)</f>
        <v>3</v>
      </c>
      <c r="AI260">
        <f t="shared" si="27"/>
        <v>3</v>
      </c>
    </row>
    <row r="261" spans="1:35" hidden="1" x14ac:dyDescent="0.4">
      <c r="A261">
        <v>2051</v>
      </c>
      <c r="B261" t="s">
        <v>34</v>
      </c>
      <c r="C261">
        <f t="shared" si="25"/>
        <v>1</v>
      </c>
      <c r="D261" t="s">
        <v>27</v>
      </c>
      <c r="E261">
        <f t="shared" si="26"/>
        <v>0</v>
      </c>
      <c r="F261" t="s">
        <v>28</v>
      </c>
      <c r="G261">
        <v>3</v>
      </c>
      <c r="H261" s="1">
        <v>48012</v>
      </c>
      <c r="I261" s="10">
        <v>0.14000000000000001</v>
      </c>
      <c r="J261">
        <v>37.5</v>
      </c>
      <c r="K261" t="s">
        <v>34</v>
      </c>
      <c r="L261">
        <v>40</v>
      </c>
      <c r="M261" t="s">
        <v>47</v>
      </c>
      <c r="N261" t="s">
        <v>42</v>
      </c>
      <c r="O261" t="s">
        <v>31</v>
      </c>
      <c r="P261">
        <v>2</v>
      </c>
      <c r="Q261" t="s">
        <v>51</v>
      </c>
      <c r="R261" t="s">
        <v>33</v>
      </c>
      <c r="S261">
        <v>3</v>
      </c>
      <c r="T261">
        <v>3</v>
      </c>
      <c r="U261">
        <v>20</v>
      </c>
      <c r="V261">
        <v>2</v>
      </c>
      <c r="W261">
        <v>5</v>
      </c>
      <c r="X261">
        <v>3</v>
      </c>
      <c r="Y261">
        <v>0</v>
      </c>
      <c r="Z261">
        <v>2</v>
      </c>
      <c r="AA261" t="str">
        <f t="shared" si="28"/>
        <v>Mid Tenure</v>
      </c>
      <c r="AB261" s="5">
        <v>44685</v>
      </c>
      <c r="AC261">
        <f t="shared" si="29"/>
        <v>0</v>
      </c>
      <c r="AD261" t="s">
        <v>38</v>
      </c>
      <c r="AE261">
        <f>VLOOKUP(A261,'Employee Engagement Survey'!A35:B1504,2,FALSE)</f>
        <v>3</v>
      </c>
      <c r="AF261">
        <f>VLOOKUP(A261,'Employee Engagement Survey'!A35:C1504,3,FALSE)</f>
        <v>3</v>
      </c>
      <c r="AG261">
        <f>VLOOKUP(A261,'Employee Engagement Survey'!A35:D1504,4,FALSE)</f>
        <v>2</v>
      </c>
      <c r="AH261">
        <f>VLOOKUP(A261,'Employee Engagement Survey'!A35:E1504,5,FALSE)</f>
        <v>3</v>
      </c>
      <c r="AI261">
        <f t="shared" si="27"/>
        <v>2.75</v>
      </c>
    </row>
    <row r="262" spans="1:35" hidden="1" x14ac:dyDescent="0.4">
      <c r="A262">
        <v>1068</v>
      </c>
      <c r="B262" t="s">
        <v>34</v>
      </c>
      <c r="C262">
        <f t="shared" si="25"/>
        <v>1</v>
      </c>
      <c r="D262" t="s">
        <v>27</v>
      </c>
      <c r="E262">
        <f t="shared" si="26"/>
        <v>0</v>
      </c>
      <c r="F262" t="s">
        <v>28</v>
      </c>
      <c r="G262">
        <v>3</v>
      </c>
      <c r="H262" s="1">
        <v>48084</v>
      </c>
      <c r="I262" s="10">
        <v>0.13</v>
      </c>
      <c r="J262">
        <v>37.5</v>
      </c>
      <c r="K262" t="s">
        <v>34</v>
      </c>
      <c r="L262">
        <v>26</v>
      </c>
      <c r="M262" t="s">
        <v>47</v>
      </c>
      <c r="N262" t="s">
        <v>48</v>
      </c>
      <c r="O262" t="s">
        <v>44</v>
      </c>
      <c r="P262">
        <v>1</v>
      </c>
      <c r="Q262" t="s">
        <v>32</v>
      </c>
      <c r="R262" t="s">
        <v>33</v>
      </c>
      <c r="S262">
        <v>3</v>
      </c>
      <c r="T262">
        <v>2</v>
      </c>
      <c r="U262">
        <v>5</v>
      </c>
      <c r="V262">
        <v>5</v>
      </c>
      <c r="W262">
        <v>5</v>
      </c>
      <c r="X262">
        <v>3</v>
      </c>
      <c r="Y262">
        <v>1</v>
      </c>
      <c r="Z262">
        <v>3</v>
      </c>
      <c r="AA262" t="str">
        <f t="shared" si="28"/>
        <v>Mid Tenure</v>
      </c>
      <c r="AB262" s="5">
        <v>44994</v>
      </c>
      <c r="AC262">
        <f t="shared" si="29"/>
        <v>0</v>
      </c>
      <c r="AD262" t="s">
        <v>49</v>
      </c>
      <c r="AE262">
        <f>VLOOKUP(A262,'Employee Engagement Survey'!A36:B1505,2,FALSE)</f>
        <v>1</v>
      </c>
      <c r="AF262">
        <f>VLOOKUP(A262,'Employee Engagement Survey'!A36:C1505,3,FALSE)</f>
        <v>3</v>
      </c>
      <c r="AG262">
        <f>VLOOKUP(A262,'Employee Engagement Survey'!A36:D1505,4,FALSE)</f>
        <v>3</v>
      </c>
      <c r="AH262">
        <f>VLOOKUP(A262,'Employee Engagement Survey'!A36:E1505,5,FALSE)</f>
        <v>3</v>
      </c>
      <c r="AI262">
        <f t="shared" si="27"/>
        <v>2.5</v>
      </c>
    </row>
    <row r="263" spans="1:35" hidden="1" x14ac:dyDescent="0.4">
      <c r="A263">
        <v>21</v>
      </c>
      <c r="B263" t="s">
        <v>34</v>
      </c>
      <c r="C263">
        <f t="shared" si="25"/>
        <v>1</v>
      </c>
      <c r="D263" t="s">
        <v>27</v>
      </c>
      <c r="E263">
        <f t="shared" si="26"/>
        <v>0</v>
      </c>
      <c r="F263" t="s">
        <v>28</v>
      </c>
      <c r="G263">
        <v>6</v>
      </c>
      <c r="H263" s="1">
        <v>63576</v>
      </c>
      <c r="I263" s="10">
        <v>0.12</v>
      </c>
      <c r="J263">
        <v>37.5</v>
      </c>
      <c r="K263" t="s">
        <v>26</v>
      </c>
      <c r="L263">
        <v>32</v>
      </c>
      <c r="M263" t="s">
        <v>41</v>
      </c>
      <c r="N263" t="s">
        <v>48</v>
      </c>
      <c r="O263" t="s">
        <v>31</v>
      </c>
      <c r="P263">
        <v>5</v>
      </c>
      <c r="Q263" t="s">
        <v>36</v>
      </c>
      <c r="R263" t="s">
        <v>37</v>
      </c>
      <c r="S263">
        <v>3</v>
      </c>
      <c r="T263">
        <v>2</v>
      </c>
      <c r="U263">
        <v>7</v>
      </c>
      <c r="V263">
        <v>5</v>
      </c>
      <c r="W263">
        <v>6</v>
      </c>
      <c r="X263">
        <v>2</v>
      </c>
      <c r="Y263">
        <v>0</v>
      </c>
      <c r="Z263">
        <v>5</v>
      </c>
      <c r="AA263" t="str">
        <f t="shared" si="28"/>
        <v>Mid Tenure</v>
      </c>
      <c r="AB263" s="5">
        <v>45855</v>
      </c>
      <c r="AC263">
        <f t="shared" si="29"/>
        <v>1</v>
      </c>
      <c r="AD263" t="s">
        <v>49</v>
      </c>
      <c r="AE263">
        <f>VLOOKUP(A263,'Employee Engagement Survey'!A38:B1507,2,FALSE)</f>
        <v>1</v>
      </c>
      <c r="AF263">
        <f>VLOOKUP(A263,'Employee Engagement Survey'!A38:C1507,3,FALSE)</f>
        <v>2</v>
      </c>
      <c r="AG263">
        <f>VLOOKUP(A263,'Employee Engagement Survey'!A38:D1507,4,FALSE)</f>
        <v>4</v>
      </c>
      <c r="AH263">
        <f>VLOOKUP(A263,'Employee Engagement Survey'!A38:E1507,5,FALSE)</f>
        <v>2</v>
      </c>
      <c r="AI263">
        <f t="shared" si="27"/>
        <v>2.25</v>
      </c>
    </row>
    <row r="264" spans="1:35" hidden="1" x14ac:dyDescent="0.4">
      <c r="A264">
        <v>1246</v>
      </c>
      <c r="B264" t="s">
        <v>34</v>
      </c>
      <c r="C264">
        <f t="shared" si="25"/>
        <v>1</v>
      </c>
      <c r="D264" t="s">
        <v>27</v>
      </c>
      <c r="E264">
        <f t="shared" si="26"/>
        <v>0</v>
      </c>
      <c r="F264" t="s">
        <v>28</v>
      </c>
      <c r="G264">
        <v>3</v>
      </c>
      <c r="H264" s="1">
        <v>48132</v>
      </c>
      <c r="I264" s="10">
        <v>0.13</v>
      </c>
      <c r="J264">
        <v>37.5</v>
      </c>
      <c r="K264" t="s">
        <v>34</v>
      </c>
      <c r="L264">
        <v>44</v>
      </c>
      <c r="M264" t="s">
        <v>47</v>
      </c>
      <c r="N264" t="s">
        <v>42</v>
      </c>
      <c r="O264" t="s">
        <v>31</v>
      </c>
      <c r="P264">
        <v>2</v>
      </c>
      <c r="Q264" t="s">
        <v>32</v>
      </c>
      <c r="R264" t="s">
        <v>37</v>
      </c>
      <c r="S264">
        <v>3</v>
      </c>
      <c r="T264">
        <v>1</v>
      </c>
      <c r="U264">
        <v>10</v>
      </c>
      <c r="V264">
        <v>5</v>
      </c>
      <c r="W264">
        <v>10</v>
      </c>
      <c r="X264">
        <v>5</v>
      </c>
      <c r="Y264">
        <v>7</v>
      </c>
      <c r="Z264">
        <v>7</v>
      </c>
      <c r="AA264" t="str">
        <f t="shared" si="28"/>
        <v>Long Tenure</v>
      </c>
      <c r="AB264" s="5">
        <v>45917</v>
      </c>
      <c r="AC264">
        <f t="shared" si="29"/>
        <v>1</v>
      </c>
      <c r="AD264" t="s">
        <v>38</v>
      </c>
      <c r="AE264">
        <f>VLOOKUP(A264,'Employee Engagement Survey'!A39:B1508,2,FALSE)</f>
        <v>1</v>
      </c>
      <c r="AF264">
        <f>VLOOKUP(A264,'Employee Engagement Survey'!A39:C1508,3,FALSE)</f>
        <v>4</v>
      </c>
      <c r="AG264">
        <f>VLOOKUP(A264,'Employee Engagement Survey'!A39:D1508,4,FALSE)</f>
        <v>4</v>
      </c>
      <c r="AH264">
        <f>VLOOKUP(A264,'Employee Engagement Survey'!A39:E1508,5,FALSE)</f>
        <v>3</v>
      </c>
      <c r="AI264">
        <f t="shared" si="27"/>
        <v>3</v>
      </c>
    </row>
    <row r="265" spans="1:35" hidden="1" x14ac:dyDescent="0.4">
      <c r="A265">
        <v>22</v>
      </c>
      <c r="B265" t="s">
        <v>34</v>
      </c>
      <c r="C265">
        <f t="shared" si="25"/>
        <v>1</v>
      </c>
      <c r="D265" t="s">
        <v>46</v>
      </c>
      <c r="E265">
        <f t="shared" si="26"/>
        <v>0</v>
      </c>
      <c r="F265" t="s">
        <v>28</v>
      </c>
      <c r="G265">
        <v>5</v>
      </c>
      <c r="H265" s="1">
        <v>59220</v>
      </c>
      <c r="I265" s="10">
        <v>0.13</v>
      </c>
      <c r="J265">
        <v>37.5</v>
      </c>
      <c r="K265" t="s">
        <v>26</v>
      </c>
      <c r="L265">
        <v>22</v>
      </c>
      <c r="M265" t="s">
        <v>41</v>
      </c>
      <c r="N265" t="s">
        <v>48</v>
      </c>
      <c r="O265" t="s">
        <v>35</v>
      </c>
      <c r="P265">
        <v>16</v>
      </c>
      <c r="Q265" t="s">
        <v>36</v>
      </c>
      <c r="R265" t="s">
        <v>33</v>
      </c>
      <c r="S265">
        <v>3</v>
      </c>
      <c r="T265">
        <v>2</v>
      </c>
      <c r="U265">
        <v>1</v>
      </c>
      <c r="V265">
        <v>2</v>
      </c>
      <c r="W265">
        <v>1</v>
      </c>
      <c r="X265">
        <v>0</v>
      </c>
      <c r="Y265">
        <v>0</v>
      </c>
      <c r="Z265">
        <v>0</v>
      </c>
      <c r="AA265" t="str">
        <f t="shared" si="28"/>
        <v>Early Tenure</v>
      </c>
      <c r="AB265" s="5">
        <v>44733</v>
      </c>
      <c r="AC265">
        <f t="shared" si="29"/>
        <v>0</v>
      </c>
      <c r="AD265" t="s">
        <v>49</v>
      </c>
      <c r="AE265">
        <f>VLOOKUP(A265,'Employee Engagement Survey'!A40:B1509,2,FALSE)</f>
        <v>4</v>
      </c>
      <c r="AF265">
        <f>VLOOKUP(A265,'Employee Engagement Survey'!A40:C1509,3,FALSE)</f>
        <v>4</v>
      </c>
      <c r="AG265">
        <f>VLOOKUP(A265,'Employee Engagement Survey'!A40:D1509,4,FALSE)</f>
        <v>2</v>
      </c>
      <c r="AH265">
        <f>VLOOKUP(A265,'Employee Engagement Survey'!A40:E1509,5,FALSE)</f>
        <v>2</v>
      </c>
      <c r="AI265">
        <f t="shared" si="27"/>
        <v>3</v>
      </c>
    </row>
    <row r="266" spans="1:35" hidden="1" x14ac:dyDescent="0.4">
      <c r="A266">
        <v>49</v>
      </c>
      <c r="B266" t="s">
        <v>34</v>
      </c>
      <c r="C266">
        <f t="shared" si="25"/>
        <v>1</v>
      </c>
      <c r="D266" t="s">
        <v>39</v>
      </c>
      <c r="E266">
        <f t="shared" si="26"/>
        <v>0</v>
      </c>
      <c r="F266" t="s">
        <v>40</v>
      </c>
      <c r="G266">
        <v>3</v>
      </c>
      <c r="H266" s="1">
        <v>48168</v>
      </c>
      <c r="I266" s="10">
        <v>0.13</v>
      </c>
      <c r="J266">
        <v>37.5</v>
      </c>
      <c r="K266" t="s">
        <v>34</v>
      </c>
      <c r="L266">
        <v>35</v>
      </c>
      <c r="M266" t="s">
        <v>47</v>
      </c>
      <c r="N266" t="s">
        <v>42</v>
      </c>
      <c r="O266" t="s">
        <v>31</v>
      </c>
      <c r="P266">
        <v>2</v>
      </c>
      <c r="Q266" t="s">
        <v>43</v>
      </c>
      <c r="R266" t="s">
        <v>56</v>
      </c>
      <c r="S266">
        <v>3</v>
      </c>
      <c r="T266">
        <v>0</v>
      </c>
      <c r="U266">
        <v>2</v>
      </c>
      <c r="V266">
        <v>3</v>
      </c>
      <c r="W266">
        <v>2</v>
      </c>
      <c r="X266">
        <v>2</v>
      </c>
      <c r="Y266">
        <v>2</v>
      </c>
      <c r="Z266">
        <v>2</v>
      </c>
      <c r="AA266" t="str">
        <f t="shared" si="28"/>
        <v>Early Tenure</v>
      </c>
      <c r="AB266" s="5">
        <v>44665</v>
      </c>
      <c r="AC266">
        <f t="shared" si="29"/>
        <v>0</v>
      </c>
      <c r="AD266" t="s">
        <v>38</v>
      </c>
      <c r="AE266">
        <f>VLOOKUP(A266,'Employee Engagement Survey'!A41:B1510,2,FALSE)</f>
        <v>4</v>
      </c>
      <c r="AF266">
        <f>VLOOKUP(A266,'Employee Engagement Survey'!A41:C1510,3,FALSE)</f>
        <v>4</v>
      </c>
      <c r="AG266">
        <f>VLOOKUP(A266,'Employee Engagement Survey'!A41:D1510,4,FALSE)</f>
        <v>1</v>
      </c>
      <c r="AH266">
        <f>VLOOKUP(A266,'Employee Engagement Survey'!A41:E1510,5,FALSE)</f>
        <v>3</v>
      </c>
      <c r="AI266">
        <f t="shared" si="27"/>
        <v>3</v>
      </c>
    </row>
    <row r="267" spans="1:35" hidden="1" x14ac:dyDescent="0.4">
      <c r="A267">
        <v>24</v>
      </c>
      <c r="B267" t="s">
        <v>34</v>
      </c>
      <c r="C267">
        <f t="shared" si="25"/>
        <v>1</v>
      </c>
      <c r="D267" t="s">
        <v>27</v>
      </c>
      <c r="E267">
        <f t="shared" si="26"/>
        <v>0</v>
      </c>
      <c r="F267" t="s">
        <v>28</v>
      </c>
      <c r="G267">
        <v>7</v>
      </c>
      <c r="H267" s="1">
        <v>71328</v>
      </c>
      <c r="I267" s="10">
        <v>0.11</v>
      </c>
      <c r="J267">
        <v>37.5</v>
      </c>
      <c r="K267" t="s">
        <v>26</v>
      </c>
      <c r="L267">
        <v>38</v>
      </c>
      <c r="M267" t="s">
        <v>41</v>
      </c>
      <c r="N267" t="s">
        <v>30</v>
      </c>
      <c r="O267" t="s">
        <v>31</v>
      </c>
      <c r="P267">
        <v>2</v>
      </c>
      <c r="Q267" t="s">
        <v>43</v>
      </c>
      <c r="R267" t="s">
        <v>37</v>
      </c>
      <c r="S267">
        <v>3</v>
      </c>
      <c r="T267">
        <v>0</v>
      </c>
      <c r="U267">
        <v>6</v>
      </c>
      <c r="V267">
        <v>3</v>
      </c>
      <c r="W267">
        <v>3</v>
      </c>
      <c r="X267">
        <v>2</v>
      </c>
      <c r="Y267">
        <v>1</v>
      </c>
      <c r="Z267">
        <v>2</v>
      </c>
      <c r="AA267" t="str">
        <f t="shared" si="28"/>
        <v>Mid Tenure</v>
      </c>
      <c r="AB267" s="5">
        <v>45378</v>
      </c>
      <c r="AC267">
        <f t="shared" si="29"/>
        <v>1</v>
      </c>
      <c r="AD267" t="s">
        <v>38</v>
      </c>
      <c r="AE267">
        <f>VLOOKUP(A267,'Employee Engagement Survey'!A42:B1511,2,FALSE)</f>
        <v>4</v>
      </c>
      <c r="AF267">
        <f>VLOOKUP(A267,'Employee Engagement Survey'!A42:C1511,3,FALSE)</f>
        <v>4</v>
      </c>
      <c r="AG267">
        <f>VLOOKUP(A267,'Employee Engagement Survey'!A42:D1511,4,FALSE)</f>
        <v>3</v>
      </c>
      <c r="AH267">
        <f>VLOOKUP(A267,'Employee Engagement Survey'!A42:E1511,5,FALSE)</f>
        <v>3</v>
      </c>
      <c r="AI267">
        <f t="shared" si="27"/>
        <v>3.5</v>
      </c>
    </row>
    <row r="268" spans="1:35" hidden="1" x14ac:dyDescent="0.4">
      <c r="A268">
        <v>35</v>
      </c>
      <c r="B268" t="s">
        <v>34</v>
      </c>
      <c r="C268">
        <f t="shared" si="25"/>
        <v>1</v>
      </c>
      <c r="D268" t="s">
        <v>57</v>
      </c>
      <c r="E268">
        <f t="shared" si="26"/>
        <v>0</v>
      </c>
      <c r="F268" t="s">
        <v>40</v>
      </c>
      <c r="G268">
        <v>8</v>
      </c>
      <c r="H268" s="1">
        <v>93900</v>
      </c>
      <c r="I268" s="10">
        <v>0.11</v>
      </c>
      <c r="J268">
        <v>37.5</v>
      </c>
      <c r="K268" t="s">
        <v>34</v>
      </c>
      <c r="L268">
        <v>42</v>
      </c>
      <c r="M268" t="s">
        <v>41</v>
      </c>
      <c r="N268" t="s">
        <v>42</v>
      </c>
      <c r="O268" t="s">
        <v>31</v>
      </c>
      <c r="P268">
        <v>8</v>
      </c>
      <c r="Q268" t="s">
        <v>51</v>
      </c>
      <c r="R268" t="s">
        <v>56</v>
      </c>
      <c r="S268">
        <v>3</v>
      </c>
      <c r="T268">
        <v>1</v>
      </c>
      <c r="U268">
        <v>10</v>
      </c>
      <c r="V268">
        <v>2</v>
      </c>
      <c r="W268">
        <v>9</v>
      </c>
      <c r="X268">
        <v>7</v>
      </c>
      <c r="Y268">
        <v>4</v>
      </c>
      <c r="Z268">
        <v>2</v>
      </c>
      <c r="AA268" t="str">
        <f t="shared" si="28"/>
        <v>Mid Tenure</v>
      </c>
      <c r="AB268" s="5">
        <v>45060</v>
      </c>
      <c r="AC268">
        <f t="shared" si="29"/>
        <v>0</v>
      </c>
      <c r="AD268" t="s">
        <v>49</v>
      </c>
      <c r="AE268">
        <f>VLOOKUP(A268,'Employee Engagement Survey'!A46:B1515,2,FALSE)</f>
        <v>3</v>
      </c>
      <c r="AF268">
        <f>VLOOKUP(A268,'Employee Engagement Survey'!A46:C1515,3,FALSE)</f>
        <v>2</v>
      </c>
      <c r="AG268">
        <f>VLOOKUP(A268,'Employee Engagement Survey'!A46:D1515,4,FALSE)</f>
        <v>4</v>
      </c>
      <c r="AH268">
        <f>VLOOKUP(A268,'Employee Engagement Survey'!A46:E1515,5,FALSE)</f>
        <v>3</v>
      </c>
      <c r="AI268">
        <f t="shared" si="27"/>
        <v>3</v>
      </c>
    </row>
    <row r="269" spans="1:35" hidden="1" x14ac:dyDescent="0.4">
      <c r="A269">
        <v>1374</v>
      </c>
      <c r="B269" t="s">
        <v>34</v>
      </c>
      <c r="C269">
        <f t="shared" si="25"/>
        <v>1</v>
      </c>
      <c r="D269" t="s">
        <v>27</v>
      </c>
      <c r="E269">
        <f t="shared" si="26"/>
        <v>0</v>
      </c>
      <c r="F269" t="s">
        <v>28</v>
      </c>
      <c r="G269">
        <v>3</v>
      </c>
      <c r="H269" s="1">
        <v>48348</v>
      </c>
      <c r="I269" s="10">
        <v>0.2</v>
      </c>
      <c r="J269">
        <v>37.5</v>
      </c>
      <c r="K269" t="s">
        <v>34</v>
      </c>
      <c r="L269">
        <v>34</v>
      </c>
      <c r="M269" t="s">
        <v>47</v>
      </c>
      <c r="N269" t="s">
        <v>48</v>
      </c>
      <c r="O269" t="s">
        <v>35</v>
      </c>
      <c r="P269">
        <v>26</v>
      </c>
      <c r="Q269" t="s">
        <v>32</v>
      </c>
      <c r="R269" t="s">
        <v>45</v>
      </c>
      <c r="S269">
        <v>4</v>
      </c>
      <c r="T269">
        <v>3</v>
      </c>
      <c r="U269">
        <v>5</v>
      </c>
      <c r="V269">
        <v>2</v>
      </c>
      <c r="W269">
        <v>5</v>
      </c>
      <c r="X269">
        <v>4</v>
      </c>
      <c r="Y269">
        <v>0</v>
      </c>
      <c r="Z269">
        <v>0</v>
      </c>
      <c r="AA269" t="str">
        <f t="shared" si="28"/>
        <v>Mid Tenure</v>
      </c>
      <c r="AB269" s="5">
        <v>45136</v>
      </c>
      <c r="AC269">
        <f t="shared" si="29"/>
        <v>0</v>
      </c>
      <c r="AD269" t="s">
        <v>49</v>
      </c>
      <c r="AE269">
        <f>VLOOKUP(A269,'Employee Engagement Survey'!A47:B1516,2,FALSE)</f>
        <v>1</v>
      </c>
      <c r="AF269">
        <f>VLOOKUP(A269,'Employee Engagement Survey'!A47:C1516,3,FALSE)</f>
        <v>3</v>
      </c>
      <c r="AG269">
        <f>VLOOKUP(A269,'Employee Engagement Survey'!A47:D1516,4,FALSE)</f>
        <v>3</v>
      </c>
      <c r="AH269">
        <f>VLOOKUP(A269,'Employee Engagement Survey'!A47:E1516,5,FALSE)</f>
        <v>3</v>
      </c>
      <c r="AI269">
        <f t="shared" si="27"/>
        <v>2.5</v>
      </c>
    </row>
    <row r="270" spans="1:35" hidden="1" x14ac:dyDescent="0.4">
      <c r="A270">
        <v>39</v>
      </c>
      <c r="B270" t="s">
        <v>34</v>
      </c>
      <c r="C270">
        <f t="shared" si="25"/>
        <v>1</v>
      </c>
      <c r="D270" t="s">
        <v>46</v>
      </c>
      <c r="E270">
        <f t="shared" si="26"/>
        <v>0</v>
      </c>
      <c r="F270" t="s">
        <v>28</v>
      </c>
      <c r="G270">
        <v>4</v>
      </c>
      <c r="H270" s="1">
        <v>53952</v>
      </c>
      <c r="I270" s="10">
        <v>0.11</v>
      </c>
      <c r="J270">
        <v>37.5</v>
      </c>
      <c r="K270" t="s">
        <v>34</v>
      </c>
      <c r="L270">
        <v>33</v>
      </c>
      <c r="M270" t="s">
        <v>41</v>
      </c>
      <c r="N270" t="s">
        <v>30</v>
      </c>
      <c r="O270" t="s">
        <v>31</v>
      </c>
      <c r="P270">
        <v>2</v>
      </c>
      <c r="Q270" t="s">
        <v>43</v>
      </c>
      <c r="R270" t="s">
        <v>33</v>
      </c>
      <c r="S270">
        <v>3</v>
      </c>
      <c r="T270">
        <v>0</v>
      </c>
      <c r="U270">
        <v>7</v>
      </c>
      <c r="V270">
        <v>3</v>
      </c>
      <c r="W270">
        <v>1</v>
      </c>
      <c r="X270">
        <v>1</v>
      </c>
      <c r="Y270">
        <v>0</v>
      </c>
      <c r="Z270">
        <v>0</v>
      </c>
      <c r="AA270" t="str">
        <f t="shared" si="28"/>
        <v>Early Tenure</v>
      </c>
      <c r="AB270" s="5">
        <v>45796</v>
      </c>
      <c r="AC270">
        <f t="shared" si="29"/>
        <v>1</v>
      </c>
      <c r="AD270" t="s">
        <v>49</v>
      </c>
      <c r="AE270">
        <f>VLOOKUP(A270,'Employee Engagement Survey'!A48:B1517,2,FALSE)</f>
        <v>3</v>
      </c>
      <c r="AF270">
        <f>VLOOKUP(A270,'Employee Engagement Survey'!A48:C1517,3,FALSE)</f>
        <v>4</v>
      </c>
      <c r="AG270">
        <f>VLOOKUP(A270,'Employee Engagement Survey'!A48:D1517,4,FALSE)</f>
        <v>4</v>
      </c>
      <c r="AH270">
        <f>VLOOKUP(A270,'Employee Engagement Survey'!A48:E1517,5,FALSE)</f>
        <v>3</v>
      </c>
      <c r="AI270">
        <f t="shared" si="27"/>
        <v>3.5</v>
      </c>
    </row>
    <row r="271" spans="1:35" hidden="1" x14ac:dyDescent="0.4">
      <c r="A271">
        <v>1495</v>
      </c>
      <c r="B271" t="s">
        <v>34</v>
      </c>
      <c r="C271">
        <f t="shared" si="25"/>
        <v>1</v>
      </c>
      <c r="D271" t="s">
        <v>39</v>
      </c>
      <c r="E271">
        <f t="shared" si="26"/>
        <v>0</v>
      </c>
      <c r="F271" t="s">
        <v>40</v>
      </c>
      <c r="G271">
        <v>3</v>
      </c>
      <c r="H271" s="1">
        <v>48396</v>
      </c>
      <c r="I271" s="10">
        <v>0.13</v>
      </c>
      <c r="J271">
        <v>37.5</v>
      </c>
      <c r="K271" t="s">
        <v>34</v>
      </c>
      <c r="L271">
        <v>24</v>
      </c>
      <c r="M271" t="s">
        <v>47</v>
      </c>
      <c r="N271" t="s">
        <v>42</v>
      </c>
      <c r="O271" t="s">
        <v>35</v>
      </c>
      <c r="P271">
        <v>13</v>
      </c>
      <c r="Q271" t="s">
        <v>36</v>
      </c>
      <c r="R271" t="s">
        <v>37</v>
      </c>
      <c r="S271">
        <v>3</v>
      </c>
      <c r="T271">
        <v>1</v>
      </c>
      <c r="U271">
        <v>1</v>
      </c>
      <c r="V271">
        <v>2</v>
      </c>
      <c r="W271">
        <v>1</v>
      </c>
      <c r="X271">
        <v>0</v>
      </c>
      <c r="Y271">
        <v>0</v>
      </c>
      <c r="Z271">
        <v>0</v>
      </c>
      <c r="AA271" t="str">
        <f t="shared" si="28"/>
        <v>Early Tenure</v>
      </c>
      <c r="AB271" s="5">
        <v>45274</v>
      </c>
      <c r="AC271">
        <f t="shared" si="29"/>
        <v>0</v>
      </c>
      <c r="AD271" t="s">
        <v>38</v>
      </c>
      <c r="AE271">
        <f>VLOOKUP(A271,'Employee Engagement Survey'!A49:B1518,2,FALSE)</f>
        <v>4</v>
      </c>
      <c r="AF271">
        <f>VLOOKUP(A271,'Employee Engagement Survey'!A49:C1518,3,FALSE)</f>
        <v>2</v>
      </c>
      <c r="AG271">
        <f>VLOOKUP(A271,'Employee Engagement Survey'!A49:D1518,4,FALSE)</f>
        <v>3</v>
      </c>
      <c r="AH271">
        <f>VLOOKUP(A271,'Employee Engagement Survey'!A49:E1518,5,FALSE)</f>
        <v>3</v>
      </c>
      <c r="AI271">
        <f t="shared" si="27"/>
        <v>3</v>
      </c>
    </row>
    <row r="272" spans="1:35" hidden="1" x14ac:dyDescent="0.4">
      <c r="A272">
        <v>40</v>
      </c>
      <c r="B272" t="s">
        <v>34</v>
      </c>
      <c r="C272">
        <f t="shared" si="25"/>
        <v>1</v>
      </c>
      <c r="D272" t="s">
        <v>55</v>
      </c>
      <c r="E272">
        <f t="shared" si="26"/>
        <v>0</v>
      </c>
      <c r="F272" t="s">
        <v>28</v>
      </c>
      <c r="G272">
        <v>8</v>
      </c>
      <c r="H272" s="1">
        <v>89580</v>
      </c>
      <c r="I272" s="10">
        <v>0.13</v>
      </c>
      <c r="J272">
        <v>37.5</v>
      </c>
      <c r="K272" t="s">
        <v>26</v>
      </c>
      <c r="L272">
        <v>44</v>
      </c>
      <c r="M272" t="s">
        <v>41</v>
      </c>
      <c r="N272" t="s">
        <v>42</v>
      </c>
      <c r="O272" t="s">
        <v>31</v>
      </c>
      <c r="P272">
        <v>10</v>
      </c>
      <c r="Q272" t="s">
        <v>51</v>
      </c>
      <c r="R272" t="s">
        <v>53</v>
      </c>
      <c r="S272">
        <v>3</v>
      </c>
      <c r="T272">
        <v>0</v>
      </c>
      <c r="U272">
        <v>9</v>
      </c>
      <c r="V272">
        <v>5</v>
      </c>
      <c r="W272">
        <v>4</v>
      </c>
      <c r="X272">
        <v>2</v>
      </c>
      <c r="Y272">
        <v>1</v>
      </c>
      <c r="Z272">
        <v>3</v>
      </c>
      <c r="AA272" t="str">
        <f t="shared" si="28"/>
        <v>Mid Tenure</v>
      </c>
      <c r="AB272" s="5">
        <v>45176</v>
      </c>
      <c r="AC272">
        <f t="shared" si="29"/>
        <v>0</v>
      </c>
      <c r="AD272" t="s">
        <v>38</v>
      </c>
      <c r="AE272">
        <f>VLOOKUP(A272,'Employee Engagement Survey'!A50:B1519,2,FALSE)</f>
        <v>4</v>
      </c>
      <c r="AF272">
        <f>VLOOKUP(A272,'Employee Engagement Survey'!A50:C1519,3,FALSE)</f>
        <v>4</v>
      </c>
      <c r="AG272">
        <f>VLOOKUP(A272,'Employee Engagement Survey'!A50:D1519,4,FALSE)</f>
        <v>4</v>
      </c>
      <c r="AH272">
        <f>VLOOKUP(A272,'Employee Engagement Survey'!A50:E1519,5,FALSE)</f>
        <v>4</v>
      </c>
      <c r="AI272">
        <f t="shared" si="27"/>
        <v>4</v>
      </c>
    </row>
    <row r="273" spans="1:35" hidden="1" x14ac:dyDescent="0.4">
      <c r="A273">
        <v>41</v>
      </c>
      <c r="B273" t="s">
        <v>34</v>
      </c>
      <c r="C273">
        <f t="shared" si="25"/>
        <v>1</v>
      </c>
      <c r="D273" t="s">
        <v>46</v>
      </c>
      <c r="E273">
        <f t="shared" si="26"/>
        <v>0</v>
      </c>
      <c r="F273" t="s">
        <v>28</v>
      </c>
      <c r="G273">
        <v>4</v>
      </c>
      <c r="H273" s="1">
        <v>50472</v>
      </c>
      <c r="I273" s="10">
        <v>0.13</v>
      </c>
      <c r="J273">
        <v>37.5</v>
      </c>
      <c r="K273" t="s">
        <v>34</v>
      </c>
      <c r="L273">
        <v>30</v>
      </c>
      <c r="M273" t="s">
        <v>41</v>
      </c>
      <c r="N273" t="s">
        <v>30</v>
      </c>
      <c r="O273" t="s">
        <v>31</v>
      </c>
      <c r="P273">
        <v>9</v>
      </c>
      <c r="Q273" t="s">
        <v>36</v>
      </c>
      <c r="R273" t="s">
        <v>33</v>
      </c>
      <c r="S273">
        <v>3</v>
      </c>
      <c r="T273">
        <v>0</v>
      </c>
      <c r="U273">
        <v>10</v>
      </c>
      <c r="V273">
        <v>5</v>
      </c>
      <c r="W273">
        <v>10</v>
      </c>
      <c r="X273">
        <v>0</v>
      </c>
      <c r="Y273">
        <v>1</v>
      </c>
      <c r="Z273">
        <v>8</v>
      </c>
      <c r="AA273" t="str">
        <f t="shared" si="28"/>
        <v>Long Tenure</v>
      </c>
      <c r="AB273" s="5">
        <v>45649</v>
      </c>
      <c r="AC273">
        <f t="shared" si="29"/>
        <v>1</v>
      </c>
      <c r="AD273" t="s">
        <v>38</v>
      </c>
      <c r="AE273">
        <f>VLOOKUP(A273,'Employee Engagement Survey'!A51:B1520,2,FALSE)</f>
        <v>4</v>
      </c>
      <c r="AF273">
        <f>VLOOKUP(A273,'Employee Engagement Survey'!A51:C1520,3,FALSE)</f>
        <v>3</v>
      </c>
      <c r="AG273">
        <f>VLOOKUP(A273,'Employee Engagement Survey'!A51:D1520,4,FALSE)</f>
        <v>1</v>
      </c>
      <c r="AH273">
        <f>VLOOKUP(A273,'Employee Engagement Survey'!A51:E1520,5,FALSE)</f>
        <v>3</v>
      </c>
      <c r="AI273">
        <f t="shared" si="27"/>
        <v>2.75</v>
      </c>
    </row>
    <row r="274" spans="1:35" hidden="1" x14ac:dyDescent="0.4">
      <c r="A274">
        <v>1581</v>
      </c>
      <c r="B274" t="s">
        <v>34</v>
      </c>
      <c r="C274">
        <f t="shared" si="25"/>
        <v>1</v>
      </c>
      <c r="D274" t="s">
        <v>27</v>
      </c>
      <c r="E274">
        <f t="shared" si="26"/>
        <v>0</v>
      </c>
      <c r="F274" t="s">
        <v>28</v>
      </c>
      <c r="G274">
        <v>3</v>
      </c>
      <c r="H274" s="1">
        <v>48732</v>
      </c>
      <c r="I274" s="10">
        <v>0.21</v>
      </c>
      <c r="J274">
        <v>37.5</v>
      </c>
      <c r="K274" t="s">
        <v>34</v>
      </c>
      <c r="L274">
        <v>26</v>
      </c>
      <c r="M274" t="s">
        <v>47</v>
      </c>
      <c r="N274" t="s">
        <v>42</v>
      </c>
      <c r="O274" t="s">
        <v>31</v>
      </c>
      <c r="P274">
        <v>3</v>
      </c>
      <c r="Q274" t="s">
        <v>43</v>
      </c>
      <c r="R274" t="s">
        <v>37</v>
      </c>
      <c r="S274">
        <v>4</v>
      </c>
      <c r="T274">
        <v>0</v>
      </c>
      <c r="U274">
        <v>1</v>
      </c>
      <c r="V274">
        <v>5</v>
      </c>
      <c r="W274">
        <v>1</v>
      </c>
      <c r="X274">
        <v>0</v>
      </c>
      <c r="Y274">
        <v>0</v>
      </c>
      <c r="Z274">
        <v>0</v>
      </c>
      <c r="AA274" t="str">
        <f t="shared" si="28"/>
        <v>Early Tenure</v>
      </c>
      <c r="AB274" s="5">
        <v>45513</v>
      </c>
      <c r="AC274">
        <f t="shared" si="29"/>
        <v>1</v>
      </c>
      <c r="AD274" t="s">
        <v>38</v>
      </c>
      <c r="AE274">
        <f>VLOOKUP(A274,'Employee Engagement Survey'!A56:B1525,2,FALSE)</f>
        <v>1</v>
      </c>
      <c r="AF274">
        <f>VLOOKUP(A274,'Employee Engagement Survey'!A56:C1525,3,FALSE)</f>
        <v>4</v>
      </c>
      <c r="AG274">
        <f>VLOOKUP(A274,'Employee Engagement Survey'!A56:D1525,4,FALSE)</f>
        <v>1</v>
      </c>
      <c r="AH274">
        <f>VLOOKUP(A274,'Employee Engagement Survey'!A56:E1525,5,FALSE)</f>
        <v>3</v>
      </c>
      <c r="AI274">
        <f t="shared" si="27"/>
        <v>2.25</v>
      </c>
    </row>
    <row r="275" spans="1:35" hidden="1" x14ac:dyDescent="0.4">
      <c r="A275">
        <v>53</v>
      </c>
      <c r="B275" t="s">
        <v>34</v>
      </c>
      <c r="C275">
        <f t="shared" si="25"/>
        <v>1</v>
      </c>
      <c r="D275" t="s">
        <v>46</v>
      </c>
      <c r="E275">
        <f t="shared" si="26"/>
        <v>0</v>
      </c>
      <c r="F275" t="s">
        <v>28</v>
      </c>
      <c r="G275">
        <v>3</v>
      </c>
      <c r="H275" s="1">
        <v>47412</v>
      </c>
      <c r="I275" s="10">
        <v>0.12</v>
      </c>
      <c r="J275">
        <v>37.5</v>
      </c>
      <c r="K275" t="s">
        <v>34</v>
      </c>
      <c r="L275">
        <v>35</v>
      </c>
      <c r="M275" t="s">
        <v>41</v>
      </c>
      <c r="N275" t="s">
        <v>48</v>
      </c>
      <c r="O275" t="s">
        <v>31</v>
      </c>
      <c r="P275">
        <v>4</v>
      </c>
      <c r="Q275" t="s">
        <v>36</v>
      </c>
      <c r="R275" t="s">
        <v>53</v>
      </c>
      <c r="S275">
        <v>3</v>
      </c>
      <c r="T275">
        <v>1</v>
      </c>
      <c r="U275">
        <v>1</v>
      </c>
      <c r="V275">
        <v>3</v>
      </c>
      <c r="W275">
        <v>1</v>
      </c>
      <c r="X275">
        <v>0</v>
      </c>
      <c r="Y275">
        <v>0</v>
      </c>
      <c r="Z275">
        <v>0</v>
      </c>
      <c r="AA275" t="str">
        <f t="shared" si="28"/>
        <v>Early Tenure</v>
      </c>
      <c r="AB275" s="5">
        <v>45769</v>
      </c>
      <c r="AC275">
        <f t="shared" si="29"/>
        <v>1</v>
      </c>
      <c r="AD275" t="s">
        <v>38</v>
      </c>
      <c r="AE275">
        <f>VLOOKUP(A275,'Employee Engagement Survey'!A57:B1526,2,FALSE)</f>
        <v>3</v>
      </c>
      <c r="AF275">
        <f>VLOOKUP(A275,'Employee Engagement Survey'!A57:C1526,3,FALSE)</f>
        <v>4</v>
      </c>
      <c r="AG275">
        <f>VLOOKUP(A275,'Employee Engagement Survey'!A57:D1526,4,FALSE)</f>
        <v>3</v>
      </c>
      <c r="AH275">
        <f>VLOOKUP(A275,'Employee Engagement Survey'!A57:E1526,5,FALSE)</f>
        <v>3</v>
      </c>
      <c r="AI275">
        <f t="shared" si="27"/>
        <v>3.25</v>
      </c>
    </row>
    <row r="276" spans="1:35" hidden="1" x14ac:dyDescent="0.4">
      <c r="A276">
        <v>1441</v>
      </c>
      <c r="B276" t="s">
        <v>34</v>
      </c>
      <c r="C276">
        <f t="shared" si="25"/>
        <v>1</v>
      </c>
      <c r="D276" t="s">
        <v>27</v>
      </c>
      <c r="E276">
        <f t="shared" si="26"/>
        <v>0</v>
      </c>
      <c r="F276" t="s">
        <v>28</v>
      </c>
      <c r="G276">
        <v>3</v>
      </c>
      <c r="H276" s="1">
        <v>48792</v>
      </c>
      <c r="I276" s="10">
        <v>0.22</v>
      </c>
      <c r="J276">
        <v>37.5</v>
      </c>
      <c r="K276" t="s">
        <v>34</v>
      </c>
      <c r="L276">
        <v>56</v>
      </c>
      <c r="M276" t="s">
        <v>47</v>
      </c>
      <c r="N276" t="s">
        <v>42</v>
      </c>
      <c r="O276" t="s">
        <v>31</v>
      </c>
      <c r="P276">
        <v>1</v>
      </c>
      <c r="Q276" t="s">
        <v>36</v>
      </c>
      <c r="R276" t="s">
        <v>37</v>
      </c>
      <c r="S276">
        <v>4</v>
      </c>
      <c r="T276">
        <v>1</v>
      </c>
      <c r="U276">
        <v>5</v>
      </c>
      <c r="V276">
        <v>3</v>
      </c>
      <c r="W276">
        <v>3</v>
      </c>
      <c r="X276">
        <v>2</v>
      </c>
      <c r="Y276">
        <v>1</v>
      </c>
      <c r="Z276">
        <v>0</v>
      </c>
      <c r="AA276" t="str">
        <f t="shared" si="28"/>
        <v>Mid Tenure</v>
      </c>
      <c r="AB276" s="5">
        <v>45076</v>
      </c>
      <c r="AC276">
        <f t="shared" si="29"/>
        <v>0</v>
      </c>
      <c r="AD276" t="s">
        <v>38</v>
      </c>
      <c r="AE276">
        <f>VLOOKUP(A276,'Employee Engagement Survey'!A59:B1528,2,FALSE)</f>
        <v>1</v>
      </c>
      <c r="AF276">
        <f>VLOOKUP(A276,'Employee Engagement Survey'!A59:C1528,3,FALSE)</f>
        <v>1</v>
      </c>
      <c r="AG276">
        <f>VLOOKUP(A276,'Employee Engagement Survey'!A59:D1528,4,FALSE)</f>
        <v>4</v>
      </c>
      <c r="AH276">
        <f>VLOOKUP(A276,'Employee Engagement Survey'!A59:E1528,5,FALSE)</f>
        <v>4</v>
      </c>
      <c r="AI276">
        <f t="shared" si="27"/>
        <v>2.5</v>
      </c>
    </row>
    <row r="277" spans="1:35" hidden="1" x14ac:dyDescent="0.4">
      <c r="A277">
        <v>56</v>
      </c>
      <c r="B277" t="s">
        <v>34</v>
      </c>
      <c r="C277">
        <f t="shared" si="25"/>
        <v>1</v>
      </c>
      <c r="D277" t="s">
        <v>57</v>
      </c>
      <c r="E277">
        <f t="shared" si="26"/>
        <v>0</v>
      </c>
      <c r="F277" t="s">
        <v>40</v>
      </c>
      <c r="G277">
        <v>9</v>
      </c>
      <c r="H277" s="1">
        <v>116712</v>
      </c>
      <c r="I277" s="10">
        <v>0.15</v>
      </c>
      <c r="J277">
        <v>37.5</v>
      </c>
      <c r="K277" t="s">
        <v>34</v>
      </c>
      <c r="L277">
        <v>27</v>
      </c>
      <c r="M277" t="s">
        <v>41</v>
      </c>
      <c r="N277" t="s">
        <v>30</v>
      </c>
      <c r="O277" t="s">
        <v>44</v>
      </c>
      <c r="P277">
        <v>8</v>
      </c>
      <c r="Q277" t="s">
        <v>43</v>
      </c>
      <c r="R277" t="s">
        <v>37</v>
      </c>
      <c r="S277">
        <v>3</v>
      </c>
      <c r="T277">
        <v>0</v>
      </c>
      <c r="U277">
        <v>9</v>
      </c>
      <c r="V277">
        <v>0</v>
      </c>
      <c r="W277">
        <v>9</v>
      </c>
      <c r="X277">
        <v>8</v>
      </c>
      <c r="Y277">
        <v>1</v>
      </c>
      <c r="Z277">
        <v>7</v>
      </c>
      <c r="AA277" t="str">
        <f t="shared" si="28"/>
        <v>Mid Tenure</v>
      </c>
      <c r="AB277" s="5">
        <v>45003</v>
      </c>
      <c r="AC277">
        <f t="shared" si="29"/>
        <v>0</v>
      </c>
      <c r="AD277" t="s">
        <v>38</v>
      </c>
      <c r="AE277">
        <f>VLOOKUP(A277,'Employee Engagement Survey'!A60:B1529,2,FALSE)</f>
        <v>4</v>
      </c>
      <c r="AF277">
        <f>VLOOKUP(A277,'Employee Engagement Survey'!A60:C1529,3,FALSE)</f>
        <v>3</v>
      </c>
      <c r="AG277">
        <f>VLOOKUP(A277,'Employee Engagement Survey'!A60:D1529,4,FALSE)</f>
        <v>4</v>
      </c>
      <c r="AH277">
        <f>VLOOKUP(A277,'Employee Engagement Survey'!A60:E1529,5,FALSE)</f>
        <v>3</v>
      </c>
      <c r="AI277">
        <f t="shared" si="27"/>
        <v>3.5</v>
      </c>
    </row>
    <row r="278" spans="1:35" hidden="1" x14ac:dyDescent="0.4">
      <c r="A278">
        <v>1131</v>
      </c>
      <c r="B278" t="s">
        <v>34</v>
      </c>
      <c r="C278">
        <f t="shared" si="25"/>
        <v>1</v>
      </c>
      <c r="D278" t="s">
        <v>27</v>
      </c>
      <c r="E278">
        <f t="shared" si="26"/>
        <v>0</v>
      </c>
      <c r="F278" t="s">
        <v>28</v>
      </c>
      <c r="G278">
        <v>3</v>
      </c>
      <c r="H278" s="1">
        <v>48840</v>
      </c>
      <c r="I278" s="10">
        <v>0.11</v>
      </c>
      <c r="J278">
        <v>37.5</v>
      </c>
      <c r="K278" t="s">
        <v>26</v>
      </c>
      <c r="L278">
        <v>21</v>
      </c>
      <c r="M278" t="s">
        <v>47</v>
      </c>
      <c r="N278" t="s">
        <v>30</v>
      </c>
      <c r="O278" t="s">
        <v>31</v>
      </c>
      <c r="P278">
        <v>1</v>
      </c>
      <c r="Q278" t="s">
        <v>32</v>
      </c>
      <c r="R278" t="s">
        <v>45</v>
      </c>
      <c r="S278">
        <v>3</v>
      </c>
      <c r="T278">
        <v>0</v>
      </c>
      <c r="U278">
        <v>2</v>
      </c>
      <c r="V278">
        <v>6</v>
      </c>
      <c r="W278">
        <v>2</v>
      </c>
      <c r="X278">
        <v>2</v>
      </c>
      <c r="Y278">
        <v>2</v>
      </c>
      <c r="Z278">
        <v>2</v>
      </c>
      <c r="AA278" t="str">
        <f t="shared" si="28"/>
        <v>Early Tenure</v>
      </c>
      <c r="AB278" s="5">
        <v>46009</v>
      </c>
      <c r="AC278">
        <f t="shared" si="29"/>
        <v>1</v>
      </c>
      <c r="AD278" t="s">
        <v>38</v>
      </c>
      <c r="AE278">
        <f>VLOOKUP(A278,'Employee Engagement Survey'!A61:B1530,2,FALSE)</f>
        <v>4</v>
      </c>
      <c r="AF278">
        <f>VLOOKUP(A278,'Employee Engagement Survey'!A61:C1530,3,FALSE)</f>
        <v>2</v>
      </c>
      <c r="AG278">
        <f>VLOOKUP(A278,'Employee Engagement Survey'!A61:D1530,4,FALSE)</f>
        <v>3</v>
      </c>
      <c r="AH278">
        <f>VLOOKUP(A278,'Employee Engagement Survey'!A61:E1530,5,FALSE)</f>
        <v>4</v>
      </c>
      <c r="AI278">
        <f t="shared" si="27"/>
        <v>3.25</v>
      </c>
    </row>
    <row r="279" spans="1:35" hidden="1" x14ac:dyDescent="0.4">
      <c r="A279">
        <v>60</v>
      </c>
      <c r="B279" t="s">
        <v>34</v>
      </c>
      <c r="C279">
        <f t="shared" si="25"/>
        <v>1</v>
      </c>
      <c r="D279" t="s">
        <v>57</v>
      </c>
      <c r="E279">
        <f t="shared" si="26"/>
        <v>0</v>
      </c>
      <c r="F279" t="s">
        <v>40</v>
      </c>
      <c r="G279">
        <v>6</v>
      </c>
      <c r="H279" s="1">
        <v>66816</v>
      </c>
      <c r="I279" s="10">
        <v>0.2</v>
      </c>
      <c r="J279">
        <v>37.5</v>
      </c>
      <c r="K279" t="s">
        <v>34</v>
      </c>
      <c r="L279">
        <v>34</v>
      </c>
      <c r="M279" t="s">
        <v>29</v>
      </c>
      <c r="N279" t="s">
        <v>30</v>
      </c>
      <c r="O279" t="s">
        <v>35</v>
      </c>
      <c r="P279">
        <v>23</v>
      </c>
      <c r="Q279" t="s">
        <v>51</v>
      </c>
      <c r="R279" t="s">
        <v>56</v>
      </c>
      <c r="S279">
        <v>4</v>
      </c>
      <c r="T279">
        <v>0</v>
      </c>
      <c r="U279">
        <v>10</v>
      </c>
      <c r="V279">
        <v>2</v>
      </c>
      <c r="W279">
        <v>9</v>
      </c>
      <c r="X279">
        <v>5</v>
      </c>
      <c r="Y279">
        <v>8</v>
      </c>
      <c r="Z279">
        <v>7</v>
      </c>
      <c r="AA279" t="str">
        <f t="shared" si="28"/>
        <v>Mid Tenure</v>
      </c>
      <c r="AB279" s="5">
        <v>45768</v>
      </c>
      <c r="AC279">
        <f t="shared" si="29"/>
        <v>1</v>
      </c>
      <c r="AD279" t="s">
        <v>38</v>
      </c>
      <c r="AE279">
        <f>VLOOKUP(A279,'Employee Engagement Survey'!A62:B1531,2,FALSE)</f>
        <v>2</v>
      </c>
      <c r="AF279">
        <f>VLOOKUP(A279,'Employee Engagement Survey'!A62:C1531,3,FALSE)</f>
        <v>3</v>
      </c>
      <c r="AG279">
        <f>VLOOKUP(A279,'Employee Engagement Survey'!A62:D1531,4,FALSE)</f>
        <v>3</v>
      </c>
      <c r="AH279">
        <f>VLOOKUP(A279,'Employee Engagement Survey'!A62:E1531,5,FALSE)</f>
        <v>3</v>
      </c>
      <c r="AI279">
        <f t="shared" si="27"/>
        <v>2.75</v>
      </c>
    </row>
    <row r="280" spans="1:35" hidden="1" x14ac:dyDescent="0.4">
      <c r="A280">
        <v>61</v>
      </c>
      <c r="B280" t="s">
        <v>34</v>
      </c>
      <c r="C280">
        <f t="shared" si="25"/>
        <v>1</v>
      </c>
      <c r="D280" t="s">
        <v>27</v>
      </c>
      <c r="E280">
        <f t="shared" si="26"/>
        <v>0</v>
      </c>
      <c r="F280" t="s">
        <v>28</v>
      </c>
      <c r="G280">
        <v>6</v>
      </c>
      <c r="H280" s="1">
        <v>60264</v>
      </c>
      <c r="I280" s="10">
        <v>0.21</v>
      </c>
      <c r="J280">
        <v>37.5</v>
      </c>
      <c r="K280" t="s">
        <v>34</v>
      </c>
      <c r="L280">
        <v>37</v>
      </c>
      <c r="M280" t="s">
        <v>29</v>
      </c>
      <c r="N280" t="s">
        <v>42</v>
      </c>
      <c r="O280" t="s">
        <v>31</v>
      </c>
      <c r="P280">
        <v>19</v>
      </c>
      <c r="Q280" t="s">
        <v>36</v>
      </c>
      <c r="R280" t="s">
        <v>37</v>
      </c>
      <c r="S280">
        <v>4</v>
      </c>
      <c r="T280">
        <v>0</v>
      </c>
      <c r="U280">
        <v>8</v>
      </c>
      <c r="V280">
        <v>1</v>
      </c>
      <c r="W280">
        <v>1</v>
      </c>
      <c r="X280">
        <v>0</v>
      </c>
      <c r="Y280">
        <v>0</v>
      </c>
      <c r="Z280">
        <v>0</v>
      </c>
      <c r="AA280" t="str">
        <f t="shared" si="28"/>
        <v>Early Tenure</v>
      </c>
      <c r="AB280" s="5">
        <v>45734</v>
      </c>
      <c r="AC280">
        <f t="shared" si="29"/>
        <v>1</v>
      </c>
      <c r="AD280" t="s">
        <v>49</v>
      </c>
      <c r="AE280">
        <f>VLOOKUP(A280,'Employee Engagement Survey'!A63:B1532,2,FALSE)</f>
        <v>2</v>
      </c>
      <c r="AF280">
        <f>VLOOKUP(A280,'Employee Engagement Survey'!A63:C1532,3,FALSE)</f>
        <v>2</v>
      </c>
      <c r="AG280">
        <f>VLOOKUP(A280,'Employee Engagement Survey'!A63:D1532,4,FALSE)</f>
        <v>1</v>
      </c>
      <c r="AH280">
        <f>VLOOKUP(A280,'Employee Engagement Survey'!A63:E1532,5,FALSE)</f>
        <v>3</v>
      </c>
      <c r="AI280">
        <f t="shared" si="27"/>
        <v>2</v>
      </c>
    </row>
    <row r="281" spans="1:35" hidden="1" x14ac:dyDescent="0.4">
      <c r="A281">
        <v>62</v>
      </c>
      <c r="B281" t="s">
        <v>34</v>
      </c>
      <c r="C281">
        <f t="shared" si="25"/>
        <v>1</v>
      </c>
      <c r="D281" t="s">
        <v>57</v>
      </c>
      <c r="E281">
        <f t="shared" si="26"/>
        <v>0</v>
      </c>
      <c r="F281" t="s">
        <v>40</v>
      </c>
      <c r="G281">
        <v>7</v>
      </c>
      <c r="H281" s="1">
        <v>81264</v>
      </c>
      <c r="I281" s="10">
        <v>0.21</v>
      </c>
      <c r="J281">
        <v>37.5</v>
      </c>
      <c r="K281" t="s">
        <v>26</v>
      </c>
      <c r="L281">
        <v>46</v>
      </c>
      <c r="M281" t="s">
        <v>29</v>
      </c>
      <c r="N281" t="s">
        <v>30</v>
      </c>
      <c r="O281" t="s">
        <v>44</v>
      </c>
      <c r="P281">
        <v>5</v>
      </c>
      <c r="Q281" t="s">
        <v>51</v>
      </c>
      <c r="R281" t="s">
        <v>56</v>
      </c>
      <c r="S281">
        <v>4</v>
      </c>
      <c r="T281">
        <v>0</v>
      </c>
      <c r="U281">
        <v>14</v>
      </c>
      <c r="V281">
        <v>4</v>
      </c>
      <c r="W281">
        <v>9</v>
      </c>
      <c r="X281">
        <v>6</v>
      </c>
      <c r="Y281">
        <v>0</v>
      </c>
      <c r="Z281">
        <v>8</v>
      </c>
      <c r="AA281" t="str">
        <f t="shared" si="28"/>
        <v>Mid Tenure</v>
      </c>
      <c r="AB281" s="5">
        <v>45496</v>
      </c>
      <c r="AC281">
        <f t="shared" si="29"/>
        <v>1</v>
      </c>
      <c r="AD281" t="s">
        <v>49</v>
      </c>
      <c r="AE281">
        <f>VLOOKUP(A281,'Employee Engagement Survey'!A65:B1534,2,FALSE)</f>
        <v>1</v>
      </c>
      <c r="AF281">
        <f>VLOOKUP(A281,'Employee Engagement Survey'!A65:C1534,3,FALSE)</f>
        <v>4</v>
      </c>
      <c r="AG281">
        <f>VLOOKUP(A281,'Employee Engagement Survey'!A65:D1534,4,FALSE)</f>
        <v>3</v>
      </c>
      <c r="AH281">
        <f>VLOOKUP(A281,'Employee Engagement Survey'!A65:E1534,5,FALSE)</f>
        <v>3</v>
      </c>
      <c r="AI281">
        <f t="shared" si="27"/>
        <v>2.75</v>
      </c>
    </row>
    <row r="282" spans="1:35" hidden="1" x14ac:dyDescent="0.4">
      <c r="A282">
        <v>63</v>
      </c>
      <c r="B282" t="s">
        <v>34</v>
      </c>
      <c r="C282">
        <f t="shared" si="25"/>
        <v>1</v>
      </c>
      <c r="D282" t="s">
        <v>46</v>
      </c>
      <c r="E282">
        <f t="shared" si="26"/>
        <v>0</v>
      </c>
      <c r="F282" t="s">
        <v>28</v>
      </c>
      <c r="G282">
        <v>4</v>
      </c>
      <c r="H282" s="1">
        <v>51228</v>
      </c>
      <c r="I282" s="10">
        <v>0.19</v>
      </c>
      <c r="J282">
        <v>37.5</v>
      </c>
      <c r="K282" t="s">
        <v>34</v>
      </c>
      <c r="L282">
        <v>35</v>
      </c>
      <c r="M282" t="s">
        <v>29</v>
      </c>
      <c r="N282" t="s">
        <v>42</v>
      </c>
      <c r="O282" t="s">
        <v>31</v>
      </c>
      <c r="P282">
        <v>8</v>
      </c>
      <c r="Q282" t="s">
        <v>32</v>
      </c>
      <c r="R282" t="s">
        <v>37</v>
      </c>
      <c r="S282">
        <v>3</v>
      </c>
      <c r="T282">
        <v>0</v>
      </c>
      <c r="U282">
        <v>1</v>
      </c>
      <c r="V282">
        <v>2</v>
      </c>
      <c r="W282">
        <v>1</v>
      </c>
      <c r="X282">
        <v>0</v>
      </c>
      <c r="Y282">
        <v>0</v>
      </c>
      <c r="Z282">
        <v>1</v>
      </c>
      <c r="AA282" t="str">
        <f t="shared" si="28"/>
        <v>Early Tenure</v>
      </c>
      <c r="AB282" s="5">
        <v>45878</v>
      </c>
      <c r="AC282">
        <f t="shared" si="29"/>
        <v>1</v>
      </c>
      <c r="AD282" t="s">
        <v>49</v>
      </c>
      <c r="AE282">
        <f>VLOOKUP(A282,'Employee Engagement Survey'!A66:B1535,2,FALSE)</f>
        <v>4</v>
      </c>
      <c r="AF282">
        <f>VLOOKUP(A282,'Employee Engagement Survey'!A66:C1535,3,FALSE)</f>
        <v>4</v>
      </c>
      <c r="AG282">
        <f>VLOOKUP(A282,'Employee Engagement Survey'!A66:D1535,4,FALSE)</f>
        <v>4</v>
      </c>
      <c r="AH282">
        <f>VLOOKUP(A282,'Employee Engagement Survey'!A66:E1535,5,FALSE)</f>
        <v>3</v>
      </c>
      <c r="AI282">
        <f t="shared" si="27"/>
        <v>3.75</v>
      </c>
    </row>
    <row r="283" spans="1:35" hidden="1" x14ac:dyDescent="0.4">
      <c r="A283">
        <v>680</v>
      </c>
      <c r="B283" t="s">
        <v>34</v>
      </c>
      <c r="C283">
        <f t="shared" si="25"/>
        <v>1</v>
      </c>
      <c r="D283" t="s">
        <v>27</v>
      </c>
      <c r="E283">
        <f t="shared" si="26"/>
        <v>0</v>
      </c>
      <c r="F283" t="s">
        <v>28</v>
      </c>
      <c r="G283">
        <v>3</v>
      </c>
      <c r="H283" s="1">
        <v>48996</v>
      </c>
      <c r="I283" s="10">
        <v>0.2</v>
      </c>
      <c r="J283">
        <v>37.5</v>
      </c>
      <c r="K283" t="s">
        <v>34</v>
      </c>
      <c r="L283">
        <v>30</v>
      </c>
      <c r="M283" t="s">
        <v>47</v>
      </c>
      <c r="N283" t="s">
        <v>48</v>
      </c>
      <c r="O283" t="s">
        <v>44</v>
      </c>
      <c r="P283">
        <v>3</v>
      </c>
      <c r="Q283" t="s">
        <v>43</v>
      </c>
      <c r="R283" t="s">
        <v>33</v>
      </c>
      <c r="S283">
        <v>4</v>
      </c>
      <c r="T283">
        <v>1</v>
      </c>
      <c r="U283">
        <v>1</v>
      </c>
      <c r="V283">
        <v>2</v>
      </c>
      <c r="W283">
        <v>1</v>
      </c>
      <c r="X283">
        <v>0</v>
      </c>
      <c r="Y283">
        <v>0</v>
      </c>
      <c r="Z283">
        <v>0</v>
      </c>
      <c r="AA283" t="str">
        <f t="shared" si="28"/>
        <v>Early Tenure</v>
      </c>
      <c r="AB283" s="5">
        <v>45736</v>
      </c>
      <c r="AC283">
        <f t="shared" si="29"/>
        <v>1</v>
      </c>
      <c r="AD283" t="s">
        <v>49</v>
      </c>
      <c r="AE283">
        <f>VLOOKUP(A283,'Employee Engagement Survey'!A67:B1536,2,FALSE)</f>
        <v>3</v>
      </c>
      <c r="AF283">
        <f>VLOOKUP(A283,'Employee Engagement Survey'!A67:C1536,3,FALSE)</f>
        <v>3</v>
      </c>
      <c r="AG283">
        <f>VLOOKUP(A283,'Employee Engagement Survey'!A67:D1536,4,FALSE)</f>
        <v>3</v>
      </c>
      <c r="AH283">
        <f>VLOOKUP(A283,'Employee Engagement Survey'!A67:E1536,5,FALSE)</f>
        <v>3</v>
      </c>
      <c r="AI283">
        <f t="shared" si="27"/>
        <v>3</v>
      </c>
    </row>
    <row r="284" spans="1:35" hidden="1" x14ac:dyDescent="0.4">
      <c r="A284">
        <v>70</v>
      </c>
      <c r="B284" t="s">
        <v>34</v>
      </c>
      <c r="C284">
        <f t="shared" si="25"/>
        <v>1</v>
      </c>
      <c r="D284" t="s">
        <v>55</v>
      </c>
      <c r="E284">
        <f t="shared" si="26"/>
        <v>0</v>
      </c>
      <c r="F284" t="s">
        <v>28</v>
      </c>
      <c r="G284">
        <v>9</v>
      </c>
      <c r="H284" s="1">
        <v>130608</v>
      </c>
      <c r="I284" s="10">
        <v>0.13</v>
      </c>
      <c r="J284">
        <v>37.5</v>
      </c>
      <c r="K284" t="s">
        <v>26</v>
      </c>
      <c r="L284">
        <v>35</v>
      </c>
      <c r="M284" t="s">
        <v>29</v>
      </c>
      <c r="N284" t="s">
        <v>42</v>
      </c>
      <c r="O284" t="s">
        <v>35</v>
      </c>
      <c r="P284">
        <v>11</v>
      </c>
      <c r="Q284" t="s">
        <v>36</v>
      </c>
      <c r="R284" t="s">
        <v>33</v>
      </c>
      <c r="S284">
        <v>3</v>
      </c>
      <c r="T284">
        <v>1</v>
      </c>
      <c r="U284">
        <v>10</v>
      </c>
      <c r="V284">
        <v>3</v>
      </c>
      <c r="W284">
        <v>4</v>
      </c>
      <c r="X284">
        <v>0</v>
      </c>
      <c r="Y284">
        <v>2</v>
      </c>
      <c r="Z284">
        <v>3</v>
      </c>
      <c r="AA284" t="str">
        <f t="shared" si="28"/>
        <v>Mid Tenure</v>
      </c>
      <c r="AB284" s="5">
        <v>45093</v>
      </c>
      <c r="AC284">
        <f t="shared" si="29"/>
        <v>0</v>
      </c>
      <c r="AD284" t="s">
        <v>38</v>
      </c>
      <c r="AE284">
        <f>VLOOKUP(A284,'Employee Engagement Survey'!A70:B1539,2,FALSE)</f>
        <v>3</v>
      </c>
      <c r="AF284">
        <f>VLOOKUP(A284,'Employee Engagement Survey'!A70:C1539,3,FALSE)</f>
        <v>1</v>
      </c>
      <c r="AG284">
        <f>VLOOKUP(A284,'Employee Engagement Survey'!A70:D1539,4,FALSE)</f>
        <v>3</v>
      </c>
      <c r="AH284">
        <f>VLOOKUP(A284,'Employee Engagement Survey'!A70:E1539,5,FALSE)</f>
        <v>3</v>
      </c>
      <c r="AI284">
        <f t="shared" si="27"/>
        <v>2.5</v>
      </c>
    </row>
    <row r="285" spans="1:35" hidden="1" x14ac:dyDescent="0.4">
      <c r="A285">
        <v>74</v>
      </c>
      <c r="B285" t="s">
        <v>34</v>
      </c>
      <c r="C285">
        <f t="shared" si="25"/>
        <v>1</v>
      </c>
      <c r="D285" t="s">
        <v>57</v>
      </c>
      <c r="E285">
        <f t="shared" si="26"/>
        <v>0</v>
      </c>
      <c r="F285" t="s">
        <v>40</v>
      </c>
      <c r="G285">
        <v>9</v>
      </c>
      <c r="H285" s="1">
        <v>120828</v>
      </c>
      <c r="I285" s="10">
        <v>0.22</v>
      </c>
      <c r="J285">
        <v>37.5</v>
      </c>
      <c r="K285" t="s">
        <v>34</v>
      </c>
      <c r="L285">
        <v>35</v>
      </c>
      <c r="M285" t="s">
        <v>29</v>
      </c>
      <c r="N285" t="s">
        <v>42</v>
      </c>
      <c r="O285" t="s">
        <v>44</v>
      </c>
      <c r="P285">
        <v>18</v>
      </c>
      <c r="Q285" t="s">
        <v>58</v>
      </c>
      <c r="R285" t="s">
        <v>37</v>
      </c>
      <c r="S285">
        <v>4</v>
      </c>
      <c r="T285">
        <v>1</v>
      </c>
      <c r="U285">
        <v>9</v>
      </c>
      <c r="V285">
        <v>3</v>
      </c>
      <c r="W285">
        <v>9</v>
      </c>
      <c r="X285">
        <v>8</v>
      </c>
      <c r="Y285">
        <v>1</v>
      </c>
      <c r="Z285">
        <v>8</v>
      </c>
      <c r="AA285" t="str">
        <f t="shared" si="28"/>
        <v>Mid Tenure</v>
      </c>
      <c r="AB285" s="5">
        <v>45851</v>
      </c>
      <c r="AC285">
        <f t="shared" si="29"/>
        <v>1</v>
      </c>
      <c r="AD285" t="s">
        <v>38</v>
      </c>
      <c r="AE285">
        <f>VLOOKUP(A285,'Employee Engagement Survey'!A71:B1540,2,FALSE)</f>
        <v>2</v>
      </c>
      <c r="AF285">
        <f>VLOOKUP(A285,'Employee Engagement Survey'!A71:C1540,3,FALSE)</f>
        <v>1</v>
      </c>
      <c r="AG285">
        <f>VLOOKUP(A285,'Employee Engagement Survey'!A71:D1540,4,FALSE)</f>
        <v>4</v>
      </c>
      <c r="AH285">
        <f>VLOOKUP(A285,'Employee Engagement Survey'!A71:E1540,5,FALSE)</f>
        <v>2</v>
      </c>
      <c r="AI285">
        <f t="shared" si="27"/>
        <v>2.25</v>
      </c>
    </row>
    <row r="286" spans="1:35" hidden="1" x14ac:dyDescent="0.4">
      <c r="A286">
        <v>76</v>
      </c>
      <c r="B286" t="s">
        <v>34</v>
      </c>
      <c r="C286">
        <f t="shared" si="25"/>
        <v>1</v>
      </c>
      <c r="D286" t="s">
        <v>46</v>
      </c>
      <c r="E286">
        <f t="shared" si="26"/>
        <v>0</v>
      </c>
      <c r="F286" t="s">
        <v>28</v>
      </c>
      <c r="G286">
        <v>7</v>
      </c>
      <c r="H286" s="1">
        <v>82980</v>
      </c>
      <c r="I286" s="10">
        <v>0.22</v>
      </c>
      <c r="J286">
        <v>37.5</v>
      </c>
      <c r="K286" t="s">
        <v>34</v>
      </c>
      <c r="L286">
        <v>31</v>
      </c>
      <c r="M286" t="s">
        <v>29</v>
      </c>
      <c r="N286" t="s">
        <v>48</v>
      </c>
      <c r="O286" t="s">
        <v>31</v>
      </c>
      <c r="P286">
        <v>7</v>
      </c>
      <c r="Q286" t="s">
        <v>51</v>
      </c>
      <c r="R286" t="s">
        <v>37</v>
      </c>
      <c r="S286">
        <v>4</v>
      </c>
      <c r="T286">
        <v>1</v>
      </c>
      <c r="U286">
        <v>10</v>
      </c>
      <c r="V286">
        <v>3</v>
      </c>
      <c r="W286">
        <v>7</v>
      </c>
      <c r="X286">
        <v>7</v>
      </c>
      <c r="Y286">
        <v>1</v>
      </c>
      <c r="Z286">
        <v>7</v>
      </c>
      <c r="AA286" t="str">
        <f t="shared" si="28"/>
        <v>Mid Tenure</v>
      </c>
      <c r="AB286" s="5">
        <v>44708</v>
      </c>
      <c r="AC286">
        <f t="shared" si="29"/>
        <v>0</v>
      </c>
      <c r="AD286" t="s">
        <v>38</v>
      </c>
      <c r="AE286">
        <f>VLOOKUP(A286,'Employee Engagement Survey'!A72:B1541,2,FALSE)</f>
        <v>4</v>
      </c>
      <c r="AF286">
        <f>VLOOKUP(A286,'Employee Engagement Survey'!A72:C1541,3,FALSE)</f>
        <v>4</v>
      </c>
      <c r="AG286">
        <f>VLOOKUP(A286,'Employee Engagement Survey'!A72:D1541,4,FALSE)</f>
        <v>4</v>
      </c>
      <c r="AH286">
        <f>VLOOKUP(A286,'Employee Engagement Survey'!A72:E1541,5,FALSE)</f>
        <v>2</v>
      </c>
      <c r="AI286">
        <f t="shared" si="27"/>
        <v>3.5</v>
      </c>
    </row>
    <row r="287" spans="1:35" hidden="1" x14ac:dyDescent="0.4">
      <c r="A287">
        <v>77</v>
      </c>
      <c r="B287" t="s">
        <v>34</v>
      </c>
      <c r="C287">
        <f t="shared" si="25"/>
        <v>1</v>
      </c>
      <c r="D287" t="s">
        <v>54</v>
      </c>
      <c r="E287">
        <f t="shared" si="26"/>
        <v>1</v>
      </c>
      <c r="F287" t="s">
        <v>28</v>
      </c>
      <c r="G287">
        <v>7</v>
      </c>
      <c r="H287" s="1">
        <v>83916</v>
      </c>
      <c r="I287" s="10">
        <v>0.18</v>
      </c>
      <c r="J287">
        <v>37.5</v>
      </c>
      <c r="K287" t="s">
        <v>34</v>
      </c>
      <c r="L287">
        <v>37</v>
      </c>
      <c r="M287" t="s">
        <v>29</v>
      </c>
      <c r="N287" t="s">
        <v>48</v>
      </c>
      <c r="O287" t="s">
        <v>31</v>
      </c>
      <c r="P287">
        <v>1</v>
      </c>
      <c r="Q287" t="s">
        <v>51</v>
      </c>
      <c r="R287" t="s">
        <v>37</v>
      </c>
      <c r="S287">
        <v>3</v>
      </c>
      <c r="T287">
        <v>1</v>
      </c>
      <c r="U287">
        <v>7</v>
      </c>
      <c r="V287">
        <v>2</v>
      </c>
      <c r="W287">
        <v>7</v>
      </c>
      <c r="X287">
        <v>5</v>
      </c>
      <c r="Y287">
        <v>0</v>
      </c>
      <c r="Z287">
        <v>7</v>
      </c>
      <c r="AA287" t="str">
        <f t="shared" si="28"/>
        <v>Mid Tenure</v>
      </c>
      <c r="AB287" s="5">
        <v>45059</v>
      </c>
      <c r="AC287">
        <f t="shared" si="29"/>
        <v>0</v>
      </c>
      <c r="AD287" t="s">
        <v>49</v>
      </c>
      <c r="AE287">
        <f>VLOOKUP(A287,'Employee Engagement Survey'!A73:B1542,2,FALSE)</f>
        <v>1</v>
      </c>
      <c r="AF287">
        <f>VLOOKUP(A287,'Employee Engagement Survey'!A73:C1542,3,FALSE)</f>
        <v>3</v>
      </c>
      <c r="AG287">
        <f>VLOOKUP(A287,'Employee Engagement Survey'!A73:D1542,4,FALSE)</f>
        <v>3</v>
      </c>
      <c r="AH287">
        <f>VLOOKUP(A287,'Employee Engagement Survey'!A73:E1542,5,FALSE)</f>
        <v>4</v>
      </c>
      <c r="AI287">
        <f t="shared" si="27"/>
        <v>2.75</v>
      </c>
    </row>
    <row r="288" spans="1:35" hidden="1" x14ac:dyDescent="0.4">
      <c r="A288">
        <v>1303</v>
      </c>
      <c r="B288" t="s">
        <v>34</v>
      </c>
      <c r="C288">
        <f t="shared" si="25"/>
        <v>1</v>
      </c>
      <c r="D288" t="s">
        <v>27</v>
      </c>
      <c r="E288">
        <f t="shared" si="26"/>
        <v>0</v>
      </c>
      <c r="F288" t="s">
        <v>28</v>
      </c>
      <c r="G288">
        <v>3</v>
      </c>
      <c r="H288" s="1">
        <v>49152</v>
      </c>
      <c r="I288" s="10">
        <v>0.18</v>
      </c>
      <c r="J288">
        <v>37.5</v>
      </c>
      <c r="K288" t="s">
        <v>34</v>
      </c>
      <c r="L288">
        <v>25</v>
      </c>
      <c r="M288" t="s">
        <v>47</v>
      </c>
      <c r="N288" t="s">
        <v>30</v>
      </c>
      <c r="O288" t="s">
        <v>31</v>
      </c>
      <c r="P288">
        <v>1</v>
      </c>
      <c r="Q288" t="s">
        <v>43</v>
      </c>
      <c r="R288" t="s">
        <v>33</v>
      </c>
      <c r="S288">
        <v>3</v>
      </c>
      <c r="T288">
        <v>0</v>
      </c>
      <c r="U288">
        <v>2</v>
      </c>
      <c r="V288">
        <v>3</v>
      </c>
      <c r="W288">
        <v>2</v>
      </c>
      <c r="X288">
        <v>2</v>
      </c>
      <c r="Y288">
        <v>2</v>
      </c>
      <c r="Z288">
        <v>1</v>
      </c>
      <c r="AA288" t="str">
        <f t="shared" si="28"/>
        <v>Early Tenure</v>
      </c>
      <c r="AB288" s="5">
        <v>45990</v>
      </c>
      <c r="AC288">
        <f t="shared" si="29"/>
        <v>1</v>
      </c>
      <c r="AD288" t="s">
        <v>49</v>
      </c>
      <c r="AE288">
        <f>VLOOKUP(A288,'Employee Engagement Survey'!A74:B1543,2,FALSE)</f>
        <v>4</v>
      </c>
      <c r="AF288">
        <f>VLOOKUP(A288,'Employee Engagement Survey'!A74:C1543,3,FALSE)</f>
        <v>2</v>
      </c>
      <c r="AG288">
        <f>VLOOKUP(A288,'Employee Engagement Survey'!A74:D1543,4,FALSE)</f>
        <v>4</v>
      </c>
      <c r="AH288">
        <f>VLOOKUP(A288,'Employee Engagement Survey'!A74:E1543,5,FALSE)</f>
        <v>2</v>
      </c>
      <c r="AI288">
        <f t="shared" si="27"/>
        <v>3</v>
      </c>
    </row>
    <row r="289" spans="1:35" hidden="1" x14ac:dyDescent="0.4">
      <c r="A289">
        <v>78</v>
      </c>
      <c r="B289" t="s">
        <v>34</v>
      </c>
      <c r="C289">
        <f t="shared" si="25"/>
        <v>1</v>
      </c>
      <c r="D289" t="s">
        <v>54</v>
      </c>
      <c r="E289">
        <f t="shared" si="26"/>
        <v>1</v>
      </c>
      <c r="F289" t="s">
        <v>28</v>
      </c>
      <c r="G289">
        <v>8</v>
      </c>
      <c r="H289" s="1">
        <v>85944</v>
      </c>
      <c r="I289" s="10">
        <v>0.22</v>
      </c>
      <c r="J289">
        <v>37.5</v>
      </c>
      <c r="K289" t="s">
        <v>26</v>
      </c>
      <c r="L289">
        <v>32</v>
      </c>
      <c r="M289" t="s">
        <v>29</v>
      </c>
      <c r="N289" t="s">
        <v>42</v>
      </c>
      <c r="O289" t="s">
        <v>31</v>
      </c>
      <c r="P289">
        <v>1</v>
      </c>
      <c r="Q289" t="s">
        <v>43</v>
      </c>
      <c r="R289" t="s">
        <v>33</v>
      </c>
      <c r="S289">
        <v>4</v>
      </c>
      <c r="T289">
        <v>1</v>
      </c>
      <c r="U289">
        <v>9</v>
      </c>
      <c r="V289">
        <v>3</v>
      </c>
      <c r="W289">
        <v>9</v>
      </c>
      <c r="X289">
        <v>8</v>
      </c>
      <c r="Y289">
        <v>7</v>
      </c>
      <c r="Z289">
        <v>8</v>
      </c>
      <c r="AA289" t="str">
        <f t="shared" si="28"/>
        <v>Mid Tenure</v>
      </c>
      <c r="AB289" s="5">
        <v>45019</v>
      </c>
      <c r="AC289">
        <f t="shared" si="29"/>
        <v>0</v>
      </c>
      <c r="AD289" t="s">
        <v>49</v>
      </c>
      <c r="AE289">
        <f>VLOOKUP(A289,'Employee Engagement Survey'!A75:B1544,2,FALSE)</f>
        <v>1</v>
      </c>
      <c r="AF289">
        <f>VLOOKUP(A289,'Employee Engagement Survey'!A75:C1544,3,FALSE)</f>
        <v>4</v>
      </c>
      <c r="AG289">
        <f>VLOOKUP(A289,'Employee Engagement Survey'!A75:D1544,4,FALSE)</f>
        <v>2</v>
      </c>
      <c r="AH289">
        <f>VLOOKUP(A289,'Employee Engagement Survey'!A75:E1544,5,FALSE)</f>
        <v>3</v>
      </c>
      <c r="AI289">
        <f t="shared" si="27"/>
        <v>2.5</v>
      </c>
    </row>
    <row r="290" spans="1:35" hidden="1" x14ac:dyDescent="0.4">
      <c r="A290">
        <v>85</v>
      </c>
      <c r="B290" t="s">
        <v>34</v>
      </c>
      <c r="C290">
        <f t="shared" si="25"/>
        <v>1</v>
      </c>
      <c r="D290" t="s">
        <v>54</v>
      </c>
      <c r="E290">
        <f t="shared" si="26"/>
        <v>1</v>
      </c>
      <c r="F290" t="s">
        <v>28</v>
      </c>
      <c r="G290">
        <v>8</v>
      </c>
      <c r="H290" s="1">
        <v>89988</v>
      </c>
      <c r="I290" s="10">
        <v>0.13</v>
      </c>
      <c r="J290">
        <v>37.5</v>
      </c>
      <c r="K290" t="s">
        <v>34</v>
      </c>
      <c r="L290">
        <v>36</v>
      </c>
      <c r="M290" t="s">
        <v>29</v>
      </c>
      <c r="N290" t="s">
        <v>30</v>
      </c>
      <c r="O290" t="s">
        <v>44</v>
      </c>
      <c r="P290">
        <v>11</v>
      </c>
      <c r="Q290" t="s">
        <v>43</v>
      </c>
      <c r="R290" t="s">
        <v>37</v>
      </c>
      <c r="S290">
        <v>3</v>
      </c>
      <c r="T290">
        <v>0</v>
      </c>
      <c r="U290">
        <v>6</v>
      </c>
      <c r="V290">
        <v>3</v>
      </c>
      <c r="W290">
        <v>6</v>
      </c>
      <c r="X290">
        <v>5</v>
      </c>
      <c r="Y290">
        <v>0</v>
      </c>
      <c r="Z290">
        <v>3</v>
      </c>
      <c r="AA290" t="str">
        <f t="shared" si="28"/>
        <v>Mid Tenure</v>
      </c>
      <c r="AB290" s="5">
        <v>45743</v>
      </c>
      <c r="AC290">
        <f t="shared" si="29"/>
        <v>1</v>
      </c>
      <c r="AD290" t="s">
        <v>49</v>
      </c>
      <c r="AE290">
        <f>VLOOKUP(A290,'Employee Engagement Survey'!A76:B1545,2,FALSE)</f>
        <v>2</v>
      </c>
      <c r="AF290">
        <f>VLOOKUP(A290,'Employee Engagement Survey'!A76:C1545,3,FALSE)</f>
        <v>2</v>
      </c>
      <c r="AG290">
        <f>VLOOKUP(A290,'Employee Engagement Survey'!A76:D1545,4,FALSE)</f>
        <v>3</v>
      </c>
      <c r="AH290">
        <f>VLOOKUP(A290,'Employee Engagement Survey'!A76:E1545,5,FALSE)</f>
        <v>3</v>
      </c>
      <c r="AI290">
        <f t="shared" si="27"/>
        <v>2.5</v>
      </c>
    </row>
    <row r="291" spans="1:35" hidden="1" x14ac:dyDescent="0.4">
      <c r="A291">
        <v>1856</v>
      </c>
      <c r="B291" t="s">
        <v>34</v>
      </c>
      <c r="C291">
        <f t="shared" si="25"/>
        <v>1</v>
      </c>
      <c r="D291" t="s">
        <v>46</v>
      </c>
      <c r="E291">
        <f t="shared" si="26"/>
        <v>0</v>
      </c>
      <c r="F291" t="s">
        <v>28</v>
      </c>
      <c r="G291">
        <v>3</v>
      </c>
      <c r="H291" s="1">
        <v>49260</v>
      </c>
      <c r="I291" s="10">
        <v>0.12</v>
      </c>
      <c r="J291">
        <v>37.5</v>
      </c>
      <c r="K291" t="s">
        <v>34</v>
      </c>
      <c r="L291">
        <v>47</v>
      </c>
      <c r="M291" t="s">
        <v>47</v>
      </c>
      <c r="N291" t="s">
        <v>30</v>
      </c>
      <c r="O291" t="s">
        <v>31</v>
      </c>
      <c r="P291">
        <v>9</v>
      </c>
      <c r="Q291" t="s">
        <v>51</v>
      </c>
      <c r="R291" t="s">
        <v>37</v>
      </c>
      <c r="S291">
        <v>3</v>
      </c>
      <c r="T291">
        <v>0</v>
      </c>
      <c r="U291">
        <v>7</v>
      </c>
      <c r="V291">
        <v>2</v>
      </c>
      <c r="W291">
        <v>2</v>
      </c>
      <c r="X291">
        <v>2</v>
      </c>
      <c r="Y291">
        <v>2</v>
      </c>
      <c r="Z291">
        <v>0</v>
      </c>
      <c r="AA291" t="str">
        <f t="shared" si="28"/>
        <v>Early Tenure</v>
      </c>
      <c r="AB291" s="5">
        <v>45260</v>
      </c>
      <c r="AC291">
        <f t="shared" si="29"/>
        <v>0</v>
      </c>
      <c r="AD291" t="s">
        <v>49</v>
      </c>
      <c r="AE291">
        <f>VLOOKUP(A291,'Employee Engagement Survey'!A77:B1546,2,FALSE)</f>
        <v>2</v>
      </c>
      <c r="AF291">
        <f>VLOOKUP(A291,'Employee Engagement Survey'!A77:C1546,3,FALSE)</f>
        <v>3</v>
      </c>
      <c r="AG291">
        <f>VLOOKUP(A291,'Employee Engagement Survey'!A77:D1546,4,FALSE)</f>
        <v>3</v>
      </c>
      <c r="AH291">
        <f>VLOOKUP(A291,'Employee Engagement Survey'!A77:E1546,5,FALSE)</f>
        <v>3</v>
      </c>
      <c r="AI291">
        <f t="shared" si="27"/>
        <v>2.75</v>
      </c>
    </row>
    <row r="292" spans="1:35" hidden="1" x14ac:dyDescent="0.4">
      <c r="A292">
        <v>86</v>
      </c>
      <c r="B292" t="s">
        <v>34</v>
      </c>
      <c r="C292">
        <f t="shared" si="25"/>
        <v>1</v>
      </c>
      <c r="D292" t="s">
        <v>27</v>
      </c>
      <c r="E292">
        <f t="shared" si="26"/>
        <v>0</v>
      </c>
      <c r="F292" t="s">
        <v>28</v>
      </c>
      <c r="G292">
        <v>9</v>
      </c>
      <c r="H292" s="1">
        <v>128688</v>
      </c>
      <c r="I292" s="10">
        <v>0.17</v>
      </c>
      <c r="J292">
        <v>37.5</v>
      </c>
      <c r="K292" t="s">
        <v>34</v>
      </c>
      <c r="L292">
        <v>45</v>
      </c>
      <c r="M292" t="s">
        <v>29</v>
      </c>
      <c r="N292" t="s">
        <v>48</v>
      </c>
      <c r="O292" t="s">
        <v>31</v>
      </c>
      <c r="P292">
        <v>7</v>
      </c>
      <c r="Q292" t="s">
        <v>43</v>
      </c>
      <c r="R292" t="s">
        <v>37</v>
      </c>
      <c r="S292">
        <v>3</v>
      </c>
      <c r="T292">
        <v>1</v>
      </c>
      <c r="U292">
        <v>25</v>
      </c>
      <c r="V292">
        <v>2</v>
      </c>
      <c r="W292">
        <v>1</v>
      </c>
      <c r="X292">
        <v>0</v>
      </c>
      <c r="Y292">
        <v>0</v>
      </c>
      <c r="Z292">
        <v>0</v>
      </c>
      <c r="AA292" t="str">
        <f t="shared" si="28"/>
        <v>Early Tenure</v>
      </c>
      <c r="AB292" s="5">
        <v>45666</v>
      </c>
      <c r="AC292">
        <f t="shared" si="29"/>
        <v>1</v>
      </c>
      <c r="AD292" t="s">
        <v>49</v>
      </c>
      <c r="AE292">
        <f>VLOOKUP(A292,'Employee Engagement Survey'!A78:B1547,2,FALSE)</f>
        <v>2</v>
      </c>
      <c r="AF292">
        <f>VLOOKUP(A292,'Employee Engagement Survey'!A78:C1547,3,FALSE)</f>
        <v>1</v>
      </c>
      <c r="AG292">
        <f>VLOOKUP(A292,'Employee Engagement Survey'!A78:D1547,4,FALSE)</f>
        <v>3</v>
      </c>
      <c r="AH292">
        <f>VLOOKUP(A292,'Employee Engagement Survey'!A78:E1547,5,FALSE)</f>
        <v>3</v>
      </c>
      <c r="AI292">
        <f t="shared" si="27"/>
        <v>2.25</v>
      </c>
    </row>
    <row r="293" spans="1:35" hidden="1" x14ac:dyDescent="0.4">
      <c r="A293">
        <v>1461</v>
      </c>
      <c r="B293" t="s">
        <v>34</v>
      </c>
      <c r="C293">
        <f t="shared" si="25"/>
        <v>1</v>
      </c>
      <c r="D293" t="s">
        <v>104</v>
      </c>
      <c r="E293">
        <f t="shared" si="26"/>
        <v>0</v>
      </c>
      <c r="F293" t="s">
        <v>59</v>
      </c>
      <c r="G293">
        <v>3</v>
      </c>
      <c r="H293" s="1">
        <v>49308</v>
      </c>
      <c r="I293" s="10">
        <v>0.18</v>
      </c>
      <c r="J293">
        <v>37.5</v>
      </c>
      <c r="K293" t="s">
        <v>34</v>
      </c>
      <c r="L293">
        <v>31</v>
      </c>
      <c r="M293" t="s">
        <v>47</v>
      </c>
      <c r="N293" t="s">
        <v>30</v>
      </c>
      <c r="O293" t="s">
        <v>31</v>
      </c>
      <c r="P293">
        <v>8</v>
      </c>
      <c r="Q293" t="s">
        <v>36</v>
      </c>
      <c r="R293" t="s">
        <v>33</v>
      </c>
      <c r="S293">
        <v>3</v>
      </c>
      <c r="T293">
        <v>0</v>
      </c>
      <c r="U293">
        <v>8</v>
      </c>
      <c r="V293">
        <v>3</v>
      </c>
      <c r="W293">
        <v>3</v>
      </c>
      <c r="X293">
        <v>2</v>
      </c>
      <c r="Y293">
        <v>0</v>
      </c>
      <c r="Z293">
        <v>2</v>
      </c>
      <c r="AA293" t="str">
        <f t="shared" si="28"/>
        <v>Mid Tenure</v>
      </c>
      <c r="AB293" s="5">
        <v>45914</v>
      </c>
      <c r="AC293">
        <f t="shared" si="29"/>
        <v>1</v>
      </c>
      <c r="AD293" t="s">
        <v>38</v>
      </c>
      <c r="AE293">
        <f>VLOOKUP(A293,'Employee Engagement Survey'!A79:B1548,2,FALSE)</f>
        <v>4</v>
      </c>
      <c r="AF293">
        <f>VLOOKUP(A293,'Employee Engagement Survey'!A79:C1548,3,FALSE)</f>
        <v>2</v>
      </c>
      <c r="AG293">
        <f>VLOOKUP(A293,'Employee Engagement Survey'!A79:D1548,4,FALSE)</f>
        <v>4</v>
      </c>
      <c r="AH293">
        <f>VLOOKUP(A293,'Employee Engagement Survey'!A79:E1548,5,FALSE)</f>
        <v>3</v>
      </c>
      <c r="AI293">
        <f t="shared" si="27"/>
        <v>3.25</v>
      </c>
    </row>
    <row r="294" spans="1:35" hidden="1" x14ac:dyDescent="0.4">
      <c r="A294">
        <v>1762</v>
      </c>
      <c r="B294" t="s">
        <v>34</v>
      </c>
      <c r="C294">
        <f t="shared" si="25"/>
        <v>1</v>
      </c>
      <c r="D294" t="s">
        <v>27</v>
      </c>
      <c r="E294">
        <f t="shared" si="26"/>
        <v>0</v>
      </c>
      <c r="F294" t="s">
        <v>28</v>
      </c>
      <c r="G294">
        <v>3</v>
      </c>
      <c r="H294" s="1">
        <v>49308</v>
      </c>
      <c r="I294" s="10">
        <v>0.13</v>
      </c>
      <c r="J294">
        <v>37.5</v>
      </c>
      <c r="K294" t="s">
        <v>34</v>
      </c>
      <c r="L294">
        <v>29</v>
      </c>
      <c r="M294" t="s">
        <v>47</v>
      </c>
      <c r="N294" t="s">
        <v>48</v>
      </c>
      <c r="O294" t="s">
        <v>31</v>
      </c>
      <c r="P294">
        <v>4</v>
      </c>
      <c r="Q294" t="s">
        <v>43</v>
      </c>
      <c r="R294" t="s">
        <v>45</v>
      </c>
      <c r="S294">
        <v>3</v>
      </c>
      <c r="T294">
        <v>1</v>
      </c>
      <c r="U294">
        <v>1</v>
      </c>
      <c r="V294">
        <v>2</v>
      </c>
      <c r="W294">
        <v>1</v>
      </c>
      <c r="X294">
        <v>0</v>
      </c>
      <c r="Y294">
        <v>0</v>
      </c>
      <c r="Z294">
        <v>0</v>
      </c>
      <c r="AA294" t="str">
        <f t="shared" si="28"/>
        <v>Early Tenure</v>
      </c>
      <c r="AB294" s="5">
        <v>45211</v>
      </c>
      <c r="AC294">
        <f t="shared" si="29"/>
        <v>0</v>
      </c>
      <c r="AD294" t="s">
        <v>49</v>
      </c>
      <c r="AE294">
        <f>VLOOKUP(A294,'Employee Engagement Survey'!A80:B1549,2,FALSE)</f>
        <v>4</v>
      </c>
      <c r="AF294">
        <f>VLOOKUP(A294,'Employee Engagement Survey'!A80:C1549,3,FALSE)</f>
        <v>1</v>
      </c>
      <c r="AG294">
        <f>VLOOKUP(A294,'Employee Engagement Survey'!A80:D1549,4,FALSE)</f>
        <v>3</v>
      </c>
      <c r="AH294">
        <f>VLOOKUP(A294,'Employee Engagement Survey'!A80:E1549,5,FALSE)</f>
        <v>3</v>
      </c>
      <c r="AI294">
        <f t="shared" si="27"/>
        <v>2.75</v>
      </c>
    </row>
    <row r="295" spans="1:35" hidden="1" x14ac:dyDescent="0.4">
      <c r="A295">
        <v>391</v>
      </c>
      <c r="B295" t="s">
        <v>34</v>
      </c>
      <c r="C295">
        <f t="shared" si="25"/>
        <v>1</v>
      </c>
      <c r="D295" t="s">
        <v>27</v>
      </c>
      <c r="E295">
        <f t="shared" si="26"/>
        <v>0</v>
      </c>
      <c r="F295" t="s">
        <v>28</v>
      </c>
      <c r="G295">
        <v>3</v>
      </c>
      <c r="H295" s="1">
        <v>49380</v>
      </c>
      <c r="I295" s="10">
        <v>0.12</v>
      </c>
      <c r="J295">
        <v>37.5</v>
      </c>
      <c r="K295" t="s">
        <v>34</v>
      </c>
      <c r="L295">
        <v>37</v>
      </c>
      <c r="M295" t="s">
        <v>47</v>
      </c>
      <c r="N295" t="s">
        <v>30</v>
      </c>
      <c r="O295" t="s">
        <v>31</v>
      </c>
      <c r="P295">
        <v>1</v>
      </c>
      <c r="Q295" t="s">
        <v>43</v>
      </c>
      <c r="R295" t="s">
        <v>37</v>
      </c>
      <c r="S295">
        <v>3</v>
      </c>
      <c r="T295">
        <v>0</v>
      </c>
      <c r="U295">
        <v>17</v>
      </c>
      <c r="V295">
        <v>3</v>
      </c>
      <c r="W295">
        <v>17</v>
      </c>
      <c r="X295">
        <v>12</v>
      </c>
      <c r="Y295">
        <v>5</v>
      </c>
      <c r="Z295">
        <v>7</v>
      </c>
      <c r="AA295" t="str">
        <f t="shared" si="28"/>
        <v>Long Tenure</v>
      </c>
      <c r="AB295" s="5">
        <v>45096</v>
      </c>
      <c r="AC295">
        <f t="shared" si="29"/>
        <v>0</v>
      </c>
      <c r="AD295" t="s">
        <v>38</v>
      </c>
      <c r="AE295">
        <f>VLOOKUP(A295,'Employee Engagement Survey'!A81:B1550,2,FALSE)</f>
        <v>4</v>
      </c>
      <c r="AF295">
        <f>VLOOKUP(A295,'Employee Engagement Survey'!A81:C1550,3,FALSE)</f>
        <v>4</v>
      </c>
      <c r="AG295">
        <f>VLOOKUP(A295,'Employee Engagement Survey'!A81:D1550,4,FALSE)</f>
        <v>2</v>
      </c>
      <c r="AH295">
        <f>VLOOKUP(A295,'Employee Engagement Survey'!A81:E1550,5,FALSE)</f>
        <v>3</v>
      </c>
      <c r="AI295">
        <f t="shared" si="27"/>
        <v>3.25</v>
      </c>
    </row>
    <row r="296" spans="1:35" hidden="1" x14ac:dyDescent="0.4">
      <c r="A296">
        <v>88</v>
      </c>
      <c r="B296" t="s">
        <v>34</v>
      </c>
      <c r="C296">
        <f t="shared" si="25"/>
        <v>1</v>
      </c>
      <c r="D296" t="s">
        <v>27</v>
      </c>
      <c r="E296">
        <f t="shared" si="26"/>
        <v>0</v>
      </c>
      <c r="F296" t="s">
        <v>28</v>
      </c>
      <c r="G296">
        <v>4</v>
      </c>
      <c r="H296" s="1">
        <v>50328</v>
      </c>
      <c r="I296" s="10">
        <v>0.13</v>
      </c>
      <c r="J296">
        <v>37.5</v>
      </c>
      <c r="K296" t="s">
        <v>34</v>
      </c>
      <c r="L296">
        <v>35</v>
      </c>
      <c r="M296" t="s">
        <v>29</v>
      </c>
      <c r="N296" t="s">
        <v>42</v>
      </c>
      <c r="O296" t="s">
        <v>44</v>
      </c>
      <c r="P296">
        <v>1</v>
      </c>
      <c r="Q296" t="s">
        <v>43</v>
      </c>
      <c r="R296" t="s">
        <v>33</v>
      </c>
      <c r="S296">
        <v>3</v>
      </c>
      <c r="T296">
        <v>1</v>
      </c>
      <c r="U296">
        <v>5</v>
      </c>
      <c r="V296">
        <v>2</v>
      </c>
      <c r="W296">
        <v>3</v>
      </c>
      <c r="X296">
        <v>2</v>
      </c>
      <c r="Y296">
        <v>1</v>
      </c>
      <c r="Z296">
        <v>2</v>
      </c>
      <c r="AA296" t="str">
        <f t="shared" si="28"/>
        <v>Mid Tenure</v>
      </c>
      <c r="AB296" s="5">
        <v>45702</v>
      </c>
      <c r="AC296">
        <f t="shared" si="29"/>
        <v>1</v>
      </c>
      <c r="AD296" t="s">
        <v>38</v>
      </c>
      <c r="AE296">
        <f>VLOOKUP(A296,'Employee Engagement Survey'!A82:B1551,2,FALSE)</f>
        <v>2</v>
      </c>
      <c r="AF296">
        <f>VLOOKUP(A296,'Employee Engagement Survey'!A82:C1551,3,FALSE)</f>
        <v>1</v>
      </c>
      <c r="AG296">
        <f>VLOOKUP(A296,'Employee Engagement Survey'!A82:D1551,4,FALSE)</f>
        <v>4</v>
      </c>
      <c r="AH296">
        <f>VLOOKUP(A296,'Employee Engagement Survey'!A82:E1551,5,FALSE)</f>
        <v>2</v>
      </c>
      <c r="AI296">
        <f t="shared" si="27"/>
        <v>2.25</v>
      </c>
    </row>
    <row r="297" spans="1:35" hidden="1" x14ac:dyDescent="0.4">
      <c r="A297">
        <v>94</v>
      </c>
      <c r="B297" t="s">
        <v>34</v>
      </c>
      <c r="C297">
        <f t="shared" si="25"/>
        <v>1</v>
      </c>
      <c r="D297" t="s">
        <v>27</v>
      </c>
      <c r="E297">
        <f t="shared" si="26"/>
        <v>0</v>
      </c>
      <c r="F297" t="s">
        <v>28</v>
      </c>
      <c r="G297">
        <v>5</v>
      </c>
      <c r="H297" s="1">
        <v>56436</v>
      </c>
      <c r="I297" s="10">
        <v>0.23</v>
      </c>
      <c r="J297">
        <v>37.5</v>
      </c>
      <c r="K297" t="s">
        <v>34</v>
      </c>
      <c r="L297">
        <v>29</v>
      </c>
      <c r="M297" t="s">
        <v>29</v>
      </c>
      <c r="N297" t="s">
        <v>42</v>
      </c>
      <c r="O297" t="s">
        <v>31</v>
      </c>
      <c r="P297">
        <v>2</v>
      </c>
      <c r="Q297" t="s">
        <v>43</v>
      </c>
      <c r="R297" t="s">
        <v>37</v>
      </c>
      <c r="S297">
        <v>4</v>
      </c>
      <c r="T297">
        <v>1</v>
      </c>
      <c r="U297">
        <v>6</v>
      </c>
      <c r="V297">
        <v>3</v>
      </c>
      <c r="W297">
        <v>5</v>
      </c>
      <c r="X297">
        <v>4</v>
      </c>
      <c r="Y297">
        <v>0</v>
      </c>
      <c r="Z297">
        <v>4</v>
      </c>
      <c r="AA297" t="str">
        <f t="shared" si="28"/>
        <v>Mid Tenure</v>
      </c>
      <c r="AB297" s="5">
        <v>44917</v>
      </c>
      <c r="AC297">
        <f t="shared" si="29"/>
        <v>0</v>
      </c>
      <c r="AD297" t="s">
        <v>38</v>
      </c>
      <c r="AE297">
        <f>VLOOKUP(A297,'Employee Engagement Survey'!A84:B1553,2,FALSE)</f>
        <v>3</v>
      </c>
      <c r="AF297">
        <f>VLOOKUP(A297,'Employee Engagement Survey'!A84:C1553,3,FALSE)</f>
        <v>2</v>
      </c>
      <c r="AG297">
        <f>VLOOKUP(A297,'Employee Engagement Survey'!A84:D1553,4,FALSE)</f>
        <v>4</v>
      </c>
      <c r="AH297">
        <f>VLOOKUP(A297,'Employee Engagement Survey'!A84:E1553,5,FALSE)</f>
        <v>3</v>
      </c>
      <c r="AI297">
        <f t="shared" si="27"/>
        <v>3</v>
      </c>
    </row>
    <row r="298" spans="1:35" hidden="1" x14ac:dyDescent="0.4">
      <c r="A298">
        <v>95</v>
      </c>
      <c r="B298" t="s">
        <v>34</v>
      </c>
      <c r="C298">
        <f t="shared" si="25"/>
        <v>1</v>
      </c>
      <c r="D298" t="s">
        <v>27</v>
      </c>
      <c r="E298">
        <f t="shared" si="26"/>
        <v>0</v>
      </c>
      <c r="F298" t="s">
        <v>28</v>
      </c>
      <c r="G298">
        <v>4</v>
      </c>
      <c r="H298" s="1">
        <v>54012</v>
      </c>
      <c r="I298" s="10">
        <v>0.17</v>
      </c>
      <c r="J298">
        <v>37.5</v>
      </c>
      <c r="K298" t="s">
        <v>34</v>
      </c>
      <c r="L298">
        <v>31</v>
      </c>
      <c r="M298" t="s">
        <v>29</v>
      </c>
      <c r="N298" t="s">
        <v>30</v>
      </c>
      <c r="O298" t="s">
        <v>31</v>
      </c>
      <c r="P298">
        <v>1</v>
      </c>
      <c r="Q298" t="s">
        <v>51</v>
      </c>
      <c r="R298" t="s">
        <v>33</v>
      </c>
      <c r="S298">
        <v>3</v>
      </c>
      <c r="T298">
        <v>0</v>
      </c>
      <c r="U298">
        <v>1</v>
      </c>
      <c r="V298">
        <v>4</v>
      </c>
      <c r="W298">
        <v>1</v>
      </c>
      <c r="X298">
        <v>1</v>
      </c>
      <c r="Y298">
        <v>1</v>
      </c>
      <c r="Z298">
        <v>0</v>
      </c>
      <c r="AA298" t="str">
        <f t="shared" si="28"/>
        <v>Early Tenure</v>
      </c>
      <c r="AB298" s="5">
        <v>45017</v>
      </c>
      <c r="AC298">
        <f t="shared" si="29"/>
        <v>0</v>
      </c>
      <c r="AD298" t="s">
        <v>49</v>
      </c>
      <c r="AE298">
        <f>VLOOKUP(A298,'Employee Engagement Survey'!A85:B1554,2,FALSE)</f>
        <v>3</v>
      </c>
      <c r="AF298">
        <f>VLOOKUP(A298,'Employee Engagement Survey'!A85:C1554,3,FALSE)</f>
        <v>2</v>
      </c>
      <c r="AG298">
        <f>VLOOKUP(A298,'Employee Engagement Survey'!A85:D1554,4,FALSE)</f>
        <v>2</v>
      </c>
      <c r="AH298">
        <f>VLOOKUP(A298,'Employee Engagement Survey'!A85:E1554,5,FALSE)</f>
        <v>3</v>
      </c>
      <c r="AI298">
        <f t="shared" si="27"/>
        <v>2.5</v>
      </c>
    </row>
    <row r="299" spans="1:35" hidden="1" x14ac:dyDescent="0.4">
      <c r="A299">
        <v>96</v>
      </c>
      <c r="B299" t="s">
        <v>34</v>
      </c>
      <c r="C299">
        <f t="shared" si="25"/>
        <v>1</v>
      </c>
      <c r="D299" t="s">
        <v>27</v>
      </c>
      <c r="E299">
        <f t="shared" si="26"/>
        <v>0</v>
      </c>
      <c r="F299" t="s">
        <v>28</v>
      </c>
      <c r="G299">
        <v>8</v>
      </c>
      <c r="H299" s="1">
        <v>86640</v>
      </c>
      <c r="I299" s="10">
        <v>0.17</v>
      </c>
      <c r="J299">
        <v>37.5</v>
      </c>
      <c r="K299" t="s">
        <v>34</v>
      </c>
      <c r="L299">
        <v>32</v>
      </c>
      <c r="M299" t="s">
        <v>29</v>
      </c>
      <c r="N299" t="s">
        <v>42</v>
      </c>
      <c r="O299" t="s">
        <v>31</v>
      </c>
      <c r="P299">
        <v>1</v>
      </c>
      <c r="Q299" t="s">
        <v>43</v>
      </c>
      <c r="R299" t="s">
        <v>37</v>
      </c>
      <c r="S299">
        <v>3</v>
      </c>
      <c r="T299">
        <v>2</v>
      </c>
      <c r="U299">
        <v>10</v>
      </c>
      <c r="V299">
        <v>3</v>
      </c>
      <c r="W299">
        <v>10</v>
      </c>
      <c r="X299">
        <v>4</v>
      </c>
      <c r="Y299">
        <v>0</v>
      </c>
      <c r="Z299">
        <v>9</v>
      </c>
      <c r="AA299" t="str">
        <f t="shared" si="28"/>
        <v>Long Tenure</v>
      </c>
      <c r="AB299" s="5">
        <v>44861</v>
      </c>
      <c r="AC299">
        <f t="shared" si="29"/>
        <v>0</v>
      </c>
      <c r="AD299" t="s">
        <v>49</v>
      </c>
      <c r="AE299">
        <f>VLOOKUP(A299,'Employee Engagement Survey'!A87:B1556,2,FALSE)</f>
        <v>2</v>
      </c>
      <c r="AF299">
        <f>VLOOKUP(A299,'Employee Engagement Survey'!A87:C1556,3,FALSE)</f>
        <v>2</v>
      </c>
      <c r="AG299">
        <f>VLOOKUP(A299,'Employee Engagement Survey'!A87:D1556,4,FALSE)</f>
        <v>2</v>
      </c>
      <c r="AH299">
        <f>VLOOKUP(A299,'Employee Engagement Survey'!A87:E1556,5,FALSE)</f>
        <v>3</v>
      </c>
      <c r="AI299">
        <f t="shared" si="27"/>
        <v>2.25</v>
      </c>
    </row>
    <row r="300" spans="1:35" hidden="1" x14ac:dyDescent="0.4">
      <c r="A300">
        <v>1937</v>
      </c>
      <c r="B300" t="s">
        <v>34</v>
      </c>
      <c r="C300">
        <f t="shared" si="25"/>
        <v>1</v>
      </c>
      <c r="D300" t="s">
        <v>27</v>
      </c>
      <c r="E300">
        <f t="shared" si="26"/>
        <v>0</v>
      </c>
      <c r="F300" t="s">
        <v>28</v>
      </c>
      <c r="G300">
        <v>3</v>
      </c>
      <c r="H300" s="1">
        <v>49596</v>
      </c>
      <c r="I300" s="10">
        <v>0.16</v>
      </c>
      <c r="J300">
        <v>37.5</v>
      </c>
      <c r="K300" t="s">
        <v>26</v>
      </c>
      <c r="L300">
        <v>38</v>
      </c>
      <c r="M300" t="s">
        <v>47</v>
      </c>
      <c r="N300" t="s">
        <v>48</v>
      </c>
      <c r="O300" t="s">
        <v>44</v>
      </c>
      <c r="P300">
        <v>8</v>
      </c>
      <c r="Q300" t="s">
        <v>43</v>
      </c>
      <c r="R300" t="s">
        <v>33</v>
      </c>
      <c r="S300">
        <v>3</v>
      </c>
      <c r="T300">
        <v>1</v>
      </c>
      <c r="U300">
        <v>20</v>
      </c>
      <c r="V300">
        <v>3</v>
      </c>
      <c r="W300">
        <v>20</v>
      </c>
      <c r="X300">
        <v>11</v>
      </c>
      <c r="Y300">
        <v>0</v>
      </c>
      <c r="Z300">
        <v>7</v>
      </c>
      <c r="AA300" t="str">
        <f t="shared" si="28"/>
        <v>Long Tenure</v>
      </c>
      <c r="AB300" s="5">
        <v>45974</v>
      </c>
      <c r="AC300">
        <f t="shared" si="29"/>
        <v>1</v>
      </c>
      <c r="AD300" t="s">
        <v>38</v>
      </c>
      <c r="AE300">
        <f>VLOOKUP(A300,'Employee Engagement Survey'!A88:B1557,2,FALSE)</f>
        <v>4</v>
      </c>
      <c r="AF300">
        <f>VLOOKUP(A300,'Employee Engagement Survey'!A88:C1557,3,FALSE)</f>
        <v>2</v>
      </c>
      <c r="AG300">
        <f>VLOOKUP(A300,'Employee Engagement Survey'!A88:D1557,4,FALSE)</f>
        <v>3</v>
      </c>
      <c r="AH300">
        <f>VLOOKUP(A300,'Employee Engagement Survey'!A88:E1557,5,FALSE)</f>
        <v>3</v>
      </c>
      <c r="AI300">
        <f t="shared" si="27"/>
        <v>3</v>
      </c>
    </row>
    <row r="301" spans="1:35" hidden="1" x14ac:dyDescent="0.4">
      <c r="A301">
        <v>100</v>
      </c>
      <c r="B301" t="s">
        <v>34</v>
      </c>
      <c r="C301">
        <f t="shared" si="25"/>
        <v>1</v>
      </c>
      <c r="D301" t="s">
        <v>57</v>
      </c>
      <c r="E301">
        <f t="shared" si="26"/>
        <v>0</v>
      </c>
      <c r="F301" t="s">
        <v>40</v>
      </c>
      <c r="G301">
        <v>6</v>
      </c>
      <c r="H301" s="1">
        <v>63744</v>
      </c>
      <c r="I301" s="10">
        <v>0.14000000000000001</v>
      </c>
      <c r="J301">
        <v>37.5</v>
      </c>
      <c r="K301" t="s">
        <v>34</v>
      </c>
      <c r="L301">
        <v>35</v>
      </c>
      <c r="M301" t="s">
        <v>29</v>
      </c>
      <c r="N301" t="s">
        <v>30</v>
      </c>
      <c r="O301" t="s">
        <v>31</v>
      </c>
      <c r="P301">
        <v>1</v>
      </c>
      <c r="Q301" t="s">
        <v>51</v>
      </c>
      <c r="R301" t="s">
        <v>56</v>
      </c>
      <c r="S301">
        <v>3</v>
      </c>
      <c r="T301">
        <v>0</v>
      </c>
      <c r="U301">
        <v>16</v>
      </c>
      <c r="V301">
        <v>2</v>
      </c>
      <c r="W301">
        <v>15</v>
      </c>
      <c r="X301">
        <v>13</v>
      </c>
      <c r="Y301">
        <v>2</v>
      </c>
      <c r="Z301">
        <v>8</v>
      </c>
      <c r="AA301" t="str">
        <f t="shared" si="28"/>
        <v>Long Tenure</v>
      </c>
      <c r="AB301" s="5">
        <v>45153</v>
      </c>
      <c r="AC301">
        <f t="shared" si="29"/>
        <v>0</v>
      </c>
      <c r="AD301" t="s">
        <v>49</v>
      </c>
      <c r="AE301">
        <f>VLOOKUP(A301,'Employee Engagement Survey'!A89:B1558,2,FALSE)</f>
        <v>3</v>
      </c>
      <c r="AF301">
        <f>VLOOKUP(A301,'Employee Engagement Survey'!A89:C1558,3,FALSE)</f>
        <v>1</v>
      </c>
      <c r="AG301">
        <f>VLOOKUP(A301,'Employee Engagement Survey'!A89:D1558,4,FALSE)</f>
        <v>2</v>
      </c>
      <c r="AH301">
        <f>VLOOKUP(A301,'Employee Engagement Survey'!A89:E1558,5,FALSE)</f>
        <v>3</v>
      </c>
      <c r="AI301">
        <f t="shared" si="27"/>
        <v>2.25</v>
      </c>
    </row>
    <row r="302" spans="1:35" x14ac:dyDescent="0.4">
      <c r="A302">
        <v>101</v>
      </c>
      <c r="B302" t="s">
        <v>34</v>
      </c>
      <c r="C302">
        <f t="shared" si="25"/>
        <v>1</v>
      </c>
      <c r="D302" t="s">
        <v>60</v>
      </c>
      <c r="E302">
        <f t="shared" si="26"/>
        <v>1</v>
      </c>
      <c r="F302" t="s">
        <v>28</v>
      </c>
      <c r="G302">
        <v>10</v>
      </c>
      <c r="H302" s="1">
        <v>170940</v>
      </c>
      <c r="I302" s="10">
        <v>0.14000000000000001</v>
      </c>
      <c r="J302">
        <v>37.5</v>
      </c>
      <c r="K302" t="s">
        <v>26</v>
      </c>
      <c r="L302">
        <v>45</v>
      </c>
      <c r="M302" t="s">
        <v>29</v>
      </c>
      <c r="N302" t="s">
        <v>42</v>
      </c>
      <c r="O302" t="s">
        <v>31</v>
      </c>
      <c r="P302">
        <v>6</v>
      </c>
      <c r="Q302" t="s">
        <v>51</v>
      </c>
      <c r="R302" t="s">
        <v>53</v>
      </c>
      <c r="S302">
        <v>3</v>
      </c>
      <c r="T302">
        <v>0</v>
      </c>
      <c r="U302">
        <v>17</v>
      </c>
      <c r="V302">
        <v>3</v>
      </c>
      <c r="W302">
        <v>0</v>
      </c>
      <c r="X302">
        <v>0</v>
      </c>
      <c r="Y302">
        <v>0</v>
      </c>
      <c r="Z302">
        <v>0</v>
      </c>
      <c r="AA302" t="str">
        <f t="shared" si="28"/>
        <v>Early Tenure</v>
      </c>
      <c r="AB302" s="5">
        <v>45408</v>
      </c>
      <c r="AC302">
        <f t="shared" si="29"/>
        <v>1</v>
      </c>
      <c r="AD302" t="s">
        <v>38</v>
      </c>
      <c r="AE302">
        <f>VLOOKUP(A302,'Employee Engagement Survey'!A90:B1559,2,FALSE)</f>
        <v>4</v>
      </c>
      <c r="AF302">
        <f>VLOOKUP(A302,'Employee Engagement Survey'!A90:C1559,3,FALSE)</f>
        <v>1</v>
      </c>
      <c r="AG302">
        <f>VLOOKUP(A302,'Employee Engagement Survey'!A90:D1559,4,FALSE)</f>
        <v>2</v>
      </c>
      <c r="AH302">
        <f>VLOOKUP(A302,'Employee Engagement Survey'!A90:E1559,5,FALSE)</f>
        <v>4</v>
      </c>
      <c r="AI302">
        <f t="shared" si="27"/>
        <v>2.75</v>
      </c>
    </row>
    <row r="303" spans="1:35" hidden="1" x14ac:dyDescent="0.4">
      <c r="A303">
        <v>102</v>
      </c>
      <c r="B303" t="s">
        <v>34</v>
      </c>
      <c r="C303">
        <f t="shared" si="25"/>
        <v>1</v>
      </c>
      <c r="D303" t="s">
        <v>60</v>
      </c>
      <c r="E303">
        <f t="shared" si="26"/>
        <v>1</v>
      </c>
      <c r="F303" t="s">
        <v>28</v>
      </c>
      <c r="G303">
        <v>3</v>
      </c>
      <c r="H303" s="1">
        <v>175968</v>
      </c>
      <c r="I303" s="10">
        <v>0.13</v>
      </c>
      <c r="J303">
        <v>37.5</v>
      </c>
      <c r="K303" t="s">
        <v>34</v>
      </c>
      <c r="L303">
        <v>37</v>
      </c>
      <c r="M303" t="s">
        <v>29</v>
      </c>
      <c r="N303" t="s">
        <v>30</v>
      </c>
      <c r="O303" t="s">
        <v>31</v>
      </c>
      <c r="P303">
        <v>7</v>
      </c>
      <c r="Q303" t="s">
        <v>51</v>
      </c>
      <c r="R303" t="s">
        <v>33</v>
      </c>
      <c r="S303">
        <v>3</v>
      </c>
      <c r="T303">
        <v>0</v>
      </c>
      <c r="U303">
        <v>16</v>
      </c>
      <c r="V303">
        <v>3</v>
      </c>
      <c r="W303">
        <v>5</v>
      </c>
      <c r="X303">
        <v>2</v>
      </c>
      <c r="Y303">
        <v>0</v>
      </c>
      <c r="Z303">
        <v>2</v>
      </c>
      <c r="AA303" t="str">
        <f t="shared" si="28"/>
        <v>Mid Tenure</v>
      </c>
      <c r="AB303" s="5">
        <v>45918</v>
      </c>
      <c r="AC303">
        <f t="shared" si="29"/>
        <v>1</v>
      </c>
      <c r="AD303" t="s">
        <v>49</v>
      </c>
      <c r="AE303">
        <f>VLOOKUP(A303,'Employee Engagement Survey'!A91:B1560,2,FALSE)</f>
        <v>1</v>
      </c>
      <c r="AF303">
        <f>VLOOKUP(A303,'Employee Engagement Survey'!A91:C1560,3,FALSE)</f>
        <v>3</v>
      </c>
      <c r="AG303">
        <f>VLOOKUP(A303,'Employee Engagement Survey'!A91:D1560,4,FALSE)</f>
        <v>1</v>
      </c>
      <c r="AH303">
        <f>VLOOKUP(A303,'Employee Engagement Survey'!A91:E1560,5,FALSE)</f>
        <v>4</v>
      </c>
      <c r="AI303">
        <f t="shared" si="27"/>
        <v>2.25</v>
      </c>
    </row>
    <row r="304" spans="1:35" hidden="1" x14ac:dyDescent="0.4">
      <c r="A304">
        <v>103</v>
      </c>
      <c r="B304" t="s">
        <v>34</v>
      </c>
      <c r="C304">
        <f t="shared" si="25"/>
        <v>1</v>
      </c>
      <c r="D304" t="s">
        <v>105</v>
      </c>
      <c r="E304">
        <f t="shared" si="26"/>
        <v>0</v>
      </c>
      <c r="F304" t="s">
        <v>59</v>
      </c>
      <c r="G304">
        <v>7</v>
      </c>
      <c r="H304" s="1">
        <v>72252</v>
      </c>
      <c r="I304" s="10">
        <v>0.22</v>
      </c>
      <c r="J304">
        <v>37.5</v>
      </c>
      <c r="K304" t="s">
        <v>26</v>
      </c>
      <c r="L304">
        <v>46</v>
      </c>
      <c r="M304" t="s">
        <v>29</v>
      </c>
      <c r="N304" t="s">
        <v>48</v>
      </c>
      <c r="O304" t="s">
        <v>31</v>
      </c>
      <c r="P304">
        <v>5</v>
      </c>
      <c r="Q304" t="s">
        <v>36</v>
      </c>
      <c r="R304" t="s">
        <v>33</v>
      </c>
      <c r="S304">
        <v>4</v>
      </c>
      <c r="T304">
        <v>1</v>
      </c>
      <c r="U304">
        <v>16</v>
      </c>
      <c r="V304">
        <v>2</v>
      </c>
      <c r="W304">
        <v>4</v>
      </c>
      <c r="X304">
        <v>2</v>
      </c>
      <c r="Y304">
        <v>0</v>
      </c>
      <c r="Z304">
        <v>2</v>
      </c>
      <c r="AA304" t="str">
        <f t="shared" si="28"/>
        <v>Mid Tenure</v>
      </c>
      <c r="AB304" s="5">
        <v>45438</v>
      </c>
      <c r="AC304">
        <f t="shared" si="29"/>
        <v>1</v>
      </c>
      <c r="AD304" t="s">
        <v>49</v>
      </c>
      <c r="AE304">
        <f>VLOOKUP(A304,'Employee Engagement Survey'!A92:B1561,2,FALSE)</f>
        <v>2</v>
      </c>
      <c r="AF304">
        <f>VLOOKUP(A304,'Employee Engagement Survey'!A92:C1561,3,FALSE)</f>
        <v>2</v>
      </c>
      <c r="AG304">
        <f>VLOOKUP(A304,'Employee Engagement Survey'!A92:D1561,4,FALSE)</f>
        <v>4</v>
      </c>
      <c r="AH304">
        <f>VLOOKUP(A304,'Employee Engagement Survey'!A92:E1561,5,FALSE)</f>
        <v>3</v>
      </c>
      <c r="AI304">
        <f t="shared" si="27"/>
        <v>2.75</v>
      </c>
    </row>
    <row r="305" spans="1:35" hidden="1" x14ac:dyDescent="0.4">
      <c r="A305">
        <v>286</v>
      </c>
      <c r="B305" t="s">
        <v>34</v>
      </c>
      <c r="C305">
        <f t="shared" si="25"/>
        <v>1</v>
      </c>
      <c r="D305" t="s">
        <v>46</v>
      </c>
      <c r="E305">
        <f t="shared" si="26"/>
        <v>0</v>
      </c>
      <c r="F305" t="s">
        <v>28</v>
      </c>
      <c r="G305">
        <v>3</v>
      </c>
      <c r="H305" s="1">
        <v>49836</v>
      </c>
      <c r="I305" s="10">
        <v>0.13</v>
      </c>
      <c r="J305">
        <v>37.5</v>
      </c>
      <c r="K305" t="s">
        <v>34</v>
      </c>
      <c r="L305">
        <v>36</v>
      </c>
      <c r="M305" t="s">
        <v>47</v>
      </c>
      <c r="N305" t="s">
        <v>30</v>
      </c>
      <c r="O305" t="s">
        <v>44</v>
      </c>
      <c r="P305">
        <v>18</v>
      </c>
      <c r="Q305" t="s">
        <v>32</v>
      </c>
      <c r="R305" t="s">
        <v>33</v>
      </c>
      <c r="S305">
        <v>3</v>
      </c>
      <c r="T305">
        <v>0</v>
      </c>
      <c r="U305">
        <v>8</v>
      </c>
      <c r="V305">
        <v>2</v>
      </c>
      <c r="W305">
        <v>8</v>
      </c>
      <c r="X305">
        <v>1</v>
      </c>
      <c r="Y305">
        <v>1</v>
      </c>
      <c r="Z305">
        <v>7</v>
      </c>
      <c r="AA305" t="str">
        <f t="shared" si="28"/>
        <v>Mid Tenure</v>
      </c>
      <c r="AB305" s="5">
        <v>45222</v>
      </c>
      <c r="AC305">
        <f t="shared" si="29"/>
        <v>0</v>
      </c>
      <c r="AD305" t="s">
        <v>38</v>
      </c>
      <c r="AE305">
        <f>VLOOKUP(A305,'Employee Engagement Survey'!A94:B1563,2,FALSE)</f>
        <v>2</v>
      </c>
      <c r="AF305">
        <f>VLOOKUP(A305,'Employee Engagement Survey'!A94:C1563,3,FALSE)</f>
        <v>4</v>
      </c>
      <c r="AG305">
        <f>VLOOKUP(A305,'Employee Engagement Survey'!A94:D1563,4,FALSE)</f>
        <v>1</v>
      </c>
      <c r="AH305">
        <f>VLOOKUP(A305,'Employee Engagement Survey'!A94:E1563,5,FALSE)</f>
        <v>3</v>
      </c>
      <c r="AI305">
        <f t="shared" si="27"/>
        <v>2.5</v>
      </c>
    </row>
    <row r="306" spans="1:35" hidden="1" x14ac:dyDescent="0.4">
      <c r="A306">
        <v>104</v>
      </c>
      <c r="B306" t="s">
        <v>34</v>
      </c>
      <c r="C306">
        <f t="shared" ref="C306:C369" si="30">IF(B306="No",1,0)</f>
        <v>1</v>
      </c>
      <c r="D306" t="s">
        <v>46</v>
      </c>
      <c r="E306">
        <f t="shared" si="26"/>
        <v>0</v>
      </c>
      <c r="F306" t="s">
        <v>28</v>
      </c>
      <c r="G306">
        <v>7</v>
      </c>
      <c r="H306" s="1">
        <v>73512</v>
      </c>
      <c r="I306" s="10">
        <v>0.12</v>
      </c>
      <c r="J306">
        <v>37.5</v>
      </c>
      <c r="K306" t="s">
        <v>26</v>
      </c>
      <c r="L306">
        <v>30</v>
      </c>
      <c r="M306" t="s">
        <v>29</v>
      </c>
      <c r="N306" t="s">
        <v>42</v>
      </c>
      <c r="O306" t="s">
        <v>31</v>
      </c>
      <c r="P306">
        <v>1</v>
      </c>
      <c r="Q306" t="s">
        <v>32</v>
      </c>
      <c r="R306" t="s">
        <v>37</v>
      </c>
      <c r="S306">
        <v>3</v>
      </c>
      <c r="T306">
        <v>2</v>
      </c>
      <c r="U306">
        <v>10</v>
      </c>
      <c r="V306">
        <v>1</v>
      </c>
      <c r="W306">
        <v>10</v>
      </c>
      <c r="X306">
        <v>8</v>
      </c>
      <c r="Y306">
        <v>3</v>
      </c>
      <c r="Z306">
        <v>0</v>
      </c>
      <c r="AA306" t="str">
        <f t="shared" si="28"/>
        <v>Long Tenure</v>
      </c>
      <c r="AB306" s="5">
        <v>45501</v>
      </c>
      <c r="AC306">
        <f t="shared" si="29"/>
        <v>1</v>
      </c>
      <c r="AD306" t="s">
        <v>38</v>
      </c>
      <c r="AE306">
        <f>VLOOKUP(A306,'Employee Engagement Survey'!A95:B1564,2,FALSE)</f>
        <v>4</v>
      </c>
      <c r="AF306">
        <f>VLOOKUP(A306,'Employee Engagement Survey'!A95:C1564,3,FALSE)</f>
        <v>4</v>
      </c>
      <c r="AG306">
        <f>VLOOKUP(A306,'Employee Engagement Survey'!A95:D1564,4,FALSE)</f>
        <v>3</v>
      </c>
      <c r="AH306">
        <f>VLOOKUP(A306,'Employee Engagement Survey'!A95:E1564,5,FALSE)</f>
        <v>2</v>
      </c>
      <c r="AI306">
        <f t="shared" si="27"/>
        <v>3.25</v>
      </c>
    </row>
    <row r="307" spans="1:35" hidden="1" x14ac:dyDescent="0.4">
      <c r="A307">
        <v>974</v>
      </c>
      <c r="B307" t="s">
        <v>34</v>
      </c>
      <c r="C307">
        <f t="shared" si="30"/>
        <v>1</v>
      </c>
      <c r="D307" t="s">
        <v>39</v>
      </c>
      <c r="E307">
        <f t="shared" si="26"/>
        <v>0</v>
      </c>
      <c r="F307" t="s">
        <v>40</v>
      </c>
      <c r="G307">
        <v>3</v>
      </c>
      <c r="H307" s="1">
        <v>49884</v>
      </c>
      <c r="I307" s="10">
        <v>0.15</v>
      </c>
      <c r="J307">
        <v>37.5</v>
      </c>
      <c r="K307" t="s">
        <v>34</v>
      </c>
      <c r="L307">
        <v>29</v>
      </c>
      <c r="M307" t="s">
        <v>47</v>
      </c>
      <c r="N307" t="s">
        <v>42</v>
      </c>
      <c r="O307" t="s">
        <v>44</v>
      </c>
      <c r="P307">
        <v>20</v>
      </c>
      <c r="Q307" t="s">
        <v>43</v>
      </c>
      <c r="R307" t="s">
        <v>45</v>
      </c>
      <c r="S307">
        <v>3</v>
      </c>
      <c r="T307">
        <v>1</v>
      </c>
      <c r="U307">
        <v>3</v>
      </c>
      <c r="V307">
        <v>5</v>
      </c>
      <c r="W307">
        <v>3</v>
      </c>
      <c r="X307">
        <v>1</v>
      </c>
      <c r="Y307">
        <v>0</v>
      </c>
      <c r="Z307">
        <v>2</v>
      </c>
      <c r="AA307" t="str">
        <f t="shared" si="28"/>
        <v>Mid Tenure</v>
      </c>
      <c r="AB307" s="5">
        <v>45643</v>
      </c>
      <c r="AC307">
        <f t="shared" si="29"/>
        <v>1</v>
      </c>
      <c r="AD307" t="s">
        <v>38</v>
      </c>
      <c r="AE307">
        <f>VLOOKUP(A307,'Employee Engagement Survey'!A96:B1565,2,FALSE)</f>
        <v>3</v>
      </c>
      <c r="AF307">
        <f>VLOOKUP(A307,'Employee Engagement Survey'!A96:C1565,3,FALSE)</f>
        <v>4</v>
      </c>
      <c r="AG307">
        <f>VLOOKUP(A307,'Employee Engagement Survey'!A96:D1565,4,FALSE)</f>
        <v>2</v>
      </c>
      <c r="AH307">
        <f>VLOOKUP(A307,'Employee Engagement Survey'!A96:E1565,5,FALSE)</f>
        <v>3</v>
      </c>
      <c r="AI307">
        <f t="shared" si="27"/>
        <v>3</v>
      </c>
    </row>
    <row r="308" spans="1:35" hidden="1" x14ac:dyDescent="0.4">
      <c r="A308">
        <v>105</v>
      </c>
      <c r="B308" t="s">
        <v>34</v>
      </c>
      <c r="C308">
        <f t="shared" si="30"/>
        <v>1</v>
      </c>
      <c r="D308" t="s">
        <v>27</v>
      </c>
      <c r="E308">
        <f t="shared" si="26"/>
        <v>0</v>
      </c>
      <c r="F308" t="s">
        <v>28</v>
      </c>
      <c r="G308">
        <v>5</v>
      </c>
      <c r="H308" s="1">
        <v>58308</v>
      </c>
      <c r="I308" s="10">
        <v>0.18</v>
      </c>
      <c r="J308">
        <v>37.5</v>
      </c>
      <c r="K308" t="s">
        <v>34</v>
      </c>
      <c r="L308">
        <v>35</v>
      </c>
      <c r="M308" t="s">
        <v>29</v>
      </c>
      <c r="N308" t="s">
        <v>30</v>
      </c>
      <c r="O308" t="s">
        <v>31</v>
      </c>
      <c r="P308">
        <v>1</v>
      </c>
      <c r="Q308" t="s">
        <v>43</v>
      </c>
      <c r="R308" t="s">
        <v>33</v>
      </c>
      <c r="S308">
        <v>3</v>
      </c>
      <c r="T308">
        <v>0</v>
      </c>
      <c r="U308">
        <v>6</v>
      </c>
      <c r="V308">
        <v>3</v>
      </c>
      <c r="W308">
        <v>6</v>
      </c>
      <c r="X308">
        <v>4</v>
      </c>
      <c r="Y308">
        <v>0</v>
      </c>
      <c r="Z308">
        <v>4</v>
      </c>
      <c r="AA308" t="str">
        <f t="shared" si="28"/>
        <v>Mid Tenure</v>
      </c>
      <c r="AB308" s="5">
        <v>44659</v>
      </c>
      <c r="AC308">
        <f t="shared" si="29"/>
        <v>0</v>
      </c>
      <c r="AD308" t="s">
        <v>49</v>
      </c>
      <c r="AE308">
        <f>VLOOKUP(A308,'Employee Engagement Survey'!A97:B1566,2,FALSE)</f>
        <v>2</v>
      </c>
      <c r="AF308">
        <f>VLOOKUP(A308,'Employee Engagement Survey'!A97:C1566,3,FALSE)</f>
        <v>3</v>
      </c>
      <c r="AG308">
        <f>VLOOKUP(A308,'Employee Engagement Survey'!A97:D1566,4,FALSE)</f>
        <v>1</v>
      </c>
      <c r="AH308">
        <f>VLOOKUP(A308,'Employee Engagement Survey'!A97:E1566,5,FALSE)</f>
        <v>3</v>
      </c>
      <c r="AI308">
        <f t="shared" si="27"/>
        <v>2.25</v>
      </c>
    </row>
    <row r="309" spans="1:35" hidden="1" x14ac:dyDescent="0.4">
      <c r="A309">
        <v>1202</v>
      </c>
      <c r="B309" t="s">
        <v>34</v>
      </c>
      <c r="C309">
        <f t="shared" si="30"/>
        <v>1</v>
      </c>
      <c r="D309" t="s">
        <v>27</v>
      </c>
      <c r="E309">
        <f t="shared" si="26"/>
        <v>0</v>
      </c>
      <c r="F309" t="s">
        <v>28</v>
      </c>
      <c r="G309">
        <v>4</v>
      </c>
      <c r="H309" s="1">
        <v>50016</v>
      </c>
      <c r="I309" s="10">
        <v>0.18</v>
      </c>
      <c r="J309">
        <v>37.5</v>
      </c>
      <c r="K309" t="s">
        <v>26</v>
      </c>
      <c r="L309">
        <v>29</v>
      </c>
      <c r="M309" t="s">
        <v>47</v>
      </c>
      <c r="N309" t="s">
        <v>42</v>
      </c>
      <c r="O309" t="s">
        <v>31</v>
      </c>
      <c r="P309">
        <v>15</v>
      </c>
      <c r="Q309" t="s">
        <v>32</v>
      </c>
      <c r="R309" t="s">
        <v>37</v>
      </c>
      <c r="S309">
        <v>3</v>
      </c>
      <c r="T309">
        <v>1</v>
      </c>
      <c r="U309">
        <v>6</v>
      </c>
      <c r="V309">
        <v>2</v>
      </c>
      <c r="W309">
        <v>5</v>
      </c>
      <c r="X309">
        <v>4</v>
      </c>
      <c r="Y309">
        <v>1</v>
      </c>
      <c r="Z309">
        <v>3</v>
      </c>
      <c r="AA309" t="str">
        <f t="shared" si="28"/>
        <v>Mid Tenure</v>
      </c>
      <c r="AB309" s="5">
        <v>44954</v>
      </c>
      <c r="AC309">
        <f t="shared" si="29"/>
        <v>0</v>
      </c>
      <c r="AD309" t="s">
        <v>38</v>
      </c>
      <c r="AE309">
        <f>VLOOKUP(A309,'Employee Engagement Survey'!A98:B1567,2,FALSE)</f>
        <v>2</v>
      </c>
      <c r="AF309">
        <f>VLOOKUP(A309,'Employee Engagement Survey'!A98:C1567,3,FALSE)</f>
        <v>4</v>
      </c>
      <c r="AG309">
        <f>VLOOKUP(A309,'Employee Engagement Survey'!A98:D1567,4,FALSE)</f>
        <v>1</v>
      </c>
      <c r="AH309">
        <f>VLOOKUP(A309,'Employee Engagement Survey'!A98:E1567,5,FALSE)</f>
        <v>2</v>
      </c>
      <c r="AI309">
        <f t="shared" si="27"/>
        <v>2.25</v>
      </c>
    </row>
    <row r="310" spans="1:35" hidden="1" x14ac:dyDescent="0.4">
      <c r="A310">
        <v>106</v>
      </c>
      <c r="B310" t="s">
        <v>34</v>
      </c>
      <c r="C310">
        <f t="shared" si="30"/>
        <v>1</v>
      </c>
      <c r="D310" t="s">
        <v>57</v>
      </c>
      <c r="E310">
        <f t="shared" si="26"/>
        <v>0</v>
      </c>
      <c r="F310" t="s">
        <v>40</v>
      </c>
      <c r="G310">
        <v>9</v>
      </c>
      <c r="H310" s="1">
        <v>134868</v>
      </c>
      <c r="I310" s="10">
        <v>0.14000000000000001</v>
      </c>
      <c r="J310">
        <v>37.5</v>
      </c>
      <c r="K310" t="s">
        <v>34</v>
      </c>
      <c r="L310">
        <v>55</v>
      </c>
      <c r="M310" t="s">
        <v>29</v>
      </c>
      <c r="N310" t="s">
        <v>42</v>
      </c>
      <c r="O310" t="s">
        <v>31</v>
      </c>
      <c r="P310">
        <v>1</v>
      </c>
      <c r="Q310" t="s">
        <v>36</v>
      </c>
      <c r="R310" t="s">
        <v>37</v>
      </c>
      <c r="S310">
        <v>3</v>
      </c>
      <c r="T310">
        <v>1</v>
      </c>
      <c r="U310">
        <v>24</v>
      </c>
      <c r="V310">
        <v>4</v>
      </c>
      <c r="W310">
        <v>1</v>
      </c>
      <c r="X310">
        <v>0</v>
      </c>
      <c r="Y310">
        <v>1</v>
      </c>
      <c r="Z310">
        <v>0</v>
      </c>
      <c r="AA310" t="str">
        <f t="shared" si="28"/>
        <v>Early Tenure</v>
      </c>
      <c r="AB310" s="5">
        <v>44636</v>
      </c>
      <c r="AC310">
        <f t="shared" si="29"/>
        <v>0</v>
      </c>
      <c r="AD310" t="s">
        <v>49</v>
      </c>
      <c r="AE310">
        <f>VLOOKUP(A310,'Employee Engagement Survey'!A100:B1569,2,FALSE)</f>
        <v>1</v>
      </c>
      <c r="AF310">
        <f>VLOOKUP(A310,'Employee Engagement Survey'!A100:C1569,3,FALSE)</f>
        <v>4</v>
      </c>
      <c r="AG310">
        <f>VLOOKUP(A310,'Employee Engagement Survey'!A100:D1569,4,FALSE)</f>
        <v>4</v>
      </c>
      <c r="AH310">
        <f>VLOOKUP(A310,'Employee Engagement Survey'!A100:E1569,5,FALSE)</f>
        <v>3</v>
      </c>
      <c r="AI310">
        <f t="shared" si="27"/>
        <v>3</v>
      </c>
    </row>
    <row r="311" spans="1:35" hidden="1" x14ac:dyDescent="0.4">
      <c r="A311">
        <v>110</v>
      </c>
      <c r="B311" t="s">
        <v>34</v>
      </c>
      <c r="C311">
        <f t="shared" si="30"/>
        <v>1</v>
      </c>
      <c r="D311" t="s">
        <v>54</v>
      </c>
      <c r="E311">
        <f t="shared" si="26"/>
        <v>1</v>
      </c>
      <c r="F311" t="s">
        <v>28</v>
      </c>
      <c r="G311">
        <v>6</v>
      </c>
      <c r="H311" s="1">
        <v>63900</v>
      </c>
      <c r="I311" s="10">
        <v>0.15</v>
      </c>
      <c r="J311">
        <v>37.5</v>
      </c>
      <c r="K311" t="s">
        <v>34</v>
      </c>
      <c r="L311">
        <v>34</v>
      </c>
      <c r="M311" t="s">
        <v>29</v>
      </c>
      <c r="N311" t="s">
        <v>42</v>
      </c>
      <c r="O311" t="s">
        <v>31</v>
      </c>
      <c r="P311">
        <v>1</v>
      </c>
      <c r="Q311" t="s">
        <v>36</v>
      </c>
      <c r="R311" t="s">
        <v>33</v>
      </c>
      <c r="S311">
        <v>3</v>
      </c>
      <c r="T311">
        <v>0</v>
      </c>
      <c r="U311">
        <v>5</v>
      </c>
      <c r="V311">
        <v>2</v>
      </c>
      <c r="W311">
        <v>5</v>
      </c>
      <c r="X311">
        <v>2</v>
      </c>
      <c r="Y311">
        <v>1</v>
      </c>
      <c r="Z311">
        <v>3</v>
      </c>
      <c r="AA311" t="str">
        <f t="shared" si="28"/>
        <v>Mid Tenure</v>
      </c>
      <c r="AB311" s="5">
        <v>45303</v>
      </c>
      <c r="AC311">
        <f t="shared" si="29"/>
        <v>1</v>
      </c>
      <c r="AD311" t="s">
        <v>38</v>
      </c>
      <c r="AE311">
        <f>VLOOKUP(A311,'Employee Engagement Survey'!A101:B1570,2,FALSE)</f>
        <v>1</v>
      </c>
      <c r="AF311">
        <f>VLOOKUP(A311,'Employee Engagement Survey'!A101:C1570,3,FALSE)</f>
        <v>2</v>
      </c>
      <c r="AG311">
        <f>VLOOKUP(A311,'Employee Engagement Survey'!A101:D1570,4,FALSE)</f>
        <v>3</v>
      </c>
      <c r="AH311">
        <f>VLOOKUP(A311,'Employee Engagement Survey'!A101:E1570,5,FALSE)</f>
        <v>3</v>
      </c>
      <c r="AI311">
        <f t="shared" si="27"/>
        <v>2.25</v>
      </c>
    </row>
    <row r="312" spans="1:35" hidden="1" x14ac:dyDescent="0.4">
      <c r="A312">
        <v>112</v>
      </c>
      <c r="B312" t="s">
        <v>34</v>
      </c>
      <c r="C312">
        <f t="shared" si="30"/>
        <v>1</v>
      </c>
      <c r="D312" t="s">
        <v>54</v>
      </c>
      <c r="E312">
        <f t="shared" si="26"/>
        <v>1</v>
      </c>
      <c r="F312" t="s">
        <v>28</v>
      </c>
      <c r="G312">
        <v>8</v>
      </c>
      <c r="H312" s="1">
        <v>99120</v>
      </c>
      <c r="I312" s="10">
        <v>0.11</v>
      </c>
      <c r="J312">
        <v>37.5</v>
      </c>
      <c r="K312" t="s">
        <v>34</v>
      </c>
      <c r="L312">
        <v>56</v>
      </c>
      <c r="M312" t="s">
        <v>29</v>
      </c>
      <c r="N312" t="s">
        <v>30</v>
      </c>
      <c r="O312" t="s">
        <v>31</v>
      </c>
      <c r="P312">
        <v>7</v>
      </c>
      <c r="Q312" t="s">
        <v>43</v>
      </c>
      <c r="R312" t="s">
        <v>37</v>
      </c>
      <c r="S312">
        <v>3</v>
      </c>
      <c r="T312">
        <v>0</v>
      </c>
      <c r="U312">
        <v>37</v>
      </c>
      <c r="V312">
        <v>3</v>
      </c>
      <c r="W312">
        <v>6</v>
      </c>
      <c r="X312">
        <v>4</v>
      </c>
      <c r="Y312">
        <v>0</v>
      </c>
      <c r="Z312">
        <v>2</v>
      </c>
      <c r="AA312" t="str">
        <f t="shared" si="28"/>
        <v>Mid Tenure</v>
      </c>
      <c r="AB312" s="5">
        <v>45461</v>
      </c>
      <c r="AC312">
        <f t="shared" si="29"/>
        <v>1</v>
      </c>
      <c r="AD312" t="s">
        <v>38</v>
      </c>
      <c r="AE312">
        <f>VLOOKUP(A312,'Employee Engagement Survey'!A102:B1571,2,FALSE)</f>
        <v>4</v>
      </c>
      <c r="AF312">
        <f>VLOOKUP(A312,'Employee Engagement Survey'!A102:C1571,3,FALSE)</f>
        <v>4</v>
      </c>
      <c r="AG312">
        <f>VLOOKUP(A312,'Employee Engagement Survey'!A102:D1571,4,FALSE)</f>
        <v>1</v>
      </c>
      <c r="AH312">
        <f>VLOOKUP(A312,'Employee Engagement Survey'!A102:E1571,5,FALSE)</f>
        <v>2</v>
      </c>
      <c r="AI312">
        <f t="shared" si="27"/>
        <v>2.75</v>
      </c>
    </row>
    <row r="313" spans="1:35" hidden="1" x14ac:dyDescent="0.4">
      <c r="A313">
        <v>655</v>
      </c>
      <c r="B313" t="s">
        <v>34</v>
      </c>
      <c r="C313">
        <f t="shared" si="30"/>
        <v>1</v>
      </c>
      <c r="D313" t="s">
        <v>27</v>
      </c>
      <c r="E313">
        <f t="shared" si="26"/>
        <v>0</v>
      </c>
      <c r="F313" t="s">
        <v>28</v>
      </c>
      <c r="G313">
        <v>4</v>
      </c>
      <c r="H313" s="1">
        <v>50244</v>
      </c>
      <c r="I313" s="10">
        <v>0.12</v>
      </c>
      <c r="J313">
        <v>37.5</v>
      </c>
      <c r="K313" t="s">
        <v>34</v>
      </c>
      <c r="L313">
        <v>27</v>
      </c>
      <c r="M313" t="s">
        <v>47</v>
      </c>
      <c r="N313" t="s">
        <v>48</v>
      </c>
      <c r="O313" t="s">
        <v>31</v>
      </c>
      <c r="P313">
        <v>6</v>
      </c>
      <c r="Q313" t="s">
        <v>51</v>
      </c>
      <c r="R313" t="s">
        <v>33</v>
      </c>
      <c r="S313">
        <v>3</v>
      </c>
      <c r="T313">
        <v>2</v>
      </c>
      <c r="U313">
        <v>6</v>
      </c>
      <c r="V313">
        <v>5</v>
      </c>
      <c r="W313">
        <v>5</v>
      </c>
      <c r="X313">
        <v>3</v>
      </c>
      <c r="Y313">
        <v>0</v>
      </c>
      <c r="Z313">
        <v>3</v>
      </c>
      <c r="AA313" t="str">
        <f t="shared" si="28"/>
        <v>Mid Tenure</v>
      </c>
      <c r="AB313" s="5">
        <v>45351</v>
      </c>
      <c r="AC313">
        <f t="shared" si="29"/>
        <v>1</v>
      </c>
      <c r="AD313" t="s">
        <v>38</v>
      </c>
      <c r="AE313">
        <f>VLOOKUP(A313,'Employee Engagement Survey'!A104:B1573,2,FALSE)</f>
        <v>1</v>
      </c>
      <c r="AF313">
        <f>VLOOKUP(A313,'Employee Engagement Survey'!A104:C1573,3,FALSE)</f>
        <v>3</v>
      </c>
      <c r="AG313">
        <f>VLOOKUP(A313,'Employee Engagement Survey'!A104:D1573,4,FALSE)</f>
        <v>3</v>
      </c>
      <c r="AH313">
        <f>VLOOKUP(A313,'Employee Engagement Survey'!A104:E1573,5,FALSE)</f>
        <v>2</v>
      </c>
      <c r="AI313">
        <f t="shared" si="27"/>
        <v>2.25</v>
      </c>
    </row>
    <row r="314" spans="1:35" hidden="1" x14ac:dyDescent="0.4">
      <c r="A314">
        <v>1987</v>
      </c>
      <c r="B314" t="s">
        <v>34</v>
      </c>
      <c r="C314">
        <f t="shared" si="30"/>
        <v>1</v>
      </c>
      <c r="D314" t="s">
        <v>106</v>
      </c>
      <c r="E314">
        <f t="shared" si="26"/>
        <v>0</v>
      </c>
      <c r="F314" t="s">
        <v>59</v>
      </c>
      <c r="G314">
        <v>4</v>
      </c>
      <c r="H314" s="1">
        <v>50244</v>
      </c>
      <c r="I314" s="10">
        <v>0.14000000000000001</v>
      </c>
      <c r="J314">
        <v>37.5</v>
      </c>
      <c r="K314" t="s">
        <v>34</v>
      </c>
      <c r="L314">
        <v>25</v>
      </c>
      <c r="M314" t="s">
        <v>47</v>
      </c>
      <c r="N314" t="s">
        <v>42</v>
      </c>
      <c r="O314" t="s">
        <v>31</v>
      </c>
      <c r="P314">
        <v>2</v>
      </c>
      <c r="Q314" t="s">
        <v>43</v>
      </c>
      <c r="R314" t="s">
        <v>59</v>
      </c>
      <c r="S314">
        <v>3</v>
      </c>
      <c r="T314">
        <v>0</v>
      </c>
      <c r="U314">
        <v>6</v>
      </c>
      <c r="V314">
        <v>3</v>
      </c>
      <c r="W314">
        <v>2</v>
      </c>
      <c r="X314">
        <v>0</v>
      </c>
      <c r="Y314">
        <v>1</v>
      </c>
      <c r="Z314">
        <v>2</v>
      </c>
      <c r="AA314" t="str">
        <f t="shared" si="28"/>
        <v>Early Tenure</v>
      </c>
      <c r="AB314" s="5">
        <v>45434</v>
      </c>
      <c r="AC314">
        <f t="shared" si="29"/>
        <v>1</v>
      </c>
      <c r="AD314" t="s">
        <v>38</v>
      </c>
      <c r="AE314">
        <f>VLOOKUP(A314,'Employee Engagement Survey'!A105:B1574,2,FALSE)</f>
        <v>3</v>
      </c>
      <c r="AF314">
        <f>VLOOKUP(A314,'Employee Engagement Survey'!A105:C1574,3,FALSE)</f>
        <v>2</v>
      </c>
      <c r="AG314">
        <f>VLOOKUP(A314,'Employee Engagement Survey'!A105:D1574,4,FALSE)</f>
        <v>3</v>
      </c>
      <c r="AH314">
        <f>VLOOKUP(A314,'Employee Engagement Survey'!A105:E1574,5,FALSE)</f>
        <v>3</v>
      </c>
      <c r="AI314">
        <f t="shared" si="27"/>
        <v>2.75</v>
      </c>
    </row>
    <row r="315" spans="1:35" hidden="1" x14ac:dyDescent="0.4">
      <c r="A315">
        <v>113</v>
      </c>
      <c r="B315" t="s">
        <v>34</v>
      </c>
      <c r="C315">
        <f t="shared" si="30"/>
        <v>1</v>
      </c>
      <c r="D315" t="s">
        <v>39</v>
      </c>
      <c r="E315">
        <f t="shared" si="26"/>
        <v>0</v>
      </c>
      <c r="F315" t="s">
        <v>40</v>
      </c>
      <c r="G315">
        <v>4</v>
      </c>
      <c r="H315" s="1">
        <v>51864</v>
      </c>
      <c r="I315" s="10">
        <v>0.13</v>
      </c>
      <c r="J315">
        <v>37.5</v>
      </c>
      <c r="K315" t="s">
        <v>34</v>
      </c>
      <c r="L315">
        <v>23</v>
      </c>
      <c r="M315" t="s">
        <v>29</v>
      </c>
      <c r="N315" t="s">
        <v>48</v>
      </c>
      <c r="O315" t="s">
        <v>31</v>
      </c>
      <c r="P315">
        <v>2</v>
      </c>
      <c r="Q315" t="s">
        <v>32</v>
      </c>
      <c r="R315" t="s">
        <v>45</v>
      </c>
      <c r="S315">
        <v>3</v>
      </c>
      <c r="T315">
        <v>1</v>
      </c>
      <c r="U315">
        <v>3</v>
      </c>
      <c r="V315">
        <v>3</v>
      </c>
      <c r="W315">
        <v>0</v>
      </c>
      <c r="X315">
        <v>0</v>
      </c>
      <c r="Y315">
        <v>0</v>
      </c>
      <c r="Z315">
        <v>0</v>
      </c>
      <c r="AA315" t="str">
        <f t="shared" si="28"/>
        <v>Early Tenure</v>
      </c>
      <c r="AB315" s="5">
        <v>44709</v>
      </c>
      <c r="AC315">
        <f t="shared" si="29"/>
        <v>0</v>
      </c>
      <c r="AD315" t="s">
        <v>38</v>
      </c>
      <c r="AE315">
        <f>VLOOKUP(A315,'Employee Engagement Survey'!A106:B1575,2,FALSE)</f>
        <v>3</v>
      </c>
      <c r="AF315">
        <f>VLOOKUP(A315,'Employee Engagement Survey'!A106:C1575,3,FALSE)</f>
        <v>1</v>
      </c>
      <c r="AG315">
        <f>VLOOKUP(A315,'Employee Engagement Survey'!A106:D1575,4,FALSE)</f>
        <v>3</v>
      </c>
      <c r="AH315">
        <f>VLOOKUP(A315,'Employee Engagement Survey'!A106:E1575,5,FALSE)</f>
        <v>3</v>
      </c>
      <c r="AI315">
        <f t="shared" si="27"/>
        <v>2.5</v>
      </c>
    </row>
    <row r="316" spans="1:35" hidden="1" x14ac:dyDescent="0.4">
      <c r="A316">
        <v>116</v>
      </c>
      <c r="B316" t="s">
        <v>34</v>
      </c>
      <c r="C316">
        <f t="shared" si="30"/>
        <v>1</v>
      </c>
      <c r="D316" t="s">
        <v>46</v>
      </c>
      <c r="E316">
        <f t="shared" si="26"/>
        <v>0</v>
      </c>
      <c r="F316" t="s">
        <v>28</v>
      </c>
      <c r="G316">
        <v>3</v>
      </c>
      <c r="H316" s="1">
        <v>48900</v>
      </c>
      <c r="I316" s="10">
        <v>0.23</v>
      </c>
      <c r="J316">
        <v>37.5</v>
      </c>
      <c r="K316" t="s">
        <v>34</v>
      </c>
      <c r="L316">
        <v>51</v>
      </c>
      <c r="M316" t="s">
        <v>29</v>
      </c>
      <c r="N316" t="s">
        <v>42</v>
      </c>
      <c r="O316" t="s">
        <v>31</v>
      </c>
      <c r="P316">
        <v>9</v>
      </c>
      <c r="Q316" t="s">
        <v>51</v>
      </c>
      <c r="R316" t="s">
        <v>37</v>
      </c>
      <c r="S316">
        <v>4</v>
      </c>
      <c r="T316">
        <v>2</v>
      </c>
      <c r="U316">
        <v>10</v>
      </c>
      <c r="V316">
        <v>4</v>
      </c>
      <c r="W316">
        <v>4</v>
      </c>
      <c r="X316">
        <v>2</v>
      </c>
      <c r="Y316">
        <v>0</v>
      </c>
      <c r="Z316">
        <v>3</v>
      </c>
      <c r="AA316" t="str">
        <f t="shared" si="28"/>
        <v>Mid Tenure</v>
      </c>
      <c r="AB316" s="5">
        <v>44815</v>
      </c>
      <c r="AC316">
        <f t="shared" si="29"/>
        <v>0</v>
      </c>
      <c r="AD316" t="s">
        <v>49</v>
      </c>
      <c r="AE316">
        <f>VLOOKUP(A316,'Employee Engagement Survey'!A107:B1576,2,FALSE)</f>
        <v>4</v>
      </c>
      <c r="AF316">
        <f>VLOOKUP(A316,'Employee Engagement Survey'!A107:C1576,3,FALSE)</f>
        <v>4</v>
      </c>
      <c r="AG316">
        <f>VLOOKUP(A316,'Employee Engagement Survey'!A107:D1576,4,FALSE)</f>
        <v>2</v>
      </c>
      <c r="AH316">
        <f>VLOOKUP(A316,'Employee Engagement Survey'!A107:E1576,5,FALSE)</f>
        <v>3</v>
      </c>
      <c r="AI316">
        <f t="shared" si="27"/>
        <v>3.25</v>
      </c>
    </row>
    <row r="317" spans="1:35" hidden="1" x14ac:dyDescent="0.4">
      <c r="A317">
        <v>117</v>
      </c>
      <c r="B317" t="s">
        <v>34</v>
      </c>
      <c r="C317">
        <f t="shared" si="30"/>
        <v>1</v>
      </c>
      <c r="D317" t="s">
        <v>55</v>
      </c>
      <c r="E317">
        <f t="shared" si="26"/>
        <v>0</v>
      </c>
      <c r="F317" t="s">
        <v>28</v>
      </c>
      <c r="G317">
        <v>6</v>
      </c>
      <c r="H317" s="1">
        <v>61824</v>
      </c>
      <c r="I317" s="10">
        <v>0.19</v>
      </c>
      <c r="J317">
        <v>37.5</v>
      </c>
      <c r="K317" t="s">
        <v>34</v>
      </c>
      <c r="L317">
        <v>30</v>
      </c>
      <c r="M317" t="s">
        <v>29</v>
      </c>
      <c r="N317" t="s">
        <v>42</v>
      </c>
      <c r="O317" t="s">
        <v>31</v>
      </c>
      <c r="P317">
        <v>2</v>
      </c>
      <c r="Q317" t="s">
        <v>43</v>
      </c>
      <c r="R317" t="s">
        <v>37</v>
      </c>
      <c r="S317">
        <v>3</v>
      </c>
      <c r="T317">
        <v>3</v>
      </c>
      <c r="U317">
        <v>11</v>
      </c>
      <c r="V317">
        <v>3</v>
      </c>
      <c r="W317">
        <v>11</v>
      </c>
      <c r="X317">
        <v>10</v>
      </c>
      <c r="Y317">
        <v>10</v>
      </c>
      <c r="Z317">
        <v>8</v>
      </c>
      <c r="AA317" t="str">
        <f t="shared" si="28"/>
        <v>Long Tenure</v>
      </c>
      <c r="AB317" s="5">
        <v>45581</v>
      </c>
      <c r="AC317">
        <f t="shared" si="29"/>
        <v>1</v>
      </c>
      <c r="AD317" t="s">
        <v>38</v>
      </c>
      <c r="AE317">
        <f>VLOOKUP(A317,'Employee Engagement Survey'!A108:B1577,2,FALSE)</f>
        <v>3</v>
      </c>
      <c r="AF317">
        <f>VLOOKUP(A317,'Employee Engagement Survey'!A108:C1577,3,FALSE)</f>
        <v>4</v>
      </c>
      <c r="AG317">
        <f>VLOOKUP(A317,'Employee Engagement Survey'!A108:D1577,4,FALSE)</f>
        <v>1</v>
      </c>
      <c r="AH317">
        <f>VLOOKUP(A317,'Employee Engagement Survey'!A108:E1577,5,FALSE)</f>
        <v>3</v>
      </c>
      <c r="AI317">
        <f t="shared" si="27"/>
        <v>2.75</v>
      </c>
    </row>
    <row r="318" spans="1:35" hidden="1" x14ac:dyDescent="0.4">
      <c r="A318">
        <v>483</v>
      </c>
      <c r="B318" t="s">
        <v>34</v>
      </c>
      <c r="C318">
        <f t="shared" si="30"/>
        <v>1</v>
      </c>
      <c r="D318" t="s">
        <v>46</v>
      </c>
      <c r="E318">
        <f t="shared" si="26"/>
        <v>0</v>
      </c>
      <c r="F318" t="s">
        <v>28</v>
      </c>
      <c r="G318">
        <v>4</v>
      </c>
      <c r="H318" s="1">
        <v>50556</v>
      </c>
      <c r="I318" s="10">
        <v>0.13</v>
      </c>
      <c r="J318">
        <v>37.5</v>
      </c>
      <c r="K318" t="s">
        <v>26</v>
      </c>
      <c r="L318">
        <v>40</v>
      </c>
      <c r="M318" t="s">
        <v>47</v>
      </c>
      <c r="N318" t="s">
        <v>42</v>
      </c>
      <c r="O318" t="s">
        <v>31</v>
      </c>
      <c r="P318">
        <v>10</v>
      </c>
      <c r="Q318" t="s">
        <v>51</v>
      </c>
      <c r="R318" t="s">
        <v>37</v>
      </c>
      <c r="S318">
        <v>3</v>
      </c>
      <c r="T318">
        <v>1</v>
      </c>
      <c r="U318">
        <v>10</v>
      </c>
      <c r="V318">
        <v>3</v>
      </c>
      <c r="W318">
        <v>7</v>
      </c>
      <c r="X318">
        <v>7</v>
      </c>
      <c r="Y318">
        <v>1</v>
      </c>
      <c r="Z318">
        <v>7</v>
      </c>
      <c r="AA318" t="str">
        <f t="shared" si="28"/>
        <v>Mid Tenure</v>
      </c>
      <c r="AB318" s="5">
        <v>45831</v>
      </c>
      <c r="AC318">
        <f t="shared" si="29"/>
        <v>1</v>
      </c>
      <c r="AD318" t="s">
        <v>49</v>
      </c>
      <c r="AE318">
        <f>VLOOKUP(A318,'Employee Engagement Survey'!A111:B1580,2,FALSE)</f>
        <v>4</v>
      </c>
      <c r="AF318">
        <f>VLOOKUP(A318,'Employee Engagement Survey'!A111:C1580,3,FALSE)</f>
        <v>3</v>
      </c>
      <c r="AG318">
        <f>VLOOKUP(A318,'Employee Engagement Survey'!A111:D1580,4,FALSE)</f>
        <v>3</v>
      </c>
      <c r="AH318">
        <f>VLOOKUP(A318,'Employee Engagement Survey'!A111:E1580,5,FALSE)</f>
        <v>3</v>
      </c>
      <c r="AI318">
        <f t="shared" si="27"/>
        <v>3.25</v>
      </c>
    </row>
    <row r="319" spans="1:35" hidden="1" x14ac:dyDescent="0.4">
      <c r="A319">
        <v>119</v>
      </c>
      <c r="B319" t="s">
        <v>34</v>
      </c>
      <c r="C319">
        <f t="shared" si="30"/>
        <v>1</v>
      </c>
      <c r="D319" t="s">
        <v>55</v>
      </c>
      <c r="E319">
        <f t="shared" si="26"/>
        <v>0</v>
      </c>
      <c r="F319" t="s">
        <v>28</v>
      </c>
      <c r="G319">
        <v>10</v>
      </c>
      <c r="H319" s="1">
        <v>174036</v>
      </c>
      <c r="I319" s="10">
        <v>0.22</v>
      </c>
      <c r="J319">
        <v>37.5</v>
      </c>
      <c r="K319" t="s">
        <v>34</v>
      </c>
      <c r="L319">
        <v>40</v>
      </c>
      <c r="M319" t="s">
        <v>29</v>
      </c>
      <c r="N319" t="s">
        <v>42</v>
      </c>
      <c r="O319" t="s">
        <v>44</v>
      </c>
      <c r="P319">
        <v>1</v>
      </c>
      <c r="Q319" t="s">
        <v>51</v>
      </c>
      <c r="R319" t="s">
        <v>37</v>
      </c>
      <c r="S319">
        <v>4</v>
      </c>
      <c r="T319">
        <v>1</v>
      </c>
      <c r="U319">
        <v>22</v>
      </c>
      <c r="V319">
        <v>3</v>
      </c>
      <c r="W319">
        <v>22</v>
      </c>
      <c r="X319">
        <v>3</v>
      </c>
      <c r="Y319">
        <v>11</v>
      </c>
      <c r="Z319">
        <v>11</v>
      </c>
      <c r="AA319" t="str">
        <f t="shared" si="28"/>
        <v>Long Tenure</v>
      </c>
      <c r="AB319" s="5">
        <v>45067</v>
      </c>
      <c r="AC319">
        <f t="shared" si="29"/>
        <v>0</v>
      </c>
      <c r="AD319" t="s">
        <v>49</v>
      </c>
      <c r="AE319">
        <f>VLOOKUP(A319,'Employee Engagement Survey'!A113:B1582,2,FALSE)</f>
        <v>3</v>
      </c>
      <c r="AF319">
        <f>VLOOKUP(A319,'Employee Engagement Survey'!A113:C1582,3,FALSE)</f>
        <v>2</v>
      </c>
      <c r="AG319">
        <f>VLOOKUP(A319,'Employee Engagement Survey'!A113:D1582,4,FALSE)</f>
        <v>4</v>
      </c>
      <c r="AH319">
        <f>VLOOKUP(A319,'Employee Engagement Survey'!A113:E1582,5,FALSE)</f>
        <v>2</v>
      </c>
      <c r="AI319">
        <f t="shared" si="27"/>
        <v>2.75</v>
      </c>
    </row>
    <row r="320" spans="1:35" hidden="1" x14ac:dyDescent="0.4">
      <c r="A320">
        <v>1055</v>
      </c>
      <c r="B320" t="s">
        <v>34</v>
      </c>
      <c r="C320">
        <f t="shared" si="30"/>
        <v>1</v>
      </c>
      <c r="D320" t="s">
        <v>39</v>
      </c>
      <c r="E320">
        <f t="shared" si="26"/>
        <v>0</v>
      </c>
      <c r="F320" t="s">
        <v>40</v>
      </c>
      <c r="G320">
        <v>4</v>
      </c>
      <c r="H320" s="1">
        <v>50640</v>
      </c>
      <c r="I320" s="10">
        <v>0.19</v>
      </c>
      <c r="J320">
        <v>37.5</v>
      </c>
      <c r="K320" t="s">
        <v>26</v>
      </c>
      <c r="L320">
        <v>34</v>
      </c>
      <c r="M320" t="s">
        <v>47</v>
      </c>
      <c r="N320" t="s">
        <v>42</v>
      </c>
      <c r="O320" t="s">
        <v>31</v>
      </c>
      <c r="P320">
        <v>10</v>
      </c>
      <c r="Q320" t="s">
        <v>51</v>
      </c>
      <c r="R320" t="s">
        <v>37</v>
      </c>
      <c r="S320">
        <v>3</v>
      </c>
      <c r="T320">
        <v>1</v>
      </c>
      <c r="U320">
        <v>1</v>
      </c>
      <c r="V320">
        <v>2</v>
      </c>
      <c r="W320">
        <v>1</v>
      </c>
      <c r="X320">
        <v>1</v>
      </c>
      <c r="Y320">
        <v>0</v>
      </c>
      <c r="Z320">
        <v>0</v>
      </c>
      <c r="AA320" t="str">
        <f t="shared" si="28"/>
        <v>Early Tenure</v>
      </c>
      <c r="AB320" s="5">
        <v>45719</v>
      </c>
      <c r="AC320">
        <f t="shared" si="29"/>
        <v>1</v>
      </c>
      <c r="AD320" t="s">
        <v>49</v>
      </c>
      <c r="AE320">
        <f>VLOOKUP(A320,'Employee Engagement Survey'!A114:B1583,2,FALSE)</f>
        <v>3</v>
      </c>
      <c r="AF320">
        <f>VLOOKUP(A320,'Employee Engagement Survey'!A114:C1583,3,FALSE)</f>
        <v>3</v>
      </c>
      <c r="AG320">
        <f>VLOOKUP(A320,'Employee Engagement Survey'!A114:D1583,4,FALSE)</f>
        <v>4</v>
      </c>
      <c r="AH320">
        <f>VLOOKUP(A320,'Employee Engagement Survey'!A114:E1583,5,FALSE)</f>
        <v>3</v>
      </c>
      <c r="AI320">
        <f t="shared" si="27"/>
        <v>3.25</v>
      </c>
    </row>
    <row r="321" spans="1:35" hidden="1" x14ac:dyDescent="0.4">
      <c r="A321">
        <v>120</v>
      </c>
      <c r="B321" t="s">
        <v>34</v>
      </c>
      <c r="C321">
        <f t="shared" si="30"/>
        <v>1</v>
      </c>
      <c r="D321" t="s">
        <v>57</v>
      </c>
      <c r="E321">
        <f t="shared" si="26"/>
        <v>0</v>
      </c>
      <c r="F321" t="s">
        <v>40</v>
      </c>
      <c r="G321">
        <v>7</v>
      </c>
      <c r="H321" s="1">
        <v>77292</v>
      </c>
      <c r="I321" s="10">
        <v>0.22</v>
      </c>
      <c r="J321">
        <v>37.5</v>
      </c>
      <c r="K321" t="s">
        <v>26</v>
      </c>
      <c r="L321">
        <v>51</v>
      </c>
      <c r="M321" t="s">
        <v>29</v>
      </c>
      <c r="N321" t="s">
        <v>30</v>
      </c>
      <c r="O321" t="s">
        <v>31</v>
      </c>
      <c r="P321">
        <v>21</v>
      </c>
      <c r="Q321" t="s">
        <v>51</v>
      </c>
      <c r="R321" t="s">
        <v>56</v>
      </c>
      <c r="S321">
        <v>4</v>
      </c>
      <c r="T321">
        <v>0</v>
      </c>
      <c r="U321">
        <v>11</v>
      </c>
      <c r="V321">
        <v>2</v>
      </c>
      <c r="W321">
        <v>10</v>
      </c>
      <c r="X321">
        <v>7</v>
      </c>
      <c r="Y321">
        <v>1</v>
      </c>
      <c r="Z321">
        <v>0</v>
      </c>
      <c r="AA321" t="str">
        <f t="shared" si="28"/>
        <v>Long Tenure</v>
      </c>
      <c r="AB321" s="5">
        <v>46008</v>
      </c>
      <c r="AC321">
        <f t="shared" si="29"/>
        <v>1</v>
      </c>
      <c r="AD321" t="s">
        <v>38</v>
      </c>
      <c r="AE321">
        <f>VLOOKUP(A321,'Employee Engagement Survey'!A115:B1584,2,FALSE)</f>
        <v>3</v>
      </c>
      <c r="AF321">
        <f>VLOOKUP(A321,'Employee Engagement Survey'!A115:C1584,3,FALSE)</f>
        <v>4</v>
      </c>
      <c r="AG321">
        <f>VLOOKUP(A321,'Employee Engagement Survey'!A115:D1584,4,FALSE)</f>
        <v>4</v>
      </c>
      <c r="AH321">
        <f>VLOOKUP(A321,'Employee Engagement Survey'!A115:E1584,5,FALSE)</f>
        <v>1</v>
      </c>
      <c r="AI321">
        <f t="shared" si="27"/>
        <v>3</v>
      </c>
    </row>
    <row r="322" spans="1:35" hidden="1" x14ac:dyDescent="0.4">
      <c r="A322">
        <v>216</v>
      </c>
      <c r="B322" t="s">
        <v>34</v>
      </c>
      <c r="C322">
        <f t="shared" si="30"/>
        <v>1</v>
      </c>
      <c r="D322" t="s">
        <v>39</v>
      </c>
      <c r="E322">
        <f t="shared" ref="E322:E385" si="31">IF(OR(D322="Manager, HR", D322="Manager, Sales", D322="Manager, R&amp;D", D322="Manufacturing Director",D322="Research Director", D322="VP, HR", D322="CEO"),1,0)</f>
        <v>0</v>
      </c>
      <c r="F322" t="s">
        <v>40</v>
      </c>
      <c r="G322">
        <v>4</v>
      </c>
      <c r="H322" s="1">
        <v>50772</v>
      </c>
      <c r="I322" s="10">
        <v>0.18</v>
      </c>
      <c r="J322">
        <v>37.5</v>
      </c>
      <c r="K322" t="s">
        <v>34</v>
      </c>
      <c r="L322">
        <v>34</v>
      </c>
      <c r="M322" t="s">
        <v>41</v>
      </c>
      <c r="N322" t="s">
        <v>42</v>
      </c>
      <c r="O322" t="s">
        <v>44</v>
      </c>
      <c r="P322">
        <v>2</v>
      </c>
      <c r="Q322" t="s">
        <v>51</v>
      </c>
      <c r="R322" t="s">
        <v>56</v>
      </c>
      <c r="S322">
        <v>3</v>
      </c>
      <c r="T322">
        <v>1</v>
      </c>
      <c r="U322">
        <v>6</v>
      </c>
      <c r="V322">
        <v>3</v>
      </c>
      <c r="W322">
        <v>4</v>
      </c>
      <c r="X322">
        <v>3</v>
      </c>
      <c r="Y322">
        <v>1</v>
      </c>
      <c r="Z322">
        <v>2</v>
      </c>
      <c r="AA322" t="str">
        <f t="shared" si="28"/>
        <v>Mid Tenure</v>
      </c>
      <c r="AB322" s="5">
        <v>44697</v>
      </c>
      <c r="AC322">
        <f t="shared" si="29"/>
        <v>0</v>
      </c>
      <c r="AD322" t="s">
        <v>38</v>
      </c>
      <c r="AE322">
        <f>VLOOKUP(A322,'Employee Engagement Survey'!A116:B1585,2,FALSE)</f>
        <v>3</v>
      </c>
      <c r="AF322">
        <f>VLOOKUP(A322,'Employee Engagement Survey'!A116:C1585,3,FALSE)</f>
        <v>3</v>
      </c>
      <c r="AG322">
        <f>VLOOKUP(A322,'Employee Engagement Survey'!A116:D1585,4,FALSE)</f>
        <v>4</v>
      </c>
      <c r="AH322">
        <f>VLOOKUP(A322,'Employee Engagement Survey'!A116:E1585,5,FALSE)</f>
        <v>3</v>
      </c>
      <c r="AI322">
        <f t="shared" ref="AI322:AI385" si="32">AVERAGE(AE322:AH322)</f>
        <v>3.25</v>
      </c>
    </row>
    <row r="323" spans="1:35" hidden="1" x14ac:dyDescent="0.4">
      <c r="A323">
        <v>332</v>
      </c>
      <c r="B323" t="s">
        <v>34</v>
      </c>
      <c r="C323">
        <f t="shared" si="30"/>
        <v>1</v>
      </c>
      <c r="D323" t="s">
        <v>46</v>
      </c>
      <c r="E323">
        <f t="shared" si="31"/>
        <v>0</v>
      </c>
      <c r="F323" t="s">
        <v>28</v>
      </c>
      <c r="G323">
        <v>4</v>
      </c>
      <c r="H323" s="1">
        <v>50784</v>
      </c>
      <c r="I323" s="10">
        <v>0.14000000000000001</v>
      </c>
      <c r="J323">
        <v>37.5</v>
      </c>
      <c r="K323" t="s">
        <v>34</v>
      </c>
      <c r="L323">
        <v>39</v>
      </c>
      <c r="M323" t="s">
        <v>41</v>
      </c>
      <c r="N323" t="s">
        <v>48</v>
      </c>
      <c r="O323" t="s">
        <v>31</v>
      </c>
      <c r="P323">
        <v>1</v>
      </c>
      <c r="Q323" t="s">
        <v>51</v>
      </c>
      <c r="R323" t="s">
        <v>33</v>
      </c>
      <c r="S323">
        <v>3</v>
      </c>
      <c r="T323">
        <v>3</v>
      </c>
      <c r="U323">
        <v>7</v>
      </c>
      <c r="V323">
        <v>1</v>
      </c>
      <c r="W323">
        <v>3</v>
      </c>
      <c r="X323">
        <v>2</v>
      </c>
      <c r="Y323">
        <v>1</v>
      </c>
      <c r="Z323">
        <v>2</v>
      </c>
      <c r="AA323" t="str">
        <f t="shared" ref="AA323:AA386" si="33">IF(W323&lt;=2,"Early Tenure",IF(W323&lt;=9,"Mid Tenure","Long Tenure"))</f>
        <v>Mid Tenure</v>
      </c>
      <c r="AB323" s="5">
        <v>45428</v>
      </c>
      <c r="AC323">
        <f t="shared" ref="AC323:AC386" si="34">IF(AND(AB323&lt;&gt;"",AB323&gt;DATE(2024,1,1)),1,0)</f>
        <v>1</v>
      </c>
      <c r="AD323" t="s">
        <v>38</v>
      </c>
      <c r="AE323">
        <f>VLOOKUP(A323,'Employee Engagement Survey'!A117:B1586,2,FALSE)</f>
        <v>3</v>
      </c>
      <c r="AF323">
        <f>VLOOKUP(A323,'Employee Engagement Survey'!A117:C1586,3,FALSE)</f>
        <v>3</v>
      </c>
      <c r="AG323">
        <f>VLOOKUP(A323,'Employee Engagement Survey'!A117:D1586,4,FALSE)</f>
        <v>3</v>
      </c>
      <c r="AH323">
        <f>VLOOKUP(A323,'Employee Engagement Survey'!A117:E1586,5,FALSE)</f>
        <v>3</v>
      </c>
      <c r="AI323">
        <f t="shared" si="32"/>
        <v>3</v>
      </c>
    </row>
    <row r="324" spans="1:35" hidden="1" x14ac:dyDescent="0.4">
      <c r="A324">
        <v>124</v>
      </c>
      <c r="B324" t="s">
        <v>34</v>
      </c>
      <c r="C324">
        <f t="shared" si="30"/>
        <v>1</v>
      </c>
      <c r="D324" t="s">
        <v>55</v>
      </c>
      <c r="E324">
        <f t="shared" si="31"/>
        <v>0</v>
      </c>
      <c r="F324" t="s">
        <v>28</v>
      </c>
      <c r="G324">
        <v>10</v>
      </c>
      <c r="H324" s="1">
        <v>140076</v>
      </c>
      <c r="I324" s="10">
        <v>0.13</v>
      </c>
      <c r="J324">
        <v>37.5</v>
      </c>
      <c r="K324" t="s">
        <v>26</v>
      </c>
      <c r="L324">
        <v>46</v>
      </c>
      <c r="M324" t="s">
        <v>29</v>
      </c>
      <c r="N324" t="s">
        <v>42</v>
      </c>
      <c r="O324" t="s">
        <v>44</v>
      </c>
      <c r="P324">
        <v>1</v>
      </c>
      <c r="Q324" t="s">
        <v>43</v>
      </c>
      <c r="R324" t="s">
        <v>33</v>
      </c>
      <c r="S324">
        <v>3</v>
      </c>
      <c r="T324">
        <v>1</v>
      </c>
      <c r="U324">
        <v>21</v>
      </c>
      <c r="V324">
        <v>5</v>
      </c>
      <c r="W324">
        <v>10</v>
      </c>
      <c r="X324">
        <v>9</v>
      </c>
      <c r="Y324">
        <v>9</v>
      </c>
      <c r="Z324">
        <v>5</v>
      </c>
      <c r="AA324" t="str">
        <f t="shared" si="33"/>
        <v>Long Tenure</v>
      </c>
      <c r="AB324" s="5">
        <v>45898</v>
      </c>
      <c r="AC324">
        <f t="shared" si="34"/>
        <v>1</v>
      </c>
      <c r="AD324" t="s">
        <v>38</v>
      </c>
      <c r="AE324">
        <f>VLOOKUP(A324,'Employee Engagement Survey'!A118:B1587,2,FALSE)</f>
        <v>3</v>
      </c>
      <c r="AF324">
        <f>VLOOKUP(A324,'Employee Engagement Survey'!A118:C1587,3,FALSE)</f>
        <v>1</v>
      </c>
      <c r="AG324">
        <f>VLOOKUP(A324,'Employee Engagement Survey'!A118:D1587,4,FALSE)</f>
        <v>3</v>
      </c>
      <c r="AH324">
        <f>VLOOKUP(A324,'Employee Engagement Survey'!A118:E1587,5,FALSE)</f>
        <v>2</v>
      </c>
      <c r="AI324">
        <f t="shared" si="32"/>
        <v>2.25</v>
      </c>
    </row>
    <row r="325" spans="1:35" hidden="1" x14ac:dyDescent="0.4">
      <c r="A325">
        <v>125</v>
      </c>
      <c r="B325" t="s">
        <v>34</v>
      </c>
      <c r="C325">
        <f t="shared" si="30"/>
        <v>1</v>
      </c>
      <c r="D325" t="s">
        <v>57</v>
      </c>
      <c r="E325">
        <f t="shared" si="31"/>
        <v>0</v>
      </c>
      <c r="F325" t="s">
        <v>40</v>
      </c>
      <c r="G325">
        <v>7</v>
      </c>
      <c r="H325" s="1">
        <v>72120</v>
      </c>
      <c r="I325" s="10">
        <v>0.16</v>
      </c>
      <c r="J325">
        <v>37.5</v>
      </c>
      <c r="K325" t="s">
        <v>34</v>
      </c>
      <c r="L325">
        <v>32</v>
      </c>
      <c r="M325" t="s">
        <v>29</v>
      </c>
      <c r="N325" t="s">
        <v>30</v>
      </c>
      <c r="O325" t="s">
        <v>31</v>
      </c>
      <c r="P325">
        <v>6</v>
      </c>
      <c r="Q325" t="s">
        <v>51</v>
      </c>
      <c r="R325" t="s">
        <v>33</v>
      </c>
      <c r="S325">
        <v>3</v>
      </c>
      <c r="T325">
        <v>0</v>
      </c>
      <c r="U325">
        <v>12</v>
      </c>
      <c r="V325">
        <v>0</v>
      </c>
      <c r="W325">
        <v>11</v>
      </c>
      <c r="X325">
        <v>8</v>
      </c>
      <c r="Y325">
        <v>5</v>
      </c>
      <c r="Z325">
        <v>7</v>
      </c>
      <c r="AA325" t="str">
        <f t="shared" si="33"/>
        <v>Long Tenure</v>
      </c>
      <c r="AB325" s="5">
        <v>45862</v>
      </c>
      <c r="AC325">
        <f t="shared" si="34"/>
        <v>1</v>
      </c>
      <c r="AD325" t="s">
        <v>38</v>
      </c>
      <c r="AE325">
        <f>VLOOKUP(A325,'Employee Engagement Survey'!A119:B1588,2,FALSE)</f>
        <v>2</v>
      </c>
      <c r="AF325">
        <f>VLOOKUP(A325,'Employee Engagement Survey'!A119:C1588,3,FALSE)</f>
        <v>3</v>
      </c>
      <c r="AG325">
        <f>VLOOKUP(A325,'Employee Engagement Survey'!A119:D1588,4,FALSE)</f>
        <v>1</v>
      </c>
      <c r="AH325">
        <f>VLOOKUP(A325,'Employee Engagement Survey'!A119:E1588,5,FALSE)</f>
        <v>3</v>
      </c>
      <c r="AI325">
        <f t="shared" si="32"/>
        <v>2.25</v>
      </c>
    </row>
    <row r="326" spans="1:35" hidden="1" x14ac:dyDescent="0.4">
      <c r="A326">
        <v>511</v>
      </c>
      <c r="B326" t="s">
        <v>34</v>
      </c>
      <c r="C326">
        <f t="shared" si="30"/>
        <v>1</v>
      </c>
      <c r="D326" t="s">
        <v>27</v>
      </c>
      <c r="E326">
        <f t="shared" si="31"/>
        <v>0</v>
      </c>
      <c r="F326" t="s">
        <v>28</v>
      </c>
      <c r="G326">
        <v>4</v>
      </c>
      <c r="H326" s="1">
        <v>50928</v>
      </c>
      <c r="I326" s="10">
        <v>0.13</v>
      </c>
      <c r="J326">
        <v>37.5</v>
      </c>
      <c r="K326" t="s">
        <v>34</v>
      </c>
      <c r="L326">
        <v>22</v>
      </c>
      <c r="M326" t="s">
        <v>41</v>
      </c>
      <c r="N326" t="s">
        <v>42</v>
      </c>
      <c r="O326" t="s">
        <v>31</v>
      </c>
      <c r="P326">
        <v>11</v>
      </c>
      <c r="Q326" t="s">
        <v>43</v>
      </c>
      <c r="R326" t="s">
        <v>33</v>
      </c>
      <c r="S326">
        <v>3</v>
      </c>
      <c r="T326">
        <v>1</v>
      </c>
      <c r="U326">
        <v>2</v>
      </c>
      <c r="V326">
        <v>1</v>
      </c>
      <c r="W326">
        <v>2</v>
      </c>
      <c r="X326">
        <v>1</v>
      </c>
      <c r="Y326">
        <v>1</v>
      </c>
      <c r="Z326">
        <v>2</v>
      </c>
      <c r="AA326" t="str">
        <f t="shared" si="33"/>
        <v>Early Tenure</v>
      </c>
      <c r="AB326" s="5">
        <v>44833</v>
      </c>
      <c r="AC326">
        <f t="shared" si="34"/>
        <v>0</v>
      </c>
      <c r="AD326" t="s">
        <v>49</v>
      </c>
      <c r="AE326">
        <f>VLOOKUP(A326,'Employee Engagement Survey'!A120:B1589,2,FALSE)</f>
        <v>1</v>
      </c>
      <c r="AF326">
        <f>VLOOKUP(A326,'Employee Engagement Survey'!A120:C1589,3,FALSE)</f>
        <v>2</v>
      </c>
      <c r="AG326">
        <f>VLOOKUP(A326,'Employee Engagement Survey'!A120:D1589,4,FALSE)</f>
        <v>4</v>
      </c>
      <c r="AH326">
        <f>VLOOKUP(A326,'Employee Engagement Survey'!A120:E1589,5,FALSE)</f>
        <v>3</v>
      </c>
      <c r="AI326">
        <f t="shared" si="32"/>
        <v>2.5</v>
      </c>
    </row>
    <row r="327" spans="1:35" hidden="1" x14ac:dyDescent="0.4">
      <c r="A327">
        <v>129</v>
      </c>
      <c r="B327" t="s">
        <v>34</v>
      </c>
      <c r="C327">
        <f t="shared" si="30"/>
        <v>1</v>
      </c>
      <c r="D327" t="s">
        <v>57</v>
      </c>
      <c r="E327">
        <f t="shared" si="31"/>
        <v>0</v>
      </c>
      <c r="F327" t="s">
        <v>40</v>
      </c>
      <c r="G327">
        <v>6</v>
      </c>
      <c r="H327" s="1">
        <v>62652</v>
      </c>
      <c r="I327" s="10">
        <v>0.15</v>
      </c>
      <c r="J327">
        <v>37.5</v>
      </c>
      <c r="K327" t="s">
        <v>34</v>
      </c>
      <c r="L327">
        <v>28</v>
      </c>
      <c r="M327" t="s">
        <v>29</v>
      </c>
      <c r="N327" t="s">
        <v>42</v>
      </c>
      <c r="O327" t="s">
        <v>35</v>
      </c>
      <c r="P327">
        <v>4</v>
      </c>
      <c r="Q327" t="s">
        <v>43</v>
      </c>
      <c r="R327" t="s">
        <v>33</v>
      </c>
      <c r="S327">
        <v>3</v>
      </c>
      <c r="T327">
        <v>0</v>
      </c>
      <c r="U327">
        <v>5</v>
      </c>
      <c r="V327">
        <v>3</v>
      </c>
      <c r="W327">
        <v>5</v>
      </c>
      <c r="X327">
        <v>4</v>
      </c>
      <c r="Y327">
        <v>0</v>
      </c>
      <c r="Z327">
        <v>4</v>
      </c>
      <c r="AA327" t="str">
        <f t="shared" si="33"/>
        <v>Mid Tenure</v>
      </c>
      <c r="AB327" s="5">
        <v>45073</v>
      </c>
      <c r="AC327">
        <f t="shared" si="34"/>
        <v>0</v>
      </c>
      <c r="AD327" t="s">
        <v>49</v>
      </c>
      <c r="AE327">
        <f>VLOOKUP(A327,'Employee Engagement Survey'!A121:B1590,2,FALSE)</f>
        <v>2</v>
      </c>
      <c r="AF327">
        <f>VLOOKUP(A327,'Employee Engagement Survey'!A121:C1590,3,FALSE)</f>
        <v>3</v>
      </c>
      <c r="AG327">
        <f>VLOOKUP(A327,'Employee Engagement Survey'!A121:D1590,4,FALSE)</f>
        <v>2</v>
      </c>
      <c r="AH327">
        <f>VLOOKUP(A327,'Employee Engagement Survey'!A121:E1590,5,FALSE)</f>
        <v>4</v>
      </c>
      <c r="AI327">
        <f t="shared" si="32"/>
        <v>2.75</v>
      </c>
    </row>
    <row r="328" spans="1:35" hidden="1" x14ac:dyDescent="0.4">
      <c r="A328">
        <v>131</v>
      </c>
      <c r="B328" t="s">
        <v>34</v>
      </c>
      <c r="C328">
        <f t="shared" si="30"/>
        <v>1</v>
      </c>
      <c r="D328" t="s">
        <v>57</v>
      </c>
      <c r="E328">
        <f t="shared" si="31"/>
        <v>0</v>
      </c>
      <c r="F328" t="s">
        <v>40</v>
      </c>
      <c r="G328">
        <v>4</v>
      </c>
      <c r="H328" s="1">
        <v>178464</v>
      </c>
      <c r="I328" s="10">
        <v>0.13</v>
      </c>
      <c r="J328">
        <v>37.5</v>
      </c>
      <c r="K328" t="s">
        <v>34</v>
      </c>
      <c r="L328">
        <v>58</v>
      </c>
      <c r="M328" t="s">
        <v>29</v>
      </c>
      <c r="N328" t="s">
        <v>30</v>
      </c>
      <c r="O328" t="s">
        <v>31</v>
      </c>
      <c r="P328">
        <v>10</v>
      </c>
      <c r="Q328" t="s">
        <v>51</v>
      </c>
      <c r="R328" t="s">
        <v>33</v>
      </c>
      <c r="S328">
        <v>3</v>
      </c>
      <c r="T328">
        <v>0</v>
      </c>
      <c r="U328">
        <v>38</v>
      </c>
      <c r="V328">
        <v>1</v>
      </c>
      <c r="W328">
        <v>37</v>
      </c>
      <c r="X328">
        <v>10</v>
      </c>
      <c r="Y328">
        <v>1</v>
      </c>
      <c r="Z328">
        <v>8</v>
      </c>
      <c r="AA328" t="str">
        <f t="shared" si="33"/>
        <v>Long Tenure</v>
      </c>
      <c r="AB328" s="5">
        <v>45102</v>
      </c>
      <c r="AC328">
        <f t="shared" si="34"/>
        <v>0</v>
      </c>
      <c r="AD328" t="s">
        <v>38</v>
      </c>
      <c r="AE328">
        <f>VLOOKUP(A328,'Employee Engagement Survey'!A122:B1591,2,FALSE)</f>
        <v>4</v>
      </c>
      <c r="AF328">
        <f>VLOOKUP(A328,'Employee Engagement Survey'!A122:C1591,3,FALSE)</f>
        <v>3</v>
      </c>
      <c r="AG328">
        <f>VLOOKUP(A328,'Employee Engagement Survey'!A122:D1591,4,FALSE)</f>
        <v>3</v>
      </c>
      <c r="AH328">
        <f>VLOOKUP(A328,'Employee Engagement Survey'!A122:E1591,5,FALSE)</f>
        <v>2</v>
      </c>
      <c r="AI328">
        <f t="shared" si="32"/>
        <v>3</v>
      </c>
    </row>
    <row r="329" spans="1:35" hidden="1" x14ac:dyDescent="0.4">
      <c r="A329">
        <v>132</v>
      </c>
      <c r="B329" t="s">
        <v>34</v>
      </c>
      <c r="C329">
        <f t="shared" si="30"/>
        <v>1</v>
      </c>
      <c r="D329" t="s">
        <v>46</v>
      </c>
      <c r="E329">
        <f t="shared" si="31"/>
        <v>0</v>
      </c>
      <c r="F329" t="s">
        <v>28</v>
      </c>
      <c r="G329">
        <v>3</v>
      </c>
      <c r="H329" s="1">
        <v>48504</v>
      </c>
      <c r="I329" s="10">
        <v>0.12</v>
      </c>
      <c r="J329">
        <v>37.5</v>
      </c>
      <c r="K329" t="s">
        <v>34</v>
      </c>
      <c r="L329">
        <v>44</v>
      </c>
      <c r="M329" t="s">
        <v>29</v>
      </c>
      <c r="N329" t="s">
        <v>42</v>
      </c>
      <c r="O329" t="s">
        <v>35</v>
      </c>
      <c r="P329">
        <v>23</v>
      </c>
      <c r="Q329" t="s">
        <v>43</v>
      </c>
      <c r="R329" t="s">
        <v>33</v>
      </c>
      <c r="S329">
        <v>3</v>
      </c>
      <c r="T329">
        <v>1</v>
      </c>
      <c r="U329">
        <v>17</v>
      </c>
      <c r="V329">
        <v>3</v>
      </c>
      <c r="W329">
        <v>3</v>
      </c>
      <c r="X329">
        <v>2</v>
      </c>
      <c r="Y329">
        <v>1</v>
      </c>
      <c r="Z329">
        <v>2</v>
      </c>
      <c r="AA329" t="str">
        <f t="shared" si="33"/>
        <v>Mid Tenure</v>
      </c>
      <c r="AB329" s="5">
        <v>45426</v>
      </c>
      <c r="AC329">
        <f t="shared" si="34"/>
        <v>1</v>
      </c>
      <c r="AD329" t="s">
        <v>49</v>
      </c>
      <c r="AE329">
        <f>VLOOKUP(A329,'Employee Engagement Survey'!A123:B1592,2,FALSE)</f>
        <v>2</v>
      </c>
      <c r="AF329">
        <f>VLOOKUP(A329,'Employee Engagement Survey'!A123:C1592,3,FALSE)</f>
        <v>2</v>
      </c>
      <c r="AG329">
        <f>VLOOKUP(A329,'Employee Engagement Survey'!A123:D1592,4,FALSE)</f>
        <v>3</v>
      </c>
      <c r="AH329">
        <f>VLOOKUP(A329,'Employee Engagement Survey'!A123:E1592,5,FALSE)</f>
        <v>4</v>
      </c>
      <c r="AI329">
        <f t="shared" si="32"/>
        <v>2.75</v>
      </c>
    </row>
    <row r="330" spans="1:35" hidden="1" x14ac:dyDescent="0.4">
      <c r="A330">
        <v>134</v>
      </c>
      <c r="B330" t="s">
        <v>34</v>
      </c>
      <c r="C330">
        <f t="shared" si="30"/>
        <v>1</v>
      </c>
      <c r="D330" t="s">
        <v>27</v>
      </c>
      <c r="E330">
        <f t="shared" si="31"/>
        <v>0</v>
      </c>
      <c r="F330" t="s">
        <v>28</v>
      </c>
      <c r="G330">
        <v>5</v>
      </c>
      <c r="H330" s="1">
        <v>59472</v>
      </c>
      <c r="I330" s="10">
        <v>0.13</v>
      </c>
      <c r="J330">
        <v>37.5</v>
      </c>
      <c r="K330" t="s">
        <v>34</v>
      </c>
      <c r="L330">
        <v>32</v>
      </c>
      <c r="M330" t="s">
        <v>29</v>
      </c>
      <c r="N330" t="s">
        <v>30</v>
      </c>
      <c r="O330" t="s">
        <v>31</v>
      </c>
      <c r="P330">
        <v>1</v>
      </c>
      <c r="Q330" t="s">
        <v>32</v>
      </c>
      <c r="R330" t="s">
        <v>37</v>
      </c>
      <c r="S330">
        <v>3</v>
      </c>
      <c r="T330">
        <v>0</v>
      </c>
      <c r="U330">
        <v>1</v>
      </c>
      <c r="V330">
        <v>2</v>
      </c>
      <c r="W330">
        <v>1</v>
      </c>
      <c r="X330">
        <v>0</v>
      </c>
      <c r="Y330">
        <v>0</v>
      </c>
      <c r="Z330">
        <v>0</v>
      </c>
      <c r="AA330" t="str">
        <f t="shared" si="33"/>
        <v>Early Tenure</v>
      </c>
      <c r="AB330" s="5">
        <v>44706</v>
      </c>
      <c r="AC330">
        <f t="shared" si="34"/>
        <v>0</v>
      </c>
      <c r="AD330" t="s">
        <v>38</v>
      </c>
      <c r="AE330">
        <f>VLOOKUP(A330,'Employee Engagement Survey'!A125:B1594,2,FALSE)</f>
        <v>4</v>
      </c>
      <c r="AF330">
        <f>VLOOKUP(A330,'Employee Engagement Survey'!A125:C1594,3,FALSE)</f>
        <v>1</v>
      </c>
      <c r="AG330">
        <f>VLOOKUP(A330,'Employee Engagement Survey'!A125:D1594,4,FALSE)</f>
        <v>4</v>
      </c>
      <c r="AH330">
        <f>VLOOKUP(A330,'Employee Engagement Survey'!A125:E1594,5,FALSE)</f>
        <v>3</v>
      </c>
      <c r="AI330">
        <f t="shared" si="32"/>
        <v>3</v>
      </c>
    </row>
    <row r="331" spans="1:35" hidden="1" x14ac:dyDescent="0.4">
      <c r="A331">
        <v>139</v>
      </c>
      <c r="B331" t="s">
        <v>34</v>
      </c>
      <c r="C331">
        <f t="shared" si="30"/>
        <v>1</v>
      </c>
      <c r="D331" t="s">
        <v>55</v>
      </c>
      <c r="E331">
        <f t="shared" si="31"/>
        <v>0</v>
      </c>
      <c r="F331" t="s">
        <v>28</v>
      </c>
      <c r="G331">
        <v>7</v>
      </c>
      <c r="H331" s="1">
        <v>73956</v>
      </c>
      <c r="I331" s="10">
        <v>0.14000000000000001</v>
      </c>
      <c r="J331">
        <v>37.5</v>
      </c>
      <c r="K331" t="s">
        <v>34</v>
      </c>
      <c r="L331">
        <v>37</v>
      </c>
      <c r="M331" t="s">
        <v>29</v>
      </c>
      <c r="N331" t="s">
        <v>48</v>
      </c>
      <c r="O331" t="s">
        <v>35</v>
      </c>
      <c r="P331">
        <v>2</v>
      </c>
      <c r="Q331" t="s">
        <v>36</v>
      </c>
      <c r="R331" t="s">
        <v>37</v>
      </c>
      <c r="S331">
        <v>3</v>
      </c>
      <c r="T331">
        <v>1</v>
      </c>
      <c r="U331">
        <v>17</v>
      </c>
      <c r="V331">
        <v>2</v>
      </c>
      <c r="W331">
        <v>1</v>
      </c>
      <c r="X331">
        <v>0</v>
      </c>
      <c r="Y331">
        <v>0</v>
      </c>
      <c r="Z331">
        <v>0</v>
      </c>
      <c r="AA331" t="str">
        <f t="shared" si="33"/>
        <v>Early Tenure</v>
      </c>
      <c r="AB331" s="5">
        <v>44606</v>
      </c>
      <c r="AC331">
        <f t="shared" si="34"/>
        <v>0</v>
      </c>
      <c r="AD331" t="s">
        <v>38</v>
      </c>
      <c r="AE331">
        <f>VLOOKUP(A331,'Employee Engagement Survey'!A126:B1595,2,FALSE)</f>
        <v>3</v>
      </c>
      <c r="AF331">
        <f>VLOOKUP(A331,'Employee Engagement Survey'!A126:C1595,3,FALSE)</f>
        <v>4</v>
      </c>
      <c r="AG331">
        <f>VLOOKUP(A331,'Employee Engagement Survey'!A126:D1595,4,FALSE)</f>
        <v>4</v>
      </c>
      <c r="AH331">
        <f>VLOOKUP(A331,'Employee Engagement Survey'!A126:E1595,5,FALSE)</f>
        <v>4</v>
      </c>
      <c r="AI331">
        <f t="shared" si="32"/>
        <v>3.75</v>
      </c>
    </row>
    <row r="332" spans="1:35" hidden="1" x14ac:dyDescent="0.4">
      <c r="A332">
        <v>996</v>
      </c>
      <c r="B332" t="s">
        <v>34</v>
      </c>
      <c r="C332">
        <f t="shared" si="30"/>
        <v>1</v>
      </c>
      <c r="D332" t="s">
        <v>46</v>
      </c>
      <c r="E332">
        <f t="shared" si="31"/>
        <v>0</v>
      </c>
      <c r="F332" t="s">
        <v>28</v>
      </c>
      <c r="G332">
        <v>4</v>
      </c>
      <c r="H332" s="1">
        <v>51240</v>
      </c>
      <c r="I332" s="10">
        <v>0.14000000000000001</v>
      </c>
      <c r="J332">
        <v>37.5</v>
      </c>
      <c r="K332" t="s">
        <v>34</v>
      </c>
      <c r="L332">
        <v>45</v>
      </c>
      <c r="M332" t="s">
        <v>41</v>
      </c>
      <c r="N332" t="s">
        <v>48</v>
      </c>
      <c r="O332" t="s">
        <v>31</v>
      </c>
      <c r="P332">
        <v>1</v>
      </c>
      <c r="Q332" t="s">
        <v>51</v>
      </c>
      <c r="R332" t="s">
        <v>33</v>
      </c>
      <c r="S332">
        <v>3</v>
      </c>
      <c r="T332">
        <v>2</v>
      </c>
      <c r="U332">
        <v>8</v>
      </c>
      <c r="V332">
        <v>2</v>
      </c>
      <c r="W332">
        <v>5</v>
      </c>
      <c r="X332">
        <v>3</v>
      </c>
      <c r="Y332">
        <v>0</v>
      </c>
      <c r="Z332">
        <v>2</v>
      </c>
      <c r="AA332" t="str">
        <f t="shared" si="33"/>
        <v>Mid Tenure</v>
      </c>
      <c r="AB332" s="5">
        <v>45891</v>
      </c>
      <c r="AC332">
        <f t="shared" si="34"/>
        <v>1</v>
      </c>
      <c r="AD332" t="s">
        <v>38</v>
      </c>
      <c r="AE332">
        <f>VLOOKUP(A332,'Employee Engagement Survey'!A127:B1596,2,FALSE)</f>
        <v>4</v>
      </c>
      <c r="AF332">
        <f>VLOOKUP(A332,'Employee Engagement Survey'!A127:C1596,3,FALSE)</f>
        <v>4</v>
      </c>
      <c r="AG332">
        <f>VLOOKUP(A332,'Employee Engagement Survey'!A127:D1596,4,FALSE)</f>
        <v>4</v>
      </c>
      <c r="AH332">
        <f>VLOOKUP(A332,'Employee Engagement Survey'!A127:E1596,5,FALSE)</f>
        <v>3</v>
      </c>
      <c r="AI332">
        <f t="shared" si="32"/>
        <v>3.75</v>
      </c>
    </row>
    <row r="333" spans="1:35" hidden="1" x14ac:dyDescent="0.4">
      <c r="A333">
        <v>834</v>
      </c>
      <c r="B333" t="s">
        <v>34</v>
      </c>
      <c r="C333">
        <f t="shared" si="30"/>
        <v>1</v>
      </c>
      <c r="D333" t="s">
        <v>27</v>
      </c>
      <c r="E333">
        <f t="shared" si="31"/>
        <v>0</v>
      </c>
      <c r="F333" t="s">
        <v>28</v>
      </c>
      <c r="G333">
        <v>4</v>
      </c>
      <c r="H333" s="1">
        <v>51288</v>
      </c>
      <c r="I333" s="10">
        <v>0.14000000000000001</v>
      </c>
      <c r="J333">
        <v>37.5</v>
      </c>
      <c r="K333" t="s">
        <v>34</v>
      </c>
      <c r="L333">
        <v>45</v>
      </c>
      <c r="M333" t="s">
        <v>41</v>
      </c>
      <c r="N333" t="s">
        <v>30</v>
      </c>
      <c r="O333" t="s">
        <v>31</v>
      </c>
      <c r="P333">
        <v>2</v>
      </c>
      <c r="Q333" t="s">
        <v>43</v>
      </c>
      <c r="R333" t="s">
        <v>37</v>
      </c>
      <c r="S333">
        <v>3</v>
      </c>
      <c r="T333">
        <v>0</v>
      </c>
      <c r="U333">
        <v>1</v>
      </c>
      <c r="V333">
        <v>3</v>
      </c>
      <c r="W333">
        <v>1</v>
      </c>
      <c r="X333">
        <v>0</v>
      </c>
      <c r="Y333">
        <v>0</v>
      </c>
      <c r="Z333">
        <v>0</v>
      </c>
      <c r="AA333" t="str">
        <f t="shared" si="33"/>
        <v>Early Tenure</v>
      </c>
      <c r="AB333" s="5">
        <v>45855</v>
      </c>
      <c r="AC333">
        <f t="shared" si="34"/>
        <v>1</v>
      </c>
      <c r="AD333" t="s">
        <v>49</v>
      </c>
      <c r="AE333">
        <f>VLOOKUP(A333,'Employee Engagement Survey'!A129:B1598,2,FALSE)</f>
        <v>2</v>
      </c>
      <c r="AF333">
        <f>VLOOKUP(A333,'Employee Engagement Survey'!A129:C1598,3,FALSE)</f>
        <v>3</v>
      </c>
      <c r="AG333">
        <f>VLOOKUP(A333,'Employee Engagement Survey'!A129:D1598,4,FALSE)</f>
        <v>4</v>
      </c>
      <c r="AH333">
        <f>VLOOKUP(A333,'Employee Engagement Survey'!A129:E1598,5,FALSE)</f>
        <v>3</v>
      </c>
      <c r="AI333">
        <f t="shared" si="32"/>
        <v>3</v>
      </c>
    </row>
    <row r="334" spans="1:35" hidden="1" x14ac:dyDescent="0.4">
      <c r="A334">
        <v>143</v>
      </c>
      <c r="B334" t="s">
        <v>34</v>
      </c>
      <c r="C334">
        <f t="shared" si="30"/>
        <v>1</v>
      </c>
      <c r="D334" t="s">
        <v>27</v>
      </c>
      <c r="E334">
        <f t="shared" si="31"/>
        <v>0</v>
      </c>
      <c r="F334" t="s">
        <v>28</v>
      </c>
      <c r="G334">
        <v>5</v>
      </c>
      <c r="H334" s="1">
        <v>58668</v>
      </c>
      <c r="I334" s="10">
        <v>0.11</v>
      </c>
      <c r="J334">
        <v>37.5</v>
      </c>
      <c r="K334" t="s">
        <v>34</v>
      </c>
      <c r="L334">
        <v>25</v>
      </c>
      <c r="M334" t="s">
        <v>29</v>
      </c>
      <c r="N334" t="s">
        <v>42</v>
      </c>
      <c r="O334" t="s">
        <v>31</v>
      </c>
      <c r="P334">
        <v>7</v>
      </c>
      <c r="Q334" t="s">
        <v>32</v>
      </c>
      <c r="R334" t="s">
        <v>33</v>
      </c>
      <c r="S334">
        <v>3</v>
      </c>
      <c r="T334">
        <v>2</v>
      </c>
      <c r="U334">
        <v>2</v>
      </c>
      <c r="V334">
        <v>2</v>
      </c>
      <c r="W334">
        <v>2</v>
      </c>
      <c r="X334">
        <v>2</v>
      </c>
      <c r="Y334">
        <v>2</v>
      </c>
      <c r="Z334">
        <v>1</v>
      </c>
      <c r="AA334" t="str">
        <f t="shared" si="33"/>
        <v>Early Tenure</v>
      </c>
      <c r="AB334" s="5">
        <v>44570</v>
      </c>
      <c r="AC334">
        <f t="shared" si="34"/>
        <v>0</v>
      </c>
      <c r="AD334" t="s">
        <v>49</v>
      </c>
      <c r="AE334">
        <f>VLOOKUP(A334,'Employee Engagement Survey'!A130:B1599,2,FALSE)</f>
        <v>4</v>
      </c>
      <c r="AF334">
        <f>VLOOKUP(A334,'Employee Engagement Survey'!A130:C1599,3,FALSE)</f>
        <v>4</v>
      </c>
      <c r="AG334">
        <f>VLOOKUP(A334,'Employee Engagement Survey'!A130:D1599,4,FALSE)</f>
        <v>3</v>
      </c>
      <c r="AH334">
        <f>VLOOKUP(A334,'Employee Engagement Survey'!A130:E1599,5,FALSE)</f>
        <v>3</v>
      </c>
      <c r="AI334">
        <f t="shared" si="32"/>
        <v>3.5</v>
      </c>
    </row>
    <row r="335" spans="1:35" hidden="1" x14ac:dyDescent="0.4">
      <c r="A335">
        <v>260</v>
      </c>
      <c r="B335" t="s">
        <v>34</v>
      </c>
      <c r="C335">
        <f t="shared" si="30"/>
        <v>1</v>
      </c>
      <c r="D335" t="s">
        <v>27</v>
      </c>
      <c r="E335">
        <f t="shared" si="31"/>
        <v>0</v>
      </c>
      <c r="F335" t="s">
        <v>28</v>
      </c>
      <c r="G335">
        <v>4</v>
      </c>
      <c r="H335" s="1">
        <v>51348</v>
      </c>
      <c r="I335" s="10">
        <v>0.16</v>
      </c>
      <c r="J335">
        <v>37.5</v>
      </c>
      <c r="K335" t="s">
        <v>34</v>
      </c>
      <c r="L335">
        <v>27</v>
      </c>
      <c r="M335" t="s">
        <v>41</v>
      </c>
      <c r="N335" t="s">
        <v>30</v>
      </c>
      <c r="O335" t="s">
        <v>31</v>
      </c>
      <c r="P335">
        <v>9</v>
      </c>
      <c r="Q335" t="s">
        <v>43</v>
      </c>
      <c r="R335" t="s">
        <v>33</v>
      </c>
      <c r="S335">
        <v>3</v>
      </c>
      <c r="T335">
        <v>0</v>
      </c>
      <c r="U335">
        <v>7</v>
      </c>
      <c r="V335">
        <v>2</v>
      </c>
      <c r="W335">
        <v>7</v>
      </c>
      <c r="X335">
        <v>7</v>
      </c>
      <c r="Y335">
        <v>0</v>
      </c>
      <c r="Z335">
        <v>3</v>
      </c>
      <c r="AA335" t="str">
        <f t="shared" si="33"/>
        <v>Mid Tenure</v>
      </c>
      <c r="AB335" s="5">
        <v>45297</v>
      </c>
      <c r="AC335">
        <f t="shared" si="34"/>
        <v>1</v>
      </c>
      <c r="AD335" t="s">
        <v>38</v>
      </c>
      <c r="AE335">
        <f>VLOOKUP(A335,'Employee Engagement Survey'!A132:B1601,2,FALSE)</f>
        <v>4</v>
      </c>
      <c r="AF335">
        <f>VLOOKUP(A335,'Employee Engagement Survey'!A132:C1601,3,FALSE)</f>
        <v>2</v>
      </c>
      <c r="AG335">
        <f>VLOOKUP(A335,'Employee Engagement Survey'!A132:D1601,4,FALSE)</f>
        <v>4</v>
      </c>
      <c r="AH335">
        <f>VLOOKUP(A335,'Employee Engagement Survey'!A132:E1601,5,FALSE)</f>
        <v>2</v>
      </c>
      <c r="AI335">
        <f t="shared" si="32"/>
        <v>3</v>
      </c>
    </row>
    <row r="336" spans="1:35" hidden="1" x14ac:dyDescent="0.4">
      <c r="A336">
        <v>150</v>
      </c>
      <c r="B336" t="s">
        <v>34</v>
      </c>
      <c r="C336">
        <f t="shared" si="30"/>
        <v>1</v>
      </c>
      <c r="D336" t="s">
        <v>46</v>
      </c>
      <c r="E336">
        <f t="shared" si="31"/>
        <v>0</v>
      </c>
      <c r="F336" t="s">
        <v>28</v>
      </c>
      <c r="G336">
        <v>5</v>
      </c>
      <c r="H336" s="1">
        <v>57288</v>
      </c>
      <c r="I336" s="10">
        <v>0.12</v>
      </c>
      <c r="J336">
        <v>37.5</v>
      </c>
      <c r="K336" t="s">
        <v>34</v>
      </c>
      <c r="L336">
        <v>24</v>
      </c>
      <c r="M336" t="s">
        <v>29</v>
      </c>
      <c r="N336" t="s">
        <v>42</v>
      </c>
      <c r="O336" t="s">
        <v>31</v>
      </c>
      <c r="P336">
        <v>18</v>
      </c>
      <c r="Q336" t="s">
        <v>32</v>
      </c>
      <c r="R336" t="s">
        <v>37</v>
      </c>
      <c r="S336">
        <v>3</v>
      </c>
      <c r="T336">
        <v>1</v>
      </c>
      <c r="U336">
        <v>6</v>
      </c>
      <c r="V336">
        <v>2</v>
      </c>
      <c r="W336">
        <v>5</v>
      </c>
      <c r="X336">
        <v>3</v>
      </c>
      <c r="Y336">
        <v>1</v>
      </c>
      <c r="Z336">
        <v>2</v>
      </c>
      <c r="AA336" t="str">
        <f t="shared" si="33"/>
        <v>Mid Tenure</v>
      </c>
      <c r="AB336" s="5">
        <v>44608</v>
      </c>
      <c r="AC336">
        <f t="shared" si="34"/>
        <v>0</v>
      </c>
      <c r="AD336" t="s">
        <v>38</v>
      </c>
      <c r="AE336">
        <f>VLOOKUP(A336,'Employee Engagement Survey'!A133:B1602,2,FALSE)</f>
        <v>2</v>
      </c>
      <c r="AF336">
        <f>VLOOKUP(A336,'Employee Engagement Survey'!A133:C1602,3,FALSE)</f>
        <v>3</v>
      </c>
      <c r="AG336">
        <f>VLOOKUP(A336,'Employee Engagement Survey'!A133:D1602,4,FALSE)</f>
        <v>3</v>
      </c>
      <c r="AH336">
        <f>VLOOKUP(A336,'Employee Engagement Survey'!A133:E1602,5,FALSE)</f>
        <v>3</v>
      </c>
      <c r="AI336">
        <f t="shared" si="32"/>
        <v>2.75</v>
      </c>
    </row>
    <row r="337" spans="1:35" hidden="1" x14ac:dyDescent="0.4">
      <c r="A337">
        <v>245</v>
      </c>
      <c r="B337" t="s">
        <v>34</v>
      </c>
      <c r="C337">
        <f t="shared" si="30"/>
        <v>1</v>
      </c>
      <c r="D337" t="s">
        <v>46</v>
      </c>
      <c r="E337">
        <f t="shared" si="31"/>
        <v>0</v>
      </c>
      <c r="F337" t="s">
        <v>28</v>
      </c>
      <c r="G337">
        <v>4</v>
      </c>
      <c r="H337" s="1">
        <v>51456</v>
      </c>
      <c r="I337" s="10">
        <v>0.12</v>
      </c>
      <c r="J337">
        <v>37.5</v>
      </c>
      <c r="K337" t="s">
        <v>34</v>
      </c>
      <c r="L337">
        <v>38</v>
      </c>
      <c r="M337" t="s">
        <v>41</v>
      </c>
      <c r="N337" t="s">
        <v>30</v>
      </c>
      <c r="O337" t="s">
        <v>31</v>
      </c>
      <c r="P337">
        <v>9</v>
      </c>
      <c r="Q337" t="s">
        <v>36</v>
      </c>
      <c r="R337" t="s">
        <v>37</v>
      </c>
      <c r="S337">
        <v>3</v>
      </c>
      <c r="T337">
        <v>0</v>
      </c>
      <c r="U337">
        <v>2</v>
      </c>
      <c r="V337">
        <v>3</v>
      </c>
      <c r="W337">
        <v>2</v>
      </c>
      <c r="X337">
        <v>2</v>
      </c>
      <c r="Y337">
        <v>2</v>
      </c>
      <c r="Z337">
        <v>1</v>
      </c>
      <c r="AA337" t="str">
        <f t="shared" si="33"/>
        <v>Early Tenure</v>
      </c>
      <c r="AB337" s="5">
        <v>45437</v>
      </c>
      <c r="AC337">
        <f t="shared" si="34"/>
        <v>1</v>
      </c>
      <c r="AD337" t="s">
        <v>49</v>
      </c>
      <c r="AE337">
        <f>VLOOKUP(A337,'Employee Engagement Survey'!A134:B1603,2,FALSE)</f>
        <v>3</v>
      </c>
      <c r="AF337">
        <f>VLOOKUP(A337,'Employee Engagement Survey'!A134:C1603,3,FALSE)</f>
        <v>4</v>
      </c>
      <c r="AG337">
        <f>VLOOKUP(A337,'Employee Engagement Survey'!A134:D1603,4,FALSE)</f>
        <v>3</v>
      </c>
      <c r="AH337">
        <f>VLOOKUP(A337,'Employee Engagement Survey'!A134:E1603,5,FALSE)</f>
        <v>3</v>
      </c>
      <c r="AI337">
        <f t="shared" si="32"/>
        <v>3.25</v>
      </c>
    </row>
    <row r="338" spans="1:35" hidden="1" x14ac:dyDescent="0.4">
      <c r="A338">
        <v>152</v>
      </c>
      <c r="B338" t="s">
        <v>34</v>
      </c>
      <c r="C338">
        <f t="shared" si="30"/>
        <v>1</v>
      </c>
      <c r="D338" t="s">
        <v>57</v>
      </c>
      <c r="E338">
        <f t="shared" si="31"/>
        <v>0</v>
      </c>
      <c r="F338" t="s">
        <v>40</v>
      </c>
      <c r="G338">
        <v>9</v>
      </c>
      <c r="H338" s="1">
        <v>101136</v>
      </c>
      <c r="I338" s="10">
        <v>0.12</v>
      </c>
      <c r="J338">
        <v>37.5</v>
      </c>
      <c r="K338" t="s">
        <v>34</v>
      </c>
      <c r="L338">
        <v>37</v>
      </c>
      <c r="M338" t="s">
        <v>29</v>
      </c>
      <c r="N338" t="s">
        <v>30</v>
      </c>
      <c r="O338" t="s">
        <v>31</v>
      </c>
      <c r="P338">
        <v>3</v>
      </c>
      <c r="Q338" t="s">
        <v>43</v>
      </c>
      <c r="R338" t="s">
        <v>37</v>
      </c>
      <c r="S338">
        <v>3</v>
      </c>
      <c r="T338">
        <v>0</v>
      </c>
      <c r="U338">
        <v>12</v>
      </c>
      <c r="V338">
        <v>3</v>
      </c>
      <c r="W338">
        <v>5</v>
      </c>
      <c r="X338">
        <v>3</v>
      </c>
      <c r="Y338">
        <v>1</v>
      </c>
      <c r="Z338">
        <v>3</v>
      </c>
      <c r="AA338" t="str">
        <f t="shared" si="33"/>
        <v>Mid Tenure</v>
      </c>
      <c r="AB338" s="5">
        <v>44994</v>
      </c>
      <c r="AC338">
        <f t="shared" si="34"/>
        <v>0</v>
      </c>
      <c r="AD338" t="s">
        <v>38</v>
      </c>
      <c r="AE338">
        <f>VLOOKUP(A338,'Employee Engagement Survey'!A135:B1604,2,FALSE)</f>
        <v>3</v>
      </c>
      <c r="AF338">
        <f>VLOOKUP(A338,'Employee Engagement Survey'!A135:C1604,3,FALSE)</f>
        <v>4</v>
      </c>
      <c r="AG338">
        <f>VLOOKUP(A338,'Employee Engagement Survey'!A135:D1604,4,FALSE)</f>
        <v>1</v>
      </c>
      <c r="AH338">
        <f>VLOOKUP(A338,'Employee Engagement Survey'!A135:E1604,5,FALSE)</f>
        <v>3</v>
      </c>
      <c r="AI338">
        <f t="shared" si="32"/>
        <v>2.75</v>
      </c>
    </row>
    <row r="339" spans="1:35" hidden="1" x14ac:dyDescent="0.4">
      <c r="A339">
        <v>158</v>
      </c>
      <c r="B339" t="s">
        <v>34</v>
      </c>
      <c r="C339">
        <f t="shared" si="30"/>
        <v>1</v>
      </c>
      <c r="D339" t="s">
        <v>110</v>
      </c>
      <c r="E339">
        <f t="shared" si="31"/>
        <v>1</v>
      </c>
      <c r="F339" t="s">
        <v>40</v>
      </c>
      <c r="G339">
        <v>4</v>
      </c>
      <c r="H339" s="1">
        <v>215508</v>
      </c>
      <c r="I339" s="10">
        <v>0.12</v>
      </c>
      <c r="J339">
        <v>37.5</v>
      </c>
      <c r="K339" t="s">
        <v>26</v>
      </c>
      <c r="L339">
        <v>43</v>
      </c>
      <c r="M339" t="s">
        <v>29</v>
      </c>
      <c r="N339" t="s">
        <v>42</v>
      </c>
      <c r="O339" t="s">
        <v>44</v>
      </c>
      <c r="P339">
        <v>26</v>
      </c>
      <c r="Q339" t="s">
        <v>36</v>
      </c>
      <c r="R339" t="s">
        <v>37</v>
      </c>
      <c r="S339">
        <v>3</v>
      </c>
      <c r="T339">
        <v>2</v>
      </c>
      <c r="U339">
        <v>25</v>
      </c>
      <c r="V339">
        <v>3</v>
      </c>
      <c r="W339">
        <v>25</v>
      </c>
      <c r="X339">
        <v>12</v>
      </c>
      <c r="Y339">
        <v>4</v>
      </c>
      <c r="Z339">
        <v>12</v>
      </c>
      <c r="AA339" t="str">
        <f t="shared" si="33"/>
        <v>Long Tenure</v>
      </c>
      <c r="AB339" s="5">
        <v>44947</v>
      </c>
      <c r="AC339">
        <f t="shared" si="34"/>
        <v>0</v>
      </c>
      <c r="AD339" t="s">
        <v>38</v>
      </c>
      <c r="AE339">
        <f>VLOOKUP(A339,'Employee Engagement Survey'!A136:B1605,2,FALSE)</f>
        <v>3</v>
      </c>
      <c r="AF339">
        <f>VLOOKUP(A339,'Employee Engagement Survey'!A136:C1605,3,FALSE)</f>
        <v>4</v>
      </c>
      <c r="AG339">
        <f>VLOOKUP(A339,'Employee Engagement Survey'!A136:D1605,4,FALSE)</f>
        <v>4</v>
      </c>
      <c r="AH339">
        <f>VLOOKUP(A339,'Employee Engagement Survey'!A136:E1605,5,FALSE)</f>
        <v>4</v>
      </c>
      <c r="AI339">
        <f t="shared" si="32"/>
        <v>3.75</v>
      </c>
    </row>
    <row r="340" spans="1:35" hidden="1" x14ac:dyDescent="0.4">
      <c r="A340">
        <v>159</v>
      </c>
      <c r="B340" t="s">
        <v>34</v>
      </c>
      <c r="C340">
        <f t="shared" si="30"/>
        <v>1</v>
      </c>
      <c r="D340" t="s">
        <v>27</v>
      </c>
      <c r="E340">
        <f t="shared" si="31"/>
        <v>0</v>
      </c>
      <c r="F340" t="s">
        <v>28</v>
      </c>
      <c r="G340">
        <v>5</v>
      </c>
      <c r="H340" s="1">
        <v>55356</v>
      </c>
      <c r="I340" s="10">
        <v>0.25</v>
      </c>
      <c r="J340">
        <v>37.5</v>
      </c>
      <c r="K340" t="s">
        <v>34</v>
      </c>
      <c r="L340">
        <v>30</v>
      </c>
      <c r="M340" t="s">
        <v>29</v>
      </c>
      <c r="N340" t="s">
        <v>48</v>
      </c>
      <c r="O340" t="s">
        <v>44</v>
      </c>
      <c r="P340">
        <v>23</v>
      </c>
      <c r="Q340" t="s">
        <v>43</v>
      </c>
      <c r="R340" t="s">
        <v>37</v>
      </c>
      <c r="S340">
        <v>4</v>
      </c>
      <c r="T340">
        <v>3</v>
      </c>
      <c r="U340">
        <v>10</v>
      </c>
      <c r="V340">
        <v>2</v>
      </c>
      <c r="W340">
        <v>10</v>
      </c>
      <c r="X340">
        <v>7</v>
      </c>
      <c r="Y340">
        <v>0</v>
      </c>
      <c r="Z340">
        <v>9</v>
      </c>
      <c r="AA340" t="str">
        <f t="shared" si="33"/>
        <v>Long Tenure</v>
      </c>
      <c r="AB340" s="5">
        <v>45579</v>
      </c>
      <c r="AC340">
        <f t="shared" si="34"/>
        <v>1</v>
      </c>
      <c r="AD340" t="s">
        <v>49</v>
      </c>
      <c r="AE340">
        <f>VLOOKUP(A340,'Employee Engagement Survey'!A137:B1606,2,FALSE)</f>
        <v>1</v>
      </c>
      <c r="AF340">
        <f>VLOOKUP(A340,'Employee Engagement Survey'!A137:C1606,3,FALSE)</f>
        <v>3</v>
      </c>
      <c r="AG340">
        <f>VLOOKUP(A340,'Employee Engagement Survey'!A137:D1606,4,FALSE)</f>
        <v>3</v>
      </c>
      <c r="AH340">
        <f>VLOOKUP(A340,'Employee Engagement Survey'!A137:E1606,5,FALSE)</f>
        <v>2</v>
      </c>
      <c r="AI340">
        <f t="shared" si="32"/>
        <v>2.25</v>
      </c>
    </row>
    <row r="341" spans="1:35" hidden="1" x14ac:dyDescent="0.4">
      <c r="A341">
        <v>160</v>
      </c>
      <c r="B341" t="s">
        <v>34</v>
      </c>
      <c r="C341">
        <f t="shared" si="30"/>
        <v>1</v>
      </c>
      <c r="D341" t="s">
        <v>57</v>
      </c>
      <c r="E341">
        <f t="shared" si="31"/>
        <v>0</v>
      </c>
      <c r="F341" t="s">
        <v>40</v>
      </c>
      <c r="G341">
        <v>8</v>
      </c>
      <c r="H341" s="1">
        <v>85752</v>
      </c>
      <c r="I341" s="10">
        <v>0.13</v>
      </c>
      <c r="J341">
        <v>37.5</v>
      </c>
      <c r="K341" t="s">
        <v>34</v>
      </c>
      <c r="L341">
        <v>33</v>
      </c>
      <c r="M341" t="s">
        <v>29</v>
      </c>
      <c r="N341" t="s">
        <v>42</v>
      </c>
      <c r="O341" t="s">
        <v>35</v>
      </c>
      <c r="P341">
        <v>22</v>
      </c>
      <c r="Q341" t="s">
        <v>36</v>
      </c>
      <c r="R341" t="s">
        <v>56</v>
      </c>
      <c r="S341">
        <v>3</v>
      </c>
      <c r="T341">
        <v>1</v>
      </c>
      <c r="U341">
        <v>8</v>
      </c>
      <c r="V341">
        <v>2</v>
      </c>
      <c r="W341">
        <v>7</v>
      </c>
      <c r="X341">
        <v>7</v>
      </c>
      <c r="Y341">
        <v>0</v>
      </c>
      <c r="Z341">
        <v>7</v>
      </c>
      <c r="AA341" t="str">
        <f t="shared" si="33"/>
        <v>Mid Tenure</v>
      </c>
      <c r="AB341" s="5">
        <v>44993</v>
      </c>
      <c r="AC341">
        <f t="shared" si="34"/>
        <v>0</v>
      </c>
      <c r="AD341" t="s">
        <v>38</v>
      </c>
      <c r="AE341">
        <f>VLOOKUP(A341,'Employee Engagement Survey'!A138:B1607,2,FALSE)</f>
        <v>3</v>
      </c>
      <c r="AF341">
        <f>VLOOKUP(A341,'Employee Engagement Survey'!A138:C1607,3,FALSE)</f>
        <v>2</v>
      </c>
      <c r="AG341">
        <f>VLOOKUP(A341,'Employee Engagement Survey'!A138:D1607,4,FALSE)</f>
        <v>1</v>
      </c>
      <c r="AH341">
        <f>VLOOKUP(A341,'Employee Engagement Survey'!A138:E1607,5,FALSE)</f>
        <v>4</v>
      </c>
      <c r="AI341">
        <f t="shared" si="32"/>
        <v>2.5</v>
      </c>
    </row>
    <row r="342" spans="1:35" hidden="1" x14ac:dyDescent="0.4">
      <c r="A342">
        <v>162</v>
      </c>
      <c r="B342" t="s">
        <v>34</v>
      </c>
      <c r="C342">
        <f t="shared" si="30"/>
        <v>1</v>
      </c>
      <c r="D342" t="s">
        <v>60</v>
      </c>
      <c r="E342">
        <f t="shared" si="31"/>
        <v>1</v>
      </c>
      <c r="F342" t="s">
        <v>28</v>
      </c>
      <c r="G342">
        <v>5</v>
      </c>
      <c r="H342" s="1">
        <v>246444</v>
      </c>
      <c r="I342" s="10">
        <v>0.13</v>
      </c>
      <c r="J342">
        <v>37.5</v>
      </c>
      <c r="K342" t="s">
        <v>34</v>
      </c>
      <c r="L342">
        <v>51</v>
      </c>
      <c r="M342" t="s">
        <v>29</v>
      </c>
      <c r="N342" t="s">
        <v>30</v>
      </c>
      <c r="O342" t="s">
        <v>31</v>
      </c>
      <c r="P342">
        <v>6</v>
      </c>
      <c r="Q342" t="s">
        <v>43</v>
      </c>
      <c r="R342" t="s">
        <v>37</v>
      </c>
      <c r="S342">
        <v>3</v>
      </c>
      <c r="T342">
        <v>0</v>
      </c>
      <c r="U342">
        <v>23</v>
      </c>
      <c r="V342">
        <v>5</v>
      </c>
      <c r="W342">
        <v>20</v>
      </c>
      <c r="X342">
        <v>18</v>
      </c>
      <c r="Y342">
        <v>15</v>
      </c>
      <c r="Z342">
        <v>15</v>
      </c>
      <c r="AA342" t="str">
        <f t="shared" si="33"/>
        <v>Long Tenure</v>
      </c>
      <c r="AB342" s="5">
        <v>45241</v>
      </c>
      <c r="AC342">
        <f t="shared" si="34"/>
        <v>0</v>
      </c>
      <c r="AD342" t="s">
        <v>49</v>
      </c>
      <c r="AE342">
        <f>VLOOKUP(A342,'Employee Engagement Survey'!A139:B1608,2,FALSE)</f>
        <v>1</v>
      </c>
      <c r="AF342">
        <f>VLOOKUP(A342,'Employee Engagement Survey'!A139:C1608,3,FALSE)</f>
        <v>3</v>
      </c>
      <c r="AG342">
        <f>VLOOKUP(A342,'Employee Engagement Survey'!A139:D1608,4,FALSE)</f>
        <v>3</v>
      </c>
      <c r="AH342">
        <f>VLOOKUP(A342,'Employee Engagement Survey'!A139:E1608,5,FALSE)</f>
        <v>3</v>
      </c>
      <c r="AI342">
        <f t="shared" si="32"/>
        <v>2.5</v>
      </c>
    </row>
    <row r="343" spans="1:35" hidden="1" x14ac:dyDescent="0.4">
      <c r="A343">
        <v>169</v>
      </c>
      <c r="B343" t="s">
        <v>34</v>
      </c>
      <c r="C343">
        <f t="shared" si="30"/>
        <v>1</v>
      </c>
      <c r="D343" t="s">
        <v>46</v>
      </c>
      <c r="E343">
        <f t="shared" si="31"/>
        <v>0</v>
      </c>
      <c r="F343" t="s">
        <v>28</v>
      </c>
      <c r="G343">
        <v>4</v>
      </c>
      <c r="H343" s="1">
        <v>54276</v>
      </c>
      <c r="I343" s="10">
        <v>0.14000000000000001</v>
      </c>
      <c r="J343">
        <v>37.5</v>
      </c>
      <c r="K343" t="s">
        <v>34</v>
      </c>
      <c r="L343">
        <v>22</v>
      </c>
      <c r="M343" t="s">
        <v>29</v>
      </c>
      <c r="N343" t="s">
        <v>42</v>
      </c>
      <c r="O343" t="s">
        <v>31</v>
      </c>
      <c r="P343">
        <v>2</v>
      </c>
      <c r="Q343" t="s">
        <v>32</v>
      </c>
      <c r="R343" t="s">
        <v>45</v>
      </c>
      <c r="S343">
        <v>3</v>
      </c>
      <c r="T343">
        <v>1</v>
      </c>
      <c r="U343">
        <v>3</v>
      </c>
      <c r="V343">
        <v>2</v>
      </c>
      <c r="W343">
        <v>2</v>
      </c>
      <c r="X343">
        <v>1</v>
      </c>
      <c r="Y343">
        <v>2</v>
      </c>
      <c r="Z343">
        <v>1</v>
      </c>
      <c r="AA343" t="str">
        <f t="shared" si="33"/>
        <v>Early Tenure</v>
      </c>
      <c r="AB343" s="5">
        <v>44776</v>
      </c>
      <c r="AC343">
        <f t="shared" si="34"/>
        <v>0</v>
      </c>
      <c r="AD343" t="s">
        <v>49</v>
      </c>
      <c r="AE343">
        <f>VLOOKUP(A343,'Employee Engagement Survey'!A143:B1612,2,FALSE)</f>
        <v>3</v>
      </c>
      <c r="AF343">
        <f>VLOOKUP(A343,'Employee Engagement Survey'!A143:C1612,3,FALSE)</f>
        <v>4</v>
      </c>
      <c r="AG343">
        <f>VLOOKUP(A343,'Employee Engagement Survey'!A143:D1612,4,FALSE)</f>
        <v>3</v>
      </c>
      <c r="AH343">
        <f>VLOOKUP(A343,'Employee Engagement Survey'!A143:E1612,5,FALSE)</f>
        <v>3</v>
      </c>
      <c r="AI343">
        <f t="shared" si="32"/>
        <v>3.25</v>
      </c>
    </row>
    <row r="344" spans="1:35" hidden="1" x14ac:dyDescent="0.4">
      <c r="A344">
        <v>176</v>
      </c>
      <c r="B344" t="s">
        <v>34</v>
      </c>
      <c r="C344">
        <f t="shared" si="30"/>
        <v>1</v>
      </c>
      <c r="D344" t="s">
        <v>57</v>
      </c>
      <c r="E344">
        <f t="shared" si="31"/>
        <v>0</v>
      </c>
      <c r="F344" t="s">
        <v>40</v>
      </c>
      <c r="G344">
        <v>9</v>
      </c>
      <c r="H344" s="1">
        <v>110268</v>
      </c>
      <c r="I344" s="10">
        <v>0.13</v>
      </c>
      <c r="J344">
        <v>37.5</v>
      </c>
      <c r="K344" t="s">
        <v>26</v>
      </c>
      <c r="L344">
        <v>41</v>
      </c>
      <c r="M344" t="s">
        <v>29</v>
      </c>
      <c r="N344" t="s">
        <v>48</v>
      </c>
      <c r="O344" t="s">
        <v>31</v>
      </c>
      <c r="P344">
        <v>9</v>
      </c>
      <c r="Q344" t="s">
        <v>32</v>
      </c>
      <c r="R344" t="s">
        <v>37</v>
      </c>
      <c r="S344">
        <v>3</v>
      </c>
      <c r="T344">
        <v>1</v>
      </c>
      <c r="U344">
        <v>12</v>
      </c>
      <c r="V344">
        <v>2</v>
      </c>
      <c r="W344">
        <v>9</v>
      </c>
      <c r="X344">
        <v>7</v>
      </c>
      <c r="Y344">
        <v>0</v>
      </c>
      <c r="Z344">
        <v>7</v>
      </c>
      <c r="AA344" t="str">
        <f t="shared" si="33"/>
        <v>Mid Tenure</v>
      </c>
      <c r="AB344" s="5">
        <v>45695</v>
      </c>
      <c r="AC344">
        <f t="shared" si="34"/>
        <v>1</v>
      </c>
      <c r="AD344" t="s">
        <v>38</v>
      </c>
      <c r="AE344">
        <f>VLOOKUP(A344,'Employee Engagement Survey'!A144:B1613,2,FALSE)</f>
        <v>3</v>
      </c>
      <c r="AF344">
        <f>VLOOKUP(A344,'Employee Engagement Survey'!A144:C1613,3,FALSE)</f>
        <v>3</v>
      </c>
      <c r="AG344">
        <f>VLOOKUP(A344,'Employee Engagement Survey'!A144:D1613,4,FALSE)</f>
        <v>3</v>
      </c>
      <c r="AH344">
        <f>VLOOKUP(A344,'Employee Engagement Survey'!A144:E1613,5,FALSE)</f>
        <v>3</v>
      </c>
      <c r="AI344">
        <f t="shared" si="32"/>
        <v>3</v>
      </c>
    </row>
    <row r="345" spans="1:35" hidden="1" x14ac:dyDescent="0.4">
      <c r="A345">
        <v>178</v>
      </c>
      <c r="B345" t="s">
        <v>34</v>
      </c>
      <c r="C345">
        <f t="shared" si="30"/>
        <v>1</v>
      </c>
      <c r="D345" t="s">
        <v>54</v>
      </c>
      <c r="E345">
        <f t="shared" si="31"/>
        <v>1</v>
      </c>
      <c r="F345" t="s">
        <v>28</v>
      </c>
      <c r="G345">
        <v>7</v>
      </c>
      <c r="H345" s="1">
        <v>71292</v>
      </c>
      <c r="I345" s="10">
        <v>0.2</v>
      </c>
      <c r="J345">
        <v>37.5</v>
      </c>
      <c r="K345" t="s">
        <v>34</v>
      </c>
      <c r="L345">
        <v>36</v>
      </c>
      <c r="M345" t="s">
        <v>29</v>
      </c>
      <c r="N345" t="s">
        <v>48</v>
      </c>
      <c r="O345" t="s">
        <v>31</v>
      </c>
      <c r="P345">
        <v>6</v>
      </c>
      <c r="Q345" t="s">
        <v>36</v>
      </c>
      <c r="R345" t="s">
        <v>33</v>
      </c>
      <c r="S345">
        <v>4</v>
      </c>
      <c r="T345">
        <v>2</v>
      </c>
      <c r="U345">
        <v>7</v>
      </c>
      <c r="V345">
        <v>0</v>
      </c>
      <c r="W345">
        <v>3</v>
      </c>
      <c r="X345">
        <v>2</v>
      </c>
      <c r="Y345">
        <v>0</v>
      </c>
      <c r="Z345">
        <v>1</v>
      </c>
      <c r="AA345" t="str">
        <f t="shared" si="33"/>
        <v>Mid Tenure</v>
      </c>
      <c r="AB345" s="5">
        <v>45067</v>
      </c>
      <c r="AC345">
        <f t="shared" si="34"/>
        <v>0</v>
      </c>
      <c r="AD345" t="s">
        <v>38</v>
      </c>
      <c r="AE345">
        <f>VLOOKUP(A345,'Employee Engagement Survey'!A145:B1614,2,FALSE)</f>
        <v>2</v>
      </c>
      <c r="AF345">
        <f>VLOOKUP(A345,'Employee Engagement Survey'!A145:C1614,3,FALSE)</f>
        <v>2</v>
      </c>
      <c r="AG345">
        <f>VLOOKUP(A345,'Employee Engagement Survey'!A145:D1614,4,FALSE)</f>
        <v>4</v>
      </c>
      <c r="AH345">
        <f>VLOOKUP(A345,'Employee Engagement Survey'!A145:E1614,5,FALSE)</f>
        <v>3</v>
      </c>
      <c r="AI345">
        <f t="shared" si="32"/>
        <v>2.75</v>
      </c>
    </row>
    <row r="346" spans="1:35" hidden="1" x14ac:dyDescent="0.4">
      <c r="A346">
        <v>247</v>
      </c>
      <c r="B346" t="s">
        <v>34</v>
      </c>
      <c r="C346">
        <f t="shared" si="30"/>
        <v>1</v>
      </c>
      <c r="D346" t="s">
        <v>27</v>
      </c>
      <c r="E346">
        <f t="shared" si="31"/>
        <v>0</v>
      </c>
      <c r="F346" t="s">
        <v>28</v>
      </c>
      <c r="G346">
        <v>4</v>
      </c>
      <c r="H346" s="1">
        <v>51732</v>
      </c>
      <c r="I346" s="10">
        <v>0.15</v>
      </c>
      <c r="J346">
        <v>37.5</v>
      </c>
      <c r="K346" t="s">
        <v>34</v>
      </c>
      <c r="L346">
        <v>34</v>
      </c>
      <c r="M346" t="s">
        <v>41</v>
      </c>
      <c r="N346" t="s">
        <v>30</v>
      </c>
      <c r="O346" t="s">
        <v>31</v>
      </c>
      <c r="P346">
        <v>27</v>
      </c>
      <c r="Q346" t="s">
        <v>36</v>
      </c>
      <c r="R346" t="s">
        <v>33</v>
      </c>
      <c r="S346">
        <v>3</v>
      </c>
      <c r="T346">
        <v>0</v>
      </c>
      <c r="U346">
        <v>9</v>
      </c>
      <c r="V346">
        <v>3</v>
      </c>
      <c r="W346">
        <v>3</v>
      </c>
      <c r="X346">
        <v>2</v>
      </c>
      <c r="Y346">
        <v>1</v>
      </c>
      <c r="Z346">
        <v>2</v>
      </c>
      <c r="AA346" t="str">
        <f t="shared" si="33"/>
        <v>Mid Tenure</v>
      </c>
      <c r="AB346" s="5">
        <v>45832</v>
      </c>
      <c r="AC346">
        <f t="shared" si="34"/>
        <v>1</v>
      </c>
      <c r="AD346" t="s">
        <v>49</v>
      </c>
      <c r="AE346">
        <f>VLOOKUP(A346,'Employee Engagement Survey'!A146:B1615,2,FALSE)</f>
        <v>4</v>
      </c>
      <c r="AF346">
        <f>VLOOKUP(A346,'Employee Engagement Survey'!A146:C1615,3,FALSE)</f>
        <v>2</v>
      </c>
      <c r="AG346">
        <f>VLOOKUP(A346,'Employee Engagement Survey'!A146:D1615,4,FALSE)</f>
        <v>4</v>
      </c>
      <c r="AH346">
        <f>VLOOKUP(A346,'Employee Engagement Survey'!A146:E1615,5,FALSE)</f>
        <v>3</v>
      </c>
      <c r="AI346">
        <f t="shared" si="32"/>
        <v>3.25</v>
      </c>
    </row>
    <row r="347" spans="1:35" hidden="1" x14ac:dyDescent="0.4">
      <c r="A347">
        <v>183</v>
      </c>
      <c r="B347" t="s">
        <v>34</v>
      </c>
      <c r="C347">
        <f t="shared" si="30"/>
        <v>1</v>
      </c>
      <c r="D347" t="s">
        <v>57</v>
      </c>
      <c r="E347">
        <f t="shared" si="31"/>
        <v>0</v>
      </c>
      <c r="F347" t="s">
        <v>40</v>
      </c>
      <c r="G347">
        <v>9</v>
      </c>
      <c r="H347" s="1">
        <v>115668</v>
      </c>
      <c r="I347" s="10">
        <v>0.18</v>
      </c>
      <c r="J347">
        <v>37.5</v>
      </c>
      <c r="K347" t="s">
        <v>34</v>
      </c>
      <c r="L347">
        <v>25</v>
      </c>
      <c r="M347" t="s">
        <v>29</v>
      </c>
      <c r="N347" t="s">
        <v>42</v>
      </c>
      <c r="O347" t="s">
        <v>31</v>
      </c>
      <c r="P347">
        <v>28</v>
      </c>
      <c r="Q347" t="s">
        <v>43</v>
      </c>
      <c r="R347" t="s">
        <v>37</v>
      </c>
      <c r="S347">
        <v>3</v>
      </c>
      <c r="T347">
        <v>0</v>
      </c>
      <c r="U347">
        <v>6</v>
      </c>
      <c r="V347">
        <v>3</v>
      </c>
      <c r="W347">
        <v>2</v>
      </c>
      <c r="X347">
        <v>2</v>
      </c>
      <c r="Y347">
        <v>2</v>
      </c>
      <c r="Z347">
        <v>2</v>
      </c>
      <c r="AA347" t="str">
        <f t="shared" si="33"/>
        <v>Early Tenure</v>
      </c>
      <c r="AB347" s="5">
        <v>44788</v>
      </c>
      <c r="AC347">
        <f t="shared" si="34"/>
        <v>0</v>
      </c>
      <c r="AD347" t="s">
        <v>49</v>
      </c>
      <c r="AE347">
        <f>VLOOKUP(A347,'Employee Engagement Survey'!A148:B1617,2,FALSE)</f>
        <v>1</v>
      </c>
      <c r="AF347">
        <f>VLOOKUP(A347,'Employee Engagement Survey'!A148:C1617,3,FALSE)</f>
        <v>3</v>
      </c>
      <c r="AG347">
        <f>VLOOKUP(A347,'Employee Engagement Survey'!A148:D1617,4,FALSE)</f>
        <v>4</v>
      </c>
      <c r="AH347">
        <f>VLOOKUP(A347,'Employee Engagement Survey'!A148:E1617,5,FALSE)</f>
        <v>3</v>
      </c>
      <c r="AI347">
        <f t="shared" si="32"/>
        <v>2.75</v>
      </c>
    </row>
    <row r="348" spans="1:35" hidden="1" x14ac:dyDescent="0.4">
      <c r="A348">
        <v>933</v>
      </c>
      <c r="B348" t="s">
        <v>34</v>
      </c>
      <c r="C348">
        <f t="shared" si="30"/>
        <v>1</v>
      </c>
      <c r="D348" t="s">
        <v>27</v>
      </c>
      <c r="E348">
        <f t="shared" si="31"/>
        <v>0</v>
      </c>
      <c r="F348" t="s">
        <v>28</v>
      </c>
      <c r="G348">
        <v>4</v>
      </c>
      <c r="H348" s="1">
        <v>51816</v>
      </c>
      <c r="I348" s="10">
        <v>0.19</v>
      </c>
      <c r="J348">
        <v>37.5</v>
      </c>
      <c r="K348" t="s">
        <v>34</v>
      </c>
      <c r="L348">
        <v>27</v>
      </c>
      <c r="M348" t="s">
        <v>41</v>
      </c>
      <c r="N348" t="s">
        <v>30</v>
      </c>
      <c r="O348" t="s">
        <v>31</v>
      </c>
      <c r="P348">
        <v>4</v>
      </c>
      <c r="Q348" t="s">
        <v>43</v>
      </c>
      <c r="R348" t="s">
        <v>37</v>
      </c>
      <c r="S348">
        <v>3</v>
      </c>
      <c r="T348">
        <v>0</v>
      </c>
      <c r="U348">
        <v>1</v>
      </c>
      <c r="V348">
        <v>2</v>
      </c>
      <c r="W348">
        <v>1</v>
      </c>
      <c r="X348">
        <v>1</v>
      </c>
      <c r="Y348">
        <v>0</v>
      </c>
      <c r="Z348">
        <v>0</v>
      </c>
      <c r="AA348" t="str">
        <f t="shared" si="33"/>
        <v>Early Tenure</v>
      </c>
      <c r="AB348" s="5">
        <v>45249</v>
      </c>
      <c r="AC348">
        <f t="shared" si="34"/>
        <v>0</v>
      </c>
      <c r="AD348" t="s">
        <v>49</v>
      </c>
      <c r="AE348">
        <f>VLOOKUP(A348,'Employee Engagement Survey'!A149:B1618,2,FALSE)</f>
        <v>2</v>
      </c>
      <c r="AF348">
        <f>VLOOKUP(A348,'Employee Engagement Survey'!A149:C1618,3,FALSE)</f>
        <v>3</v>
      </c>
      <c r="AG348">
        <f>VLOOKUP(A348,'Employee Engagement Survey'!A149:D1618,4,FALSE)</f>
        <v>3</v>
      </c>
      <c r="AH348">
        <f>VLOOKUP(A348,'Employee Engagement Survey'!A149:E1618,5,FALSE)</f>
        <v>3</v>
      </c>
      <c r="AI348">
        <f t="shared" si="32"/>
        <v>2.75</v>
      </c>
    </row>
    <row r="349" spans="1:35" hidden="1" x14ac:dyDescent="0.4">
      <c r="A349">
        <v>184</v>
      </c>
      <c r="B349" t="s">
        <v>34</v>
      </c>
      <c r="C349">
        <f t="shared" si="30"/>
        <v>1</v>
      </c>
      <c r="D349" t="s">
        <v>106</v>
      </c>
      <c r="E349">
        <f t="shared" si="31"/>
        <v>0</v>
      </c>
      <c r="F349" t="s">
        <v>59</v>
      </c>
      <c r="G349">
        <v>8</v>
      </c>
      <c r="H349" s="1">
        <v>88164</v>
      </c>
      <c r="I349" s="10">
        <v>0.19</v>
      </c>
      <c r="J349">
        <v>37.5</v>
      </c>
      <c r="K349" t="s">
        <v>26</v>
      </c>
      <c r="L349">
        <v>30</v>
      </c>
      <c r="M349" t="s">
        <v>29</v>
      </c>
      <c r="N349" t="s">
        <v>42</v>
      </c>
      <c r="O349" t="s">
        <v>31</v>
      </c>
      <c r="P349">
        <v>9</v>
      </c>
      <c r="Q349" t="s">
        <v>43</v>
      </c>
      <c r="R349" t="s">
        <v>59</v>
      </c>
      <c r="S349">
        <v>3</v>
      </c>
      <c r="T349">
        <v>0</v>
      </c>
      <c r="U349">
        <v>12</v>
      </c>
      <c r="V349">
        <v>2</v>
      </c>
      <c r="W349">
        <v>11</v>
      </c>
      <c r="X349">
        <v>9</v>
      </c>
      <c r="Y349">
        <v>4</v>
      </c>
      <c r="Z349">
        <v>7</v>
      </c>
      <c r="AA349" t="str">
        <f t="shared" si="33"/>
        <v>Long Tenure</v>
      </c>
      <c r="AB349" s="5">
        <v>45517</v>
      </c>
      <c r="AC349">
        <f t="shared" si="34"/>
        <v>1</v>
      </c>
      <c r="AD349" t="s">
        <v>38</v>
      </c>
      <c r="AE349">
        <f>VLOOKUP(A349,'Employee Engagement Survey'!A151:B1620,2,FALSE)</f>
        <v>3</v>
      </c>
      <c r="AF349">
        <f>VLOOKUP(A349,'Employee Engagement Survey'!A151:C1620,3,FALSE)</f>
        <v>4</v>
      </c>
      <c r="AG349">
        <f>VLOOKUP(A349,'Employee Engagement Survey'!A151:D1620,4,FALSE)</f>
        <v>4</v>
      </c>
      <c r="AH349">
        <f>VLOOKUP(A349,'Employee Engagement Survey'!A151:E1620,5,FALSE)</f>
        <v>1</v>
      </c>
      <c r="AI349">
        <f t="shared" si="32"/>
        <v>3</v>
      </c>
    </row>
    <row r="350" spans="1:35" hidden="1" x14ac:dyDescent="0.4">
      <c r="A350">
        <v>192</v>
      </c>
      <c r="B350" t="s">
        <v>34</v>
      </c>
      <c r="C350">
        <f t="shared" si="30"/>
        <v>1</v>
      </c>
      <c r="D350" t="s">
        <v>27</v>
      </c>
      <c r="E350">
        <f t="shared" si="31"/>
        <v>0</v>
      </c>
      <c r="F350" t="s">
        <v>28</v>
      </c>
      <c r="G350">
        <v>6</v>
      </c>
      <c r="H350" s="1">
        <v>65424</v>
      </c>
      <c r="I350" s="10">
        <v>0.13</v>
      </c>
      <c r="J350">
        <v>37.5</v>
      </c>
      <c r="K350" t="s">
        <v>34</v>
      </c>
      <c r="L350">
        <v>45</v>
      </c>
      <c r="M350" t="s">
        <v>29</v>
      </c>
      <c r="N350" t="s">
        <v>30</v>
      </c>
      <c r="O350" t="s">
        <v>31</v>
      </c>
      <c r="P350">
        <v>29</v>
      </c>
      <c r="Q350" t="s">
        <v>43</v>
      </c>
      <c r="R350" t="s">
        <v>33</v>
      </c>
      <c r="S350">
        <v>3</v>
      </c>
      <c r="T350">
        <v>0</v>
      </c>
      <c r="U350">
        <v>9</v>
      </c>
      <c r="V350">
        <v>2</v>
      </c>
      <c r="W350">
        <v>6</v>
      </c>
      <c r="X350">
        <v>5</v>
      </c>
      <c r="Y350">
        <v>0</v>
      </c>
      <c r="Z350">
        <v>3</v>
      </c>
      <c r="AA350" t="str">
        <f t="shared" si="33"/>
        <v>Mid Tenure</v>
      </c>
      <c r="AB350" s="5">
        <v>45583</v>
      </c>
      <c r="AC350">
        <f t="shared" si="34"/>
        <v>1</v>
      </c>
      <c r="AD350" t="s">
        <v>49</v>
      </c>
      <c r="AE350">
        <f>VLOOKUP(A350,'Employee Engagement Survey'!A152:B1621,2,FALSE)</f>
        <v>3</v>
      </c>
      <c r="AF350">
        <f>VLOOKUP(A350,'Employee Engagement Survey'!A152:C1621,3,FALSE)</f>
        <v>4</v>
      </c>
      <c r="AG350">
        <f>VLOOKUP(A350,'Employee Engagement Survey'!A152:D1621,4,FALSE)</f>
        <v>2</v>
      </c>
      <c r="AH350">
        <f>VLOOKUP(A350,'Employee Engagement Survey'!A152:E1621,5,FALSE)</f>
        <v>2</v>
      </c>
      <c r="AI350">
        <f t="shared" si="32"/>
        <v>2.75</v>
      </c>
    </row>
    <row r="351" spans="1:35" hidden="1" x14ac:dyDescent="0.4">
      <c r="A351">
        <v>195</v>
      </c>
      <c r="B351" t="s">
        <v>34</v>
      </c>
      <c r="C351">
        <f t="shared" si="30"/>
        <v>1</v>
      </c>
      <c r="D351" t="s">
        <v>57</v>
      </c>
      <c r="E351">
        <f t="shared" si="31"/>
        <v>0</v>
      </c>
      <c r="F351" t="s">
        <v>40</v>
      </c>
      <c r="G351">
        <v>6</v>
      </c>
      <c r="H351" s="1">
        <v>68016</v>
      </c>
      <c r="I351" s="10">
        <v>0.17</v>
      </c>
      <c r="J351">
        <v>37.5</v>
      </c>
      <c r="K351" t="s">
        <v>34</v>
      </c>
      <c r="L351">
        <v>32</v>
      </c>
      <c r="M351" t="s">
        <v>29</v>
      </c>
      <c r="N351" t="s">
        <v>48</v>
      </c>
      <c r="O351" t="s">
        <v>44</v>
      </c>
      <c r="P351">
        <v>9</v>
      </c>
      <c r="Q351" t="s">
        <v>36</v>
      </c>
      <c r="R351" t="s">
        <v>33</v>
      </c>
      <c r="S351">
        <v>3</v>
      </c>
      <c r="T351">
        <v>3</v>
      </c>
      <c r="U351">
        <v>9</v>
      </c>
      <c r="V351">
        <v>2</v>
      </c>
      <c r="W351">
        <v>8</v>
      </c>
      <c r="X351">
        <v>7</v>
      </c>
      <c r="Y351">
        <v>0</v>
      </c>
      <c r="Z351">
        <v>7</v>
      </c>
      <c r="AA351" t="str">
        <f t="shared" si="33"/>
        <v>Mid Tenure</v>
      </c>
      <c r="AB351" s="5">
        <v>45419</v>
      </c>
      <c r="AC351">
        <f t="shared" si="34"/>
        <v>1</v>
      </c>
      <c r="AD351" t="s">
        <v>49</v>
      </c>
      <c r="AE351">
        <f>VLOOKUP(A351,'Employee Engagement Survey'!A153:B1622,2,FALSE)</f>
        <v>4</v>
      </c>
      <c r="AF351">
        <f>VLOOKUP(A351,'Employee Engagement Survey'!A153:C1622,3,FALSE)</f>
        <v>4</v>
      </c>
      <c r="AG351">
        <f>VLOOKUP(A351,'Employee Engagement Survey'!A153:D1622,4,FALSE)</f>
        <v>4</v>
      </c>
      <c r="AH351">
        <f>VLOOKUP(A351,'Employee Engagement Survey'!A153:E1622,5,FALSE)</f>
        <v>4</v>
      </c>
      <c r="AI351">
        <f t="shared" si="32"/>
        <v>4</v>
      </c>
    </row>
    <row r="352" spans="1:35" hidden="1" x14ac:dyDescent="0.4">
      <c r="A352">
        <v>198</v>
      </c>
      <c r="B352" t="s">
        <v>34</v>
      </c>
      <c r="C352">
        <f t="shared" si="30"/>
        <v>1</v>
      </c>
      <c r="D352" t="s">
        <v>46</v>
      </c>
      <c r="E352">
        <f t="shared" si="31"/>
        <v>0</v>
      </c>
      <c r="F352" t="s">
        <v>28</v>
      </c>
      <c r="G352">
        <v>5</v>
      </c>
      <c r="H352" s="1">
        <v>56640</v>
      </c>
      <c r="I352" s="10">
        <v>0.13</v>
      </c>
      <c r="J352">
        <v>37.5</v>
      </c>
      <c r="K352" t="s">
        <v>34</v>
      </c>
      <c r="L352">
        <v>30</v>
      </c>
      <c r="M352" t="s">
        <v>29</v>
      </c>
      <c r="N352" t="s">
        <v>30</v>
      </c>
      <c r="O352" t="s">
        <v>31</v>
      </c>
      <c r="P352">
        <v>2</v>
      </c>
      <c r="Q352" t="s">
        <v>32</v>
      </c>
      <c r="R352" t="s">
        <v>33</v>
      </c>
      <c r="S352">
        <v>3</v>
      </c>
      <c r="T352">
        <v>0</v>
      </c>
      <c r="U352">
        <v>6</v>
      </c>
      <c r="V352">
        <v>3</v>
      </c>
      <c r="W352">
        <v>5</v>
      </c>
      <c r="X352">
        <v>3</v>
      </c>
      <c r="Y352">
        <v>1</v>
      </c>
      <c r="Z352">
        <v>2</v>
      </c>
      <c r="AA352" t="str">
        <f t="shared" si="33"/>
        <v>Mid Tenure</v>
      </c>
      <c r="AB352" s="5">
        <v>45508</v>
      </c>
      <c r="AC352">
        <f t="shared" si="34"/>
        <v>1</v>
      </c>
      <c r="AD352" t="s">
        <v>38</v>
      </c>
      <c r="AE352">
        <f>VLOOKUP(A352,'Employee Engagement Survey'!A156:B1625,2,FALSE)</f>
        <v>2</v>
      </c>
      <c r="AF352">
        <f>VLOOKUP(A352,'Employee Engagement Survey'!A156:C1625,3,FALSE)</f>
        <v>4</v>
      </c>
      <c r="AG352">
        <f>VLOOKUP(A352,'Employee Engagement Survey'!A156:D1625,4,FALSE)</f>
        <v>4</v>
      </c>
      <c r="AH352">
        <f>VLOOKUP(A352,'Employee Engagement Survey'!A156:E1625,5,FALSE)</f>
        <v>3</v>
      </c>
      <c r="AI352">
        <f t="shared" si="32"/>
        <v>3.25</v>
      </c>
    </row>
    <row r="353" spans="1:35" hidden="1" x14ac:dyDescent="0.4">
      <c r="A353">
        <v>199</v>
      </c>
      <c r="B353" t="s">
        <v>34</v>
      </c>
      <c r="C353">
        <f t="shared" si="30"/>
        <v>1</v>
      </c>
      <c r="D353" t="s">
        <v>109</v>
      </c>
      <c r="E353">
        <f t="shared" si="31"/>
        <v>1</v>
      </c>
      <c r="F353" t="s">
        <v>28</v>
      </c>
      <c r="G353">
        <v>4</v>
      </c>
      <c r="H353" s="1">
        <v>218172</v>
      </c>
      <c r="I353" s="10">
        <v>0.13</v>
      </c>
      <c r="J353">
        <v>37.5</v>
      </c>
      <c r="K353" t="s">
        <v>34</v>
      </c>
      <c r="L353">
        <v>41</v>
      </c>
      <c r="M353" t="s">
        <v>29</v>
      </c>
      <c r="N353" t="s">
        <v>48</v>
      </c>
      <c r="O353" t="s">
        <v>44</v>
      </c>
      <c r="P353">
        <v>10</v>
      </c>
      <c r="Q353" t="s">
        <v>43</v>
      </c>
      <c r="R353" t="s">
        <v>37</v>
      </c>
      <c r="S353">
        <v>3</v>
      </c>
      <c r="T353">
        <v>1</v>
      </c>
      <c r="U353">
        <v>21</v>
      </c>
      <c r="V353">
        <v>2</v>
      </c>
      <c r="W353">
        <v>7</v>
      </c>
      <c r="X353">
        <v>6</v>
      </c>
      <c r="Y353">
        <v>7</v>
      </c>
      <c r="Z353">
        <v>7</v>
      </c>
      <c r="AA353" t="str">
        <f t="shared" si="33"/>
        <v>Mid Tenure</v>
      </c>
      <c r="AB353" s="5">
        <v>44895</v>
      </c>
      <c r="AC353">
        <f t="shared" si="34"/>
        <v>0</v>
      </c>
      <c r="AD353" t="s">
        <v>38</v>
      </c>
      <c r="AE353">
        <f>VLOOKUP(A353,'Employee Engagement Survey'!A157:B1626,2,FALSE)</f>
        <v>4</v>
      </c>
      <c r="AF353">
        <f>VLOOKUP(A353,'Employee Engagement Survey'!A157:C1626,3,FALSE)</f>
        <v>1</v>
      </c>
      <c r="AG353">
        <f>VLOOKUP(A353,'Employee Engagement Survey'!A157:D1626,4,FALSE)</f>
        <v>2</v>
      </c>
      <c r="AH353">
        <f>VLOOKUP(A353,'Employee Engagement Survey'!A157:E1626,5,FALSE)</f>
        <v>2</v>
      </c>
      <c r="AI353">
        <f t="shared" si="32"/>
        <v>2.25</v>
      </c>
    </row>
    <row r="354" spans="1:35" hidden="1" x14ac:dyDescent="0.4">
      <c r="A354">
        <v>200</v>
      </c>
      <c r="B354" t="s">
        <v>34</v>
      </c>
      <c r="C354">
        <f t="shared" si="30"/>
        <v>1</v>
      </c>
      <c r="D354" t="s">
        <v>46</v>
      </c>
      <c r="E354">
        <f t="shared" si="31"/>
        <v>0</v>
      </c>
      <c r="F354" t="s">
        <v>28</v>
      </c>
      <c r="G354">
        <v>4</v>
      </c>
      <c r="H354" s="1">
        <v>50856</v>
      </c>
      <c r="I354" s="10">
        <v>0.21</v>
      </c>
      <c r="J354">
        <v>37.5</v>
      </c>
      <c r="K354" t="s">
        <v>34</v>
      </c>
      <c r="L354">
        <v>41</v>
      </c>
      <c r="M354" t="s">
        <v>29</v>
      </c>
      <c r="N354" t="s">
        <v>42</v>
      </c>
      <c r="O354" t="s">
        <v>31</v>
      </c>
      <c r="P354">
        <v>9</v>
      </c>
      <c r="Q354" t="s">
        <v>51</v>
      </c>
      <c r="R354" t="s">
        <v>37</v>
      </c>
      <c r="S354">
        <v>4</v>
      </c>
      <c r="T354">
        <v>1</v>
      </c>
      <c r="U354">
        <v>7</v>
      </c>
      <c r="V354">
        <v>2</v>
      </c>
      <c r="W354">
        <v>5</v>
      </c>
      <c r="X354">
        <v>0</v>
      </c>
      <c r="Y354">
        <v>1</v>
      </c>
      <c r="Z354">
        <v>4</v>
      </c>
      <c r="AA354" t="str">
        <f t="shared" si="33"/>
        <v>Mid Tenure</v>
      </c>
      <c r="AB354" s="5">
        <v>45851</v>
      </c>
      <c r="AC354">
        <f t="shared" si="34"/>
        <v>1</v>
      </c>
      <c r="AD354" t="s">
        <v>49</v>
      </c>
      <c r="AE354">
        <f>VLOOKUP(A354,'Employee Engagement Survey'!A158:B1627,2,FALSE)</f>
        <v>3</v>
      </c>
      <c r="AF354">
        <f>VLOOKUP(A354,'Employee Engagement Survey'!A158:C1627,3,FALSE)</f>
        <v>1</v>
      </c>
      <c r="AG354">
        <f>VLOOKUP(A354,'Employee Engagement Survey'!A158:D1627,4,FALSE)</f>
        <v>4</v>
      </c>
      <c r="AH354">
        <f>VLOOKUP(A354,'Employee Engagement Survey'!A158:E1627,5,FALSE)</f>
        <v>3</v>
      </c>
      <c r="AI354">
        <f t="shared" si="32"/>
        <v>2.75</v>
      </c>
    </row>
    <row r="355" spans="1:35" hidden="1" x14ac:dyDescent="0.4">
      <c r="A355">
        <v>951</v>
      </c>
      <c r="B355" t="s">
        <v>34</v>
      </c>
      <c r="C355">
        <f t="shared" si="30"/>
        <v>1</v>
      </c>
      <c r="D355" t="s">
        <v>46</v>
      </c>
      <c r="E355">
        <f t="shared" si="31"/>
        <v>0</v>
      </c>
      <c r="F355" t="s">
        <v>28</v>
      </c>
      <c r="G355">
        <v>4</v>
      </c>
      <c r="H355" s="1">
        <v>51984</v>
      </c>
      <c r="I355" s="10">
        <v>0.2</v>
      </c>
      <c r="J355">
        <v>37.5</v>
      </c>
      <c r="K355" t="s">
        <v>34</v>
      </c>
      <c r="L355">
        <v>32</v>
      </c>
      <c r="M355" t="s">
        <v>50</v>
      </c>
      <c r="N355" t="s">
        <v>42</v>
      </c>
      <c r="O355" t="s">
        <v>35</v>
      </c>
      <c r="P355">
        <v>1</v>
      </c>
      <c r="Q355" t="s">
        <v>43</v>
      </c>
      <c r="R355" t="s">
        <v>37</v>
      </c>
      <c r="S355">
        <v>4</v>
      </c>
      <c r="T355">
        <v>0</v>
      </c>
      <c r="U355">
        <v>5</v>
      </c>
      <c r="V355">
        <v>3</v>
      </c>
      <c r="W355">
        <v>3</v>
      </c>
      <c r="X355">
        <v>0</v>
      </c>
      <c r="Y355">
        <v>0</v>
      </c>
      <c r="Z355">
        <v>2</v>
      </c>
      <c r="AA355" t="str">
        <f t="shared" si="33"/>
        <v>Mid Tenure</v>
      </c>
      <c r="AB355" s="5">
        <v>45695</v>
      </c>
      <c r="AC355">
        <f t="shared" si="34"/>
        <v>1</v>
      </c>
      <c r="AD355" t="s">
        <v>49</v>
      </c>
      <c r="AE355">
        <f>VLOOKUP(A355,'Employee Engagement Survey'!A159:B1628,2,FALSE)</f>
        <v>3</v>
      </c>
      <c r="AF355">
        <f>VLOOKUP(A355,'Employee Engagement Survey'!A159:C1628,3,FALSE)</f>
        <v>2</v>
      </c>
      <c r="AG355">
        <f>VLOOKUP(A355,'Employee Engagement Survey'!A159:D1628,4,FALSE)</f>
        <v>3</v>
      </c>
      <c r="AH355">
        <f>VLOOKUP(A355,'Employee Engagement Survey'!A159:E1628,5,FALSE)</f>
        <v>3</v>
      </c>
      <c r="AI355">
        <f t="shared" si="32"/>
        <v>2.75</v>
      </c>
    </row>
    <row r="356" spans="1:35" hidden="1" x14ac:dyDescent="0.4">
      <c r="A356">
        <v>204</v>
      </c>
      <c r="B356" t="s">
        <v>34</v>
      </c>
      <c r="C356">
        <f t="shared" si="30"/>
        <v>1</v>
      </c>
      <c r="D356" t="s">
        <v>57</v>
      </c>
      <c r="E356">
        <f t="shared" si="31"/>
        <v>0</v>
      </c>
      <c r="F356" t="s">
        <v>40</v>
      </c>
      <c r="G356">
        <v>8</v>
      </c>
      <c r="H356" s="1">
        <v>99540</v>
      </c>
      <c r="I356" s="10">
        <v>0.13</v>
      </c>
      <c r="J356">
        <v>37.5</v>
      </c>
      <c r="K356" t="s">
        <v>34</v>
      </c>
      <c r="L356">
        <v>35</v>
      </c>
      <c r="M356" t="s">
        <v>29</v>
      </c>
      <c r="N356" t="s">
        <v>42</v>
      </c>
      <c r="O356" t="s">
        <v>31</v>
      </c>
      <c r="P356">
        <v>1</v>
      </c>
      <c r="Q356" t="s">
        <v>58</v>
      </c>
      <c r="R356" t="s">
        <v>56</v>
      </c>
      <c r="S356">
        <v>3</v>
      </c>
      <c r="T356">
        <v>2</v>
      </c>
      <c r="U356">
        <v>10</v>
      </c>
      <c r="V356">
        <v>3</v>
      </c>
      <c r="W356">
        <v>10</v>
      </c>
      <c r="X356">
        <v>8</v>
      </c>
      <c r="Y356">
        <v>0</v>
      </c>
      <c r="Z356">
        <v>6</v>
      </c>
      <c r="AA356" t="str">
        <f t="shared" si="33"/>
        <v>Long Tenure</v>
      </c>
      <c r="AB356" s="5">
        <v>45176</v>
      </c>
      <c r="AC356">
        <f t="shared" si="34"/>
        <v>0</v>
      </c>
      <c r="AD356" t="s">
        <v>49</v>
      </c>
      <c r="AE356">
        <f>VLOOKUP(A356,'Employee Engagement Survey'!A160:B1629,2,FALSE)</f>
        <v>3</v>
      </c>
      <c r="AF356">
        <f>VLOOKUP(A356,'Employee Engagement Survey'!A160:C1629,3,FALSE)</f>
        <v>2</v>
      </c>
      <c r="AG356">
        <f>VLOOKUP(A356,'Employee Engagement Survey'!A160:D1629,4,FALSE)</f>
        <v>1</v>
      </c>
      <c r="AH356">
        <f>VLOOKUP(A356,'Employee Engagement Survey'!A160:E1629,5,FALSE)</f>
        <v>3</v>
      </c>
      <c r="AI356">
        <f t="shared" si="32"/>
        <v>2.25</v>
      </c>
    </row>
    <row r="357" spans="1:35" hidden="1" x14ac:dyDescent="0.4">
      <c r="A357">
        <v>205</v>
      </c>
      <c r="B357" t="s">
        <v>34</v>
      </c>
      <c r="C357">
        <f t="shared" si="30"/>
        <v>1</v>
      </c>
      <c r="D357" t="s">
        <v>39</v>
      </c>
      <c r="E357">
        <f t="shared" si="31"/>
        <v>0</v>
      </c>
      <c r="F357" t="s">
        <v>40</v>
      </c>
      <c r="G357">
        <v>4</v>
      </c>
      <c r="H357" s="1">
        <v>51672</v>
      </c>
      <c r="I357" s="10">
        <v>0.2</v>
      </c>
      <c r="J357">
        <v>37.5</v>
      </c>
      <c r="K357" t="s">
        <v>26</v>
      </c>
      <c r="L357">
        <v>53</v>
      </c>
      <c r="M357" t="s">
        <v>29</v>
      </c>
      <c r="N357" t="s">
        <v>42</v>
      </c>
      <c r="O357" t="s">
        <v>31</v>
      </c>
      <c r="P357">
        <v>6</v>
      </c>
      <c r="Q357" t="s">
        <v>36</v>
      </c>
      <c r="R357" t="s">
        <v>56</v>
      </c>
      <c r="S357">
        <v>4</v>
      </c>
      <c r="T357">
        <v>1</v>
      </c>
      <c r="U357">
        <v>13</v>
      </c>
      <c r="V357">
        <v>3</v>
      </c>
      <c r="W357">
        <v>7</v>
      </c>
      <c r="X357">
        <v>7</v>
      </c>
      <c r="Y357">
        <v>4</v>
      </c>
      <c r="Z357">
        <v>5</v>
      </c>
      <c r="AA357" t="str">
        <f t="shared" si="33"/>
        <v>Mid Tenure</v>
      </c>
      <c r="AB357" s="5">
        <v>46015</v>
      </c>
      <c r="AC357">
        <f t="shared" si="34"/>
        <v>1</v>
      </c>
      <c r="AD357" t="s">
        <v>49</v>
      </c>
      <c r="AE357">
        <f>VLOOKUP(A357,'Employee Engagement Survey'!A161:B1630,2,FALSE)</f>
        <v>2</v>
      </c>
      <c r="AF357">
        <f>VLOOKUP(A357,'Employee Engagement Survey'!A161:C1630,3,FALSE)</f>
        <v>3</v>
      </c>
      <c r="AG357">
        <f>VLOOKUP(A357,'Employee Engagement Survey'!A161:D1630,4,FALSE)</f>
        <v>4</v>
      </c>
      <c r="AH357">
        <f>VLOOKUP(A357,'Employee Engagement Survey'!A161:E1630,5,FALSE)</f>
        <v>1</v>
      </c>
      <c r="AI357">
        <f t="shared" si="32"/>
        <v>2.5</v>
      </c>
    </row>
    <row r="358" spans="1:35" hidden="1" x14ac:dyDescent="0.4">
      <c r="A358">
        <v>206</v>
      </c>
      <c r="B358" t="s">
        <v>34</v>
      </c>
      <c r="C358">
        <f t="shared" si="30"/>
        <v>1</v>
      </c>
      <c r="D358" t="s">
        <v>46</v>
      </c>
      <c r="E358">
        <f t="shared" si="31"/>
        <v>0</v>
      </c>
      <c r="F358" t="s">
        <v>28</v>
      </c>
      <c r="G358">
        <v>4</v>
      </c>
      <c r="H358" s="1">
        <v>52176</v>
      </c>
      <c r="I358" s="10">
        <v>0.18</v>
      </c>
      <c r="J358">
        <v>37.5</v>
      </c>
      <c r="K358" t="s">
        <v>34</v>
      </c>
      <c r="L358">
        <v>45</v>
      </c>
      <c r="M358" t="s">
        <v>29</v>
      </c>
      <c r="N358" t="s">
        <v>48</v>
      </c>
      <c r="O358" t="s">
        <v>31</v>
      </c>
      <c r="P358">
        <v>9</v>
      </c>
      <c r="Q358" t="s">
        <v>43</v>
      </c>
      <c r="R358" t="s">
        <v>37</v>
      </c>
      <c r="S358">
        <v>3</v>
      </c>
      <c r="T358">
        <v>1</v>
      </c>
      <c r="U358">
        <v>20</v>
      </c>
      <c r="V358">
        <v>2</v>
      </c>
      <c r="W358">
        <v>17</v>
      </c>
      <c r="X358">
        <v>9</v>
      </c>
      <c r="Y358">
        <v>0</v>
      </c>
      <c r="Z358">
        <v>15</v>
      </c>
      <c r="AA358" t="str">
        <f t="shared" si="33"/>
        <v>Long Tenure</v>
      </c>
      <c r="AB358" s="5">
        <v>45115</v>
      </c>
      <c r="AC358">
        <f t="shared" si="34"/>
        <v>0</v>
      </c>
      <c r="AD358" t="s">
        <v>49</v>
      </c>
      <c r="AE358">
        <f>VLOOKUP(A358,'Employee Engagement Survey'!A162:B1631,2,FALSE)</f>
        <v>2</v>
      </c>
      <c r="AF358">
        <f>VLOOKUP(A358,'Employee Engagement Survey'!A162:C1631,3,FALSE)</f>
        <v>2</v>
      </c>
      <c r="AG358">
        <f>VLOOKUP(A358,'Employee Engagement Survey'!A162:D1631,4,FALSE)</f>
        <v>3</v>
      </c>
      <c r="AH358">
        <f>VLOOKUP(A358,'Employee Engagement Survey'!A162:E1631,5,FALSE)</f>
        <v>1</v>
      </c>
      <c r="AI358">
        <f t="shared" si="32"/>
        <v>2</v>
      </c>
    </row>
    <row r="359" spans="1:35" hidden="1" x14ac:dyDescent="0.4">
      <c r="A359">
        <v>208</v>
      </c>
      <c r="B359" t="s">
        <v>34</v>
      </c>
      <c r="C359">
        <f t="shared" si="30"/>
        <v>1</v>
      </c>
      <c r="D359" t="s">
        <v>54</v>
      </c>
      <c r="E359">
        <f t="shared" si="31"/>
        <v>1</v>
      </c>
      <c r="F359" t="s">
        <v>28</v>
      </c>
      <c r="G359">
        <v>6</v>
      </c>
      <c r="H359" s="1">
        <v>63828</v>
      </c>
      <c r="I359" s="10">
        <v>0.13</v>
      </c>
      <c r="J359">
        <v>37.5</v>
      </c>
      <c r="K359" t="s">
        <v>34</v>
      </c>
      <c r="L359">
        <v>29</v>
      </c>
      <c r="M359" t="s">
        <v>50</v>
      </c>
      <c r="N359" t="s">
        <v>42</v>
      </c>
      <c r="O359" t="s">
        <v>35</v>
      </c>
      <c r="P359">
        <v>1</v>
      </c>
      <c r="Q359" t="s">
        <v>32</v>
      </c>
      <c r="R359" t="s">
        <v>45</v>
      </c>
      <c r="S359">
        <v>3</v>
      </c>
      <c r="T359">
        <v>1</v>
      </c>
      <c r="U359">
        <v>10</v>
      </c>
      <c r="V359">
        <v>1</v>
      </c>
      <c r="W359">
        <v>10</v>
      </c>
      <c r="X359">
        <v>7</v>
      </c>
      <c r="Y359">
        <v>0</v>
      </c>
      <c r="Z359">
        <v>9</v>
      </c>
      <c r="AA359" t="str">
        <f t="shared" si="33"/>
        <v>Long Tenure</v>
      </c>
      <c r="AB359" s="5">
        <v>45325</v>
      </c>
      <c r="AC359">
        <f t="shared" si="34"/>
        <v>1</v>
      </c>
      <c r="AD359" t="s">
        <v>49</v>
      </c>
      <c r="AE359">
        <f>VLOOKUP(A359,'Employee Engagement Survey'!A163:B1632,2,FALSE)</f>
        <v>4</v>
      </c>
      <c r="AF359">
        <f>VLOOKUP(A359,'Employee Engagement Survey'!A163:C1632,3,FALSE)</f>
        <v>3</v>
      </c>
      <c r="AG359">
        <f>VLOOKUP(A359,'Employee Engagement Survey'!A163:D1632,4,FALSE)</f>
        <v>1</v>
      </c>
      <c r="AH359">
        <f>VLOOKUP(A359,'Employee Engagement Survey'!A163:E1632,5,FALSE)</f>
        <v>3</v>
      </c>
      <c r="AI359">
        <f t="shared" si="32"/>
        <v>2.75</v>
      </c>
    </row>
    <row r="360" spans="1:35" hidden="1" x14ac:dyDescent="0.4">
      <c r="A360">
        <v>54</v>
      </c>
      <c r="B360" t="s">
        <v>34</v>
      </c>
      <c r="C360">
        <f t="shared" si="30"/>
        <v>1</v>
      </c>
      <c r="D360" t="s">
        <v>46</v>
      </c>
      <c r="E360">
        <f t="shared" si="31"/>
        <v>0</v>
      </c>
      <c r="F360" t="s">
        <v>28</v>
      </c>
      <c r="G360">
        <v>4</v>
      </c>
      <c r="H360" s="1">
        <v>52092</v>
      </c>
      <c r="I360" s="10">
        <v>0.13</v>
      </c>
      <c r="J360">
        <v>37.5</v>
      </c>
      <c r="K360" t="s">
        <v>34</v>
      </c>
      <c r="L360">
        <v>27</v>
      </c>
      <c r="M360" t="s">
        <v>50</v>
      </c>
      <c r="N360" t="s">
        <v>48</v>
      </c>
      <c r="O360" t="s">
        <v>31</v>
      </c>
      <c r="P360">
        <v>2</v>
      </c>
      <c r="Q360" t="s">
        <v>51</v>
      </c>
      <c r="R360" t="s">
        <v>37</v>
      </c>
      <c r="S360">
        <v>3</v>
      </c>
      <c r="T360">
        <v>1</v>
      </c>
      <c r="U360">
        <v>1</v>
      </c>
      <c r="V360">
        <v>6</v>
      </c>
      <c r="W360">
        <v>1</v>
      </c>
      <c r="X360">
        <v>0</v>
      </c>
      <c r="Y360">
        <v>0</v>
      </c>
      <c r="Z360">
        <v>0</v>
      </c>
      <c r="AA360" t="str">
        <f t="shared" si="33"/>
        <v>Early Tenure</v>
      </c>
      <c r="AB360" s="5">
        <v>45624</v>
      </c>
      <c r="AC360">
        <f t="shared" si="34"/>
        <v>1</v>
      </c>
      <c r="AD360" t="s">
        <v>49</v>
      </c>
      <c r="AE360">
        <f>VLOOKUP(A360,'Employee Engagement Survey'!A164:B1633,2,FALSE)</f>
        <v>4</v>
      </c>
      <c r="AF360">
        <f>VLOOKUP(A360,'Employee Engagement Survey'!A164:C1633,3,FALSE)</f>
        <v>1</v>
      </c>
      <c r="AG360">
        <f>VLOOKUP(A360,'Employee Engagement Survey'!A164:D1633,4,FALSE)</f>
        <v>4</v>
      </c>
      <c r="AH360">
        <f>VLOOKUP(A360,'Employee Engagement Survey'!A164:E1633,5,FALSE)</f>
        <v>3</v>
      </c>
      <c r="AI360">
        <f t="shared" si="32"/>
        <v>3</v>
      </c>
    </row>
    <row r="361" spans="1:35" hidden="1" x14ac:dyDescent="0.4">
      <c r="A361">
        <v>763</v>
      </c>
      <c r="B361" t="s">
        <v>34</v>
      </c>
      <c r="C361">
        <f t="shared" si="30"/>
        <v>1</v>
      </c>
      <c r="D361" t="s">
        <v>27</v>
      </c>
      <c r="E361">
        <f t="shared" si="31"/>
        <v>0</v>
      </c>
      <c r="F361" t="s">
        <v>28</v>
      </c>
      <c r="G361">
        <v>4</v>
      </c>
      <c r="H361" s="1">
        <v>52104</v>
      </c>
      <c r="I361" s="10">
        <v>0.2</v>
      </c>
      <c r="J361">
        <v>37.5</v>
      </c>
      <c r="K361" t="s">
        <v>26</v>
      </c>
      <c r="L361">
        <v>40</v>
      </c>
      <c r="M361" t="s">
        <v>50</v>
      </c>
      <c r="N361" t="s">
        <v>30</v>
      </c>
      <c r="O361" t="s">
        <v>31</v>
      </c>
      <c r="P361">
        <v>2</v>
      </c>
      <c r="Q361" t="s">
        <v>32</v>
      </c>
      <c r="R361" t="s">
        <v>33</v>
      </c>
      <c r="S361">
        <v>4</v>
      </c>
      <c r="T361">
        <v>0</v>
      </c>
      <c r="U361">
        <v>5</v>
      </c>
      <c r="V361">
        <v>2</v>
      </c>
      <c r="W361">
        <v>4</v>
      </c>
      <c r="X361">
        <v>2</v>
      </c>
      <c r="Y361">
        <v>2</v>
      </c>
      <c r="Z361">
        <v>3</v>
      </c>
      <c r="AA361" t="str">
        <f t="shared" si="33"/>
        <v>Mid Tenure</v>
      </c>
      <c r="AB361" s="5">
        <v>45143</v>
      </c>
      <c r="AC361">
        <f t="shared" si="34"/>
        <v>0</v>
      </c>
      <c r="AD361" t="s">
        <v>38</v>
      </c>
      <c r="AE361">
        <f>VLOOKUP(A361,'Employee Engagement Survey'!A165:B1634,2,FALSE)</f>
        <v>4</v>
      </c>
      <c r="AF361">
        <f>VLOOKUP(A361,'Employee Engagement Survey'!A165:C1634,3,FALSE)</f>
        <v>4</v>
      </c>
      <c r="AG361">
        <f>VLOOKUP(A361,'Employee Engagement Survey'!A165:D1634,4,FALSE)</f>
        <v>4</v>
      </c>
      <c r="AH361">
        <f>VLOOKUP(A361,'Employee Engagement Survey'!A165:E1634,5,FALSE)</f>
        <v>2</v>
      </c>
      <c r="AI361">
        <f t="shared" si="32"/>
        <v>3.5</v>
      </c>
    </row>
    <row r="362" spans="1:35" x14ac:dyDescent="0.4">
      <c r="A362">
        <v>211</v>
      </c>
      <c r="B362" t="s">
        <v>34</v>
      </c>
      <c r="C362">
        <f t="shared" si="30"/>
        <v>1</v>
      </c>
      <c r="D362" t="s">
        <v>54</v>
      </c>
      <c r="E362">
        <f t="shared" si="31"/>
        <v>1</v>
      </c>
      <c r="F362" t="s">
        <v>28</v>
      </c>
      <c r="G362">
        <v>8</v>
      </c>
      <c r="H362" s="1">
        <v>85584</v>
      </c>
      <c r="I362" s="10">
        <v>0.17</v>
      </c>
      <c r="J362">
        <v>37.5</v>
      </c>
      <c r="K362" t="s">
        <v>34</v>
      </c>
      <c r="L362">
        <v>51</v>
      </c>
      <c r="M362" t="s">
        <v>50</v>
      </c>
      <c r="N362" t="s">
        <v>42</v>
      </c>
      <c r="O362" t="s">
        <v>31</v>
      </c>
      <c r="P362">
        <v>7</v>
      </c>
      <c r="Q362" t="s">
        <v>51</v>
      </c>
      <c r="R362" t="s">
        <v>33</v>
      </c>
      <c r="S362">
        <v>3</v>
      </c>
      <c r="T362">
        <v>0</v>
      </c>
      <c r="U362">
        <v>10</v>
      </c>
      <c r="V362">
        <v>2</v>
      </c>
      <c r="W362">
        <v>1</v>
      </c>
      <c r="X362">
        <v>0</v>
      </c>
      <c r="Y362">
        <v>0</v>
      </c>
      <c r="Z362">
        <v>0</v>
      </c>
      <c r="AA362" t="str">
        <f t="shared" si="33"/>
        <v>Early Tenure</v>
      </c>
      <c r="AB362" s="5">
        <v>45533</v>
      </c>
      <c r="AC362">
        <f t="shared" si="34"/>
        <v>1</v>
      </c>
      <c r="AD362" t="s">
        <v>49</v>
      </c>
      <c r="AE362">
        <f>VLOOKUP(A362,'Employee Engagement Survey'!A166:B1635,2,FALSE)</f>
        <v>2</v>
      </c>
      <c r="AF362">
        <f>VLOOKUP(A362,'Employee Engagement Survey'!A166:C1635,3,FALSE)</f>
        <v>3</v>
      </c>
      <c r="AG362">
        <f>VLOOKUP(A362,'Employee Engagement Survey'!A166:D1635,4,FALSE)</f>
        <v>3</v>
      </c>
      <c r="AH362">
        <f>VLOOKUP(A362,'Employee Engagement Survey'!A166:E1635,5,FALSE)</f>
        <v>3</v>
      </c>
      <c r="AI362">
        <f t="shared" si="32"/>
        <v>2.75</v>
      </c>
    </row>
    <row r="363" spans="1:35" hidden="1" x14ac:dyDescent="0.4">
      <c r="A363">
        <v>1044</v>
      </c>
      <c r="B363" t="s">
        <v>34</v>
      </c>
      <c r="C363">
        <f t="shared" si="30"/>
        <v>1</v>
      </c>
      <c r="D363" t="s">
        <v>39</v>
      </c>
      <c r="E363">
        <f t="shared" si="31"/>
        <v>0</v>
      </c>
      <c r="F363" t="s">
        <v>40</v>
      </c>
      <c r="G363">
        <v>4</v>
      </c>
      <c r="H363" s="1">
        <v>52104</v>
      </c>
      <c r="I363" s="10">
        <v>0.19</v>
      </c>
      <c r="J363">
        <v>37.5</v>
      </c>
      <c r="K363" t="s">
        <v>34</v>
      </c>
      <c r="L363">
        <v>33</v>
      </c>
      <c r="M363" t="s">
        <v>50</v>
      </c>
      <c r="N363" t="s">
        <v>30</v>
      </c>
      <c r="O363" t="s">
        <v>35</v>
      </c>
      <c r="P363">
        <v>8</v>
      </c>
      <c r="Q363" t="s">
        <v>32</v>
      </c>
      <c r="R363" t="s">
        <v>37</v>
      </c>
      <c r="S363">
        <v>3</v>
      </c>
      <c r="T363">
        <v>0</v>
      </c>
      <c r="U363">
        <v>3</v>
      </c>
      <c r="V363">
        <v>2</v>
      </c>
      <c r="W363">
        <v>2</v>
      </c>
      <c r="X363">
        <v>2</v>
      </c>
      <c r="Y363">
        <v>2</v>
      </c>
      <c r="Z363">
        <v>2</v>
      </c>
      <c r="AA363" t="str">
        <f t="shared" si="33"/>
        <v>Early Tenure</v>
      </c>
      <c r="AB363" s="5">
        <v>45416</v>
      </c>
      <c r="AC363">
        <f t="shared" si="34"/>
        <v>1</v>
      </c>
      <c r="AD363" t="s">
        <v>38</v>
      </c>
      <c r="AE363">
        <f>VLOOKUP(A363,'Employee Engagement Survey'!A167:B1636,2,FALSE)</f>
        <v>2</v>
      </c>
      <c r="AF363">
        <f>VLOOKUP(A363,'Employee Engagement Survey'!A167:C1636,3,FALSE)</f>
        <v>4</v>
      </c>
      <c r="AG363">
        <f>VLOOKUP(A363,'Employee Engagement Survey'!A167:D1636,4,FALSE)</f>
        <v>4</v>
      </c>
      <c r="AH363">
        <f>VLOOKUP(A363,'Employee Engagement Survey'!A167:E1636,5,FALSE)</f>
        <v>2</v>
      </c>
      <c r="AI363">
        <f t="shared" si="32"/>
        <v>3</v>
      </c>
    </row>
    <row r="364" spans="1:35" hidden="1" x14ac:dyDescent="0.4">
      <c r="A364">
        <v>215</v>
      </c>
      <c r="B364" t="s">
        <v>34</v>
      </c>
      <c r="C364">
        <f t="shared" si="30"/>
        <v>1</v>
      </c>
      <c r="D364" t="s">
        <v>57</v>
      </c>
      <c r="E364">
        <f t="shared" si="31"/>
        <v>0</v>
      </c>
      <c r="F364" t="s">
        <v>40</v>
      </c>
      <c r="G364">
        <v>10</v>
      </c>
      <c r="H364" s="1">
        <v>142260</v>
      </c>
      <c r="I364" s="10">
        <v>0.11</v>
      </c>
      <c r="J364">
        <v>37.5</v>
      </c>
      <c r="K364" t="s">
        <v>34</v>
      </c>
      <c r="L364">
        <v>40</v>
      </c>
      <c r="M364" t="s">
        <v>50</v>
      </c>
      <c r="N364" t="s">
        <v>42</v>
      </c>
      <c r="O364" t="s">
        <v>31</v>
      </c>
      <c r="P364">
        <v>4</v>
      </c>
      <c r="Q364" t="s">
        <v>51</v>
      </c>
      <c r="R364" t="s">
        <v>56</v>
      </c>
      <c r="S364">
        <v>3</v>
      </c>
      <c r="T364">
        <v>1</v>
      </c>
      <c r="U364">
        <v>15</v>
      </c>
      <c r="V364">
        <v>2</v>
      </c>
      <c r="W364">
        <v>12</v>
      </c>
      <c r="X364">
        <v>11</v>
      </c>
      <c r="Y364">
        <v>2</v>
      </c>
      <c r="Z364">
        <v>11</v>
      </c>
      <c r="AA364" t="str">
        <f t="shared" si="33"/>
        <v>Long Tenure</v>
      </c>
      <c r="AB364" s="5">
        <v>44764</v>
      </c>
      <c r="AC364">
        <f t="shared" si="34"/>
        <v>0</v>
      </c>
      <c r="AD364" t="s">
        <v>49</v>
      </c>
      <c r="AE364">
        <f>VLOOKUP(A364,'Employee Engagement Survey'!A168:B1637,2,FALSE)</f>
        <v>3</v>
      </c>
      <c r="AF364">
        <f>VLOOKUP(A364,'Employee Engagement Survey'!A168:C1637,3,FALSE)</f>
        <v>4</v>
      </c>
      <c r="AG364">
        <f>VLOOKUP(A364,'Employee Engagement Survey'!A168:D1637,4,FALSE)</f>
        <v>1</v>
      </c>
      <c r="AH364">
        <f>VLOOKUP(A364,'Employee Engagement Survey'!A168:E1637,5,FALSE)</f>
        <v>2</v>
      </c>
      <c r="AI364">
        <f t="shared" si="32"/>
        <v>2.5</v>
      </c>
    </row>
    <row r="365" spans="1:35" hidden="1" x14ac:dyDescent="0.4">
      <c r="A365">
        <v>217</v>
      </c>
      <c r="B365" t="s">
        <v>34</v>
      </c>
      <c r="C365">
        <f t="shared" si="30"/>
        <v>1</v>
      </c>
      <c r="D365" t="s">
        <v>27</v>
      </c>
      <c r="E365">
        <f t="shared" si="31"/>
        <v>0</v>
      </c>
      <c r="F365" t="s">
        <v>28</v>
      </c>
      <c r="G365">
        <v>4</v>
      </c>
      <c r="H365" s="1">
        <v>51876</v>
      </c>
      <c r="I365" s="10">
        <v>0.24</v>
      </c>
      <c r="J365">
        <v>37.5</v>
      </c>
      <c r="K365" t="s">
        <v>34</v>
      </c>
      <c r="L365">
        <v>22</v>
      </c>
      <c r="M365" t="s">
        <v>50</v>
      </c>
      <c r="N365" t="s">
        <v>42</v>
      </c>
      <c r="O365" t="s">
        <v>31</v>
      </c>
      <c r="P365">
        <v>19</v>
      </c>
      <c r="Q365" t="s">
        <v>32</v>
      </c>
      <c r="R365" t="s">
        <v>33</v>
      </c>
      <c r="S365">
        <v>4</v>
      </c>
      <c r="T365">
        <v>2</v>
      </c>
      <c r="U365">
        <v>2</v>
      </c>
      <c r="V365">
        <v>6</v>
      </c>
      <c r="W365">
        <v>2</v>
      </c>
      <c r="X365">
        <v>2</v>
      </c>
      <c r="Y365">
        <v>2</v>
      </c>
      <c r="Z365">
        <v>2</v>
      </c>
      <c r="AA365" t="str">
        <f t="shared" si="33"/>
        <v>Early Tenure</v>
      </c>
      <c r="AB365" s="5">
        <v>45359</v>
      </c>
      <c r="AC365">
        <f t="shared" si="34"/>
        <v>1</v>
      </c>
      <c r="AD365" t="s">
        <v>38</v>
      </c>
      <c r="AE365">
        <f>VLOOKUP(A365,'Employee Engagement Survey'!A169:B1638,2,FALSE)</f>
        <v>3</v>
      </c>
      <c r="AF365">
        <f>VLOOKUP(A365,'Employee Engagement Survey'!A169:C1638,3,FALSE)</f>
        <v>4</v>
      </c>
      <c r="AG365">
        <f>VLOOKUP(A365,'Employee Engagement Survey'!A169:D1638,4,FALSE)</f>
        <v>1</v>
      </c>
      <c r="AH365">
        <f>VLOOKUP(A365,'Employee Engagement Survey'!A169:E1638,5,FALSE)</f>
        <v>3</v>
      </c>
      <c r="AI365">
        <f t="shared" si="32"/>
        <v>2.75</v>
      </c>
    </row>
    <row r="366" spans="1:35" hidden="1" x14ac:dyDescent="0.4">
      <c r="A366">
        <v>218</v>
      </c>
      <c r="B366" t="s">
        <v>34</v>
      </c>
      <c r="C366">
        <f t="shared" si="30"/>
        <v>1</v>
      </c>
      <c r="D366" t="s">
        <v>27</v>
      </c>
      <c r="E366">
        <f t="shared" si="31"/>
        <v>0</v>
      </c>
      <c r="F366" t="s">
        <v>28</v>
      </c>
      <c r="G366">
        <v>3</v>
      </c>
      <c r="H366" s="1">
        <v>48288</v>
      </c>
      <c r="I366" s="10">
        <v>0.18</v>
      </c>
      <c r="J366">
        <v>37.5</v>
      </c>
      <c r="K366" t="s">
        <v>34</v>
      </c>
      <c r="L366">
        <v>27</v>
      </c>
      <c r="M366" t="s">
        <v>29</v>
      </c>
      <c r="N366" t="s">
        <v>48</v>
      </c>
      <c r="O366" t="s">
        <v>35</v>
      </c>
      <c r="P366">
        <v>9</v>
      </c>
      <c r="Q366" t="s">
        <v>43</v>
      </c>
      <c r="R366" t="s">
        <v>33</v>
      </c>
      <c r="S366">
        <v>3</v>
      </c>
      <c r="T366">
        <v>1</v>
      </c>
      <c r="U366">
        <v>6</v>
      </c>
      <c r="V366">
        <v>1</v>
      </c>
      <c r="W366">
        <v>2</v>
      </c>
      <c r="X366">
        <v>2</v>
      </c>
      <c r="Y366">
        <v>2</v>
      </c>
      <c r="Z366">
        <v>2</v>
      </c>
      <c r="AA366" t="str">
        <f t="shared" si="33"/>
        <v>Early Tenure</v>
      </c>
      <c r="AB366" s="5">
        <v>44726</v>
      </c>
      <c r="AC366">
        <f t="shared" si="34"/>
        <v>0</v>
      </c>
      <c r="AD366" t="s">
        <v>38</v>
      </c>
      <c r="AE366">
        <f>VLOOKUP(A366,'Employee Engagement Survey'!A170:B1639,2,FALSE)</f>
        <v>4</v>
      </c>
      <c r="AF366">
        <f>VLOOKUP(A366,'Employee Engagement Survey'!A170:C1639,3,FALSE)</f>
        <v>2</v>
      </c>
      <c r="AG366">
        <f>VLOOKUP(A366,'Employee Engagement Survey'!A170:D1639,4,FALSE)</f>
        <v>4</v>
      </c>
      <c r="AH366">
        <f>VLOOKUP(A366,'Employee Engagement Survey'!A170:E1639,5,FALSE)</f>
        <v>1</v>
      </c>
      <c r="AI366">
        <f t="shared" si="32"/>
        <v>2.75</v>
      </c>
    </row>
    <row r="367" spans="1:35" hidden="1" x14ac:dyDescent="0.4">
      <c r="A367">
        <v>221</v>
      </c>
      <c r="B367" t="s">
        <v>34</v>
      </c>
      <c r="C367">
        <f t="shared" si="30"/>
        <v>1</v>
      </c>
      <c r="D367" t="s">
        <v>27</v>
      </c>
      <c r="E367">
        <f t="shared" si="31"/>
        <v>0</v>
      </c>
      <c r="F367" t="s">
        <v>28</v>
      </c>
      <c r="G367">
        <v>5</v>
      </c>
      <c r="H367" s="1">
        <v>56556</v>
      </c>
      <c r="I367" s="10">
        <v>0.11</v>
      </c>
      <c r="J367">
        <v>37.5</v>
      </c>
      <c r="K367" t="s">
        <v>34</v>
      </c>
      <c r="L367">
        <v>28</v>
      </c>
      <c r="M367" t="s">
        <v>29</v>
      </c>
      <c r="N367" t="s">
        <v>42</v>
      </c>
      <c r="O367" t="s">
        <v>31</v>
      </c>
      <c r="P367">
        <v>21</v>
      </c>
      <c r="Q367" t="s">
        <v>43</v>
      </c>
      <c r="R367" t="s">
        <v>33</v>
      </c>
      <c r="S367">
        <v>3</v>
      </c>
      <c r="T367">
        <v>1</v>
      </c>
      <c r="U367">
        <v>5</v>
      </c>
      <c r="V367">
        <v>2</v>
      </c>
      <c r="W367">
        <v>5</v>
      </c>
      <c r="X367">
        <v>2</v>
      </c>
      <c r="Y367">
        <v>0</v>
      </c>
      <c r="Z367">
        <v>2</v>
      </c>
      <c r="AA367" t="str">
        <f t="shared" si="33"/>
        <v>Mid Tenure</v>
      </c>
      <c r="AB367" s="5">
        <v>44662</v>
      </c>
      <c r="AC367">
        <f t="shared" si="34"/>
        <v>0</v>
      </c>
      <c r="AD367" t="s">
        <v>49</v>
      </c>
      <c r="AE367">
        <f>VLOOKUP(A367,'Employee Engagement Survey'!A172:B1641,2,FALSE)</f>
        <v>3</v>
      </c>
      <c r="AF367">
        <f>VLOOKUP(A367,'Employee Engagement Survey'!A172:C1641,3,FALSE)</f>
        <v>4</v>
      </c>
      <c r="AG367">
        <f>VLOOKUP(A367,'Employee Engagement Survey'!A172:D1641,4,FALSE)</f>
        <v>3</v>
      </c>
      <c r="AH367">
        <f>VLOOKUP(A367,'Employee Engagement Survey'!A172:E1641,5,FALSE)</f>
        <v>1</v>
      </c>
      <c r="AI367">
        <f t="shared" si="32"/>
        <v>2.75</v>
      </c>
    </row>
    <row r="368" spans="1:35" hidden="1" x14ac:dyDescent="0.4">
      <c r="A368">
        <v>223</v>
      </c>
      <c r="B368" t="s">
        <v>34</v>
      </c>
      <c r="C368">
        <f t="shared" si="30"/>
        <v>1</v>
      </c>
      <c r="D368" t="s">
        <v>55</v>
      </c>
      <c r="E368">
        <f t="shared" si="31"/>
        <v>0</v>
      </c>
      <c r="F368" t="s">
        <v>28</v>
      </c>
      <c r="G368">
        <v>9</v>
      </c>
      <c r="H368" s="1">
        <v>125268</v>
      </c>
      <c r="I368" s="10">
        <v>0.16</v>
      </c>
      <c r="J368">
        <v>37.5</v>
      </c>
      <c r="K368" t="s">
        <v>26</v>
      </c>
      <c r="L368">
        <v>57</v>
      </c>
      <c r="M368" t="s">
        <v>29</v>
      </c>
      <c r="N368" t="s">
        <v>48</v>
      </c>
      <c r="O368" t="s">
        <v>31</v>
      </c>
      <c r="P368">
        <v>24</v>
      </c>
      <c r="Q368" t="s">
        <v>36</v>
      </c>
      <c r="R368" t="s">
        <v>37</v>
      </c>
      <c r="S368">
        <v>3</v>
      </c>
      <c r="T368">
        <v>1</v>
      </c>
      <c r="U368">
        <v>12</v>
      </c>
      <c r="V368">
        <v>2</v>
      </c>
      <c r="W368">
        <v>5</v>
      </c>
      <c r="X368">
        <v>3</v>
      </c>
      <c r="Y368">
        <v>1</v>
      </c>
      <c r="Z368">
        <v>4</v>
      </c>
      <c r="AA368" t="str">
        <f t="shared" si="33"/>
        <v>Mid Tenure</v>
      </c>
      <c r="AB368" s="5">
        <v>44895</v>
      </c>
      <c r="AC368">
        <f t="shared" si="34"/>
        <v>0</v>
      </c>
      <c r="AD368" t="s">
        <v>38</v>
      </c>
      <c r="AE368">
        <f>VLOOKUP(A368,'Employee Engagement Survey'!A173:B1642,2,FALSE)</f>
        <v>3</v>
      </c>
      <c r="AF368">
        <f>VLOOKUP(A368,'Employee Engagement Survey'!A173:C1642,3,FALSE)</f>
        <v>4</v>
      </c>
      <c r="AG368">
        <f>VLOOKUP(A368,'Employee Engagement Survey'!A173:D1642,4,FALSE)</f>
        <v>2</v>
      </c>
      <c r="AH368">
        <f>VLOOKUP(A368,'Employee Engagement Survey'!A173:E1642,5,FALSE)</f>
        <v>1</v>
      </c>
      <c r="AI368">
        <f t="shared" si="32"/>
        <v>2.5</v>
      </c>
    </row>
    <row r="369" spans="1:35" hidden="1" x14ac:dyDescent="0.4">
      <c r="A369">
        <v>224</v>
      </c>
      <c r="B369" t="s">
        <v>34</v>
      </c>
      <c r="C369">
        <f t="shared" si="30"/>
        <v>1</v>
      </c>
      <c r="D369" t="s">
        <v>27</v>
      </c>
      <c r="E369">
        <f t="shared" si="31"/>
        <v>0</v>
      </c>
      <c r="F369" t="s">
        <v>28</v>
      </c>
      <c r="G369">
        <v>4</v>
      </c>
      <c r="H369" s="1">
        <v>54792</v>
      </c>
      <c r="I369" s="10">
        <v>0.15</v>
      </c>
      <c r="J369">
        <v>37.5</v>
      </c>
      <c r="K369" t="s">
        <v>26</v>
      </c>
      <c r="L369">
        <v>27</v>
      </c>
      <c r="M369" t="s">
        <v>29</v>
      </c>
      <c r="N369" t="s">
        <v>48</v>
      </c>
      <c r="O369" t="s">
        <v>35</v>
      </c>
      <c r="P369">
        <v>3</v>
      </c>
      <c r="Q369" t="s">
        <v>43</v>
      </c>
      <c r="R369" t="s">
        <v>33</v>
      </c>
      <c r="S369">
        <v>3</v>
      </c>
      <c r="T369">
        <v>1</v>
      </c>
      <c r="U369">
        <v>1</v>
      </c>
      <c r="V369">
        <v>2</v>
      </c>
      <c r="W369">
        <v>1</v>
      </c>
      <c r="X369">
        <v>1</v>
      </c>
      <c r="Y369">
        <v>0</v>
      </c>
      <c r="Z369">
        <v>1</v>
      </c>
      <c r="AA369" t="str">
        <f t="shared" si="33"/>
        <v>Early Tenure</v>
      </c>
      <c r="AB369" s="5">
        <v>44738</v>
      </c>
      <c r="AC369">
        <f t="shared" si="34"/>
        <v>0</v>
      </c>
      <c r="AD369" t="s">
        <v>49</v>
      </c>
      <c r="AE369">
        <f>VLOOKUP(A369,'Employee Engagement Survey'!A174:B1643,2,FALSE)</f>
        <v>3</v>
      </c>
      <c r="AF369">
        <f>VLOOKUP(A369,'Employee Engagement Survey'!A174:C1643,3,FALSE)</f>
        <v>3</v>
      </c>
      <c r="AG369">
        <f>VLOOKUP(A369,'Employee Engagement Survey'!A174:D1643,4,FALSE)</f>
        <v>4</v>
      </c>
      <c r="AH369">
        <f>VLOOKUP(A369,'Employee Engagement Survey'!A174:E1643,5,FALSE)</f>
        <v>2</v>
      </c>
      <c r="AI369">
        <f t="shared" si="32"/>
        <v>3</v>
      </c>
    </row>
    <row r="370" spans="1:35" hidden="1" x14ac:dyDescent="0.4">
      <c r="A370">
        <v>1576</v>
      </c>
      <c r="B370" t="s">
        <v>34</v>
      </c>
      <c r="C370">
        <f t="shared" ref="C370:C433" si="35">IF(B370="No",1,0)</f>
        <v>1</v>
      </c>
      <c r="D370" t="s">
        <v>27</v>
      </c>
      <c r="E370">
        <f t="shared" si="31"/>
        <v>0</v>
      </c>
      <c r="F370" t="s">
        <v>28</v>
      </c>
      <c r="G370">
        <v>4</v>
      </c>
      <c r="H370" s="1">
        <v>52404</v>
      </c>
      <c r="I370" s="10">
        <v>0.12</v>
      </c>
      <c r="J370">
        <v>37.5</v>
      </c>
      <c r="K370" t="s">
        <v>34</v>
      </c>
      <c r="L370">
        <v>48</v>
      </c>
      <c r="M370" t="s">
        <v>50</v>
      </c>
      <c r="N370" t="s">
        <v>42</v>
      </c>
      <c r="O370" t="s">
        <v>31</v>
      </c>
      <c r="P370">
        <v>15</v>
      </c>
      <c r="Q370" t="s">
        <v>51</v>
      </c>
      <c r="R370" t="s">
        <v>53</v>
      </c>
      <c r="S370">
        <v>3</v>
      </c>
      <c r="T370">
        <v>1</v>
      </c>
      <c r="U370">
        <v>10</v>
      </c>
      <c r="V370">
        <v>3</v>
      </c>
      <c r="W370">
        <v>8</v>
      </c>
      <c r="X370">
        <v>2</v>
      </c>
      <c r="Y370">
        <v>7</v>
      </c>
      <c r="Z370">
        <v>6</v>
      </c>
      <c r="AA370" t="str">
        <f t="shared" si="33"/>
        <v>Mid Tenure</v>
      </c>
      <c r="AB370" s="5">
        <v>45227</v>
      </c>
      <c r="AC370">
        <f t="shared" si="34"/>
        <v>0</v>
      </c>
      <c r="AD370" t="s">
        <v>49</v>
      </c>
      <c r="AE370">
        <f>VLOOKUP(A370,'Employee Engagement Survey'!A176:B1645,2,FALSE)</f>
        <v>3</v>
      </c>
      <c r="AF370">
        <f>VLOOKUP(A370,'Employee Engagement Survey'!A176:C1645,3,FALSE)</f>
        <v>1</v>
      </c>
      <c r="AG370">
        <f>VLOOKUP(A370,'Employee Engagement Survey'!A176:D1645,4,FALSE)</f>
        <v>4</v>
      </c>
      <c r="AH370">
        <f>VLOOKUP(A370,'Employee Engagement Survey'!A176:E1645,5,FALSE)</f>
        <v>2</v>
      </c>
      <c r="AI370">
        <f t="shared" si="32"/>
        <v>2.5</v>
      </c>
    </row>
    <row r="371" spans="1:35" hidden="1" x14ac:dyDescent="0.4">
      <c r="A371">
        <v>227</v>
      </c>
      <c r="B371" t="s">
        <v>34</v>
      </c>
      <c r="C371">
        <f t="shared" si="35"/>
        <v>1</v>
      </c>
      <c r="D371" t="s">
        <v>27</v>
      </c>
      <c r="E371">
        <f t="shared" si="31"/>
        <v>0</v>
      </c>
      <c r="F371" t="s">
        <v>28</v>
      </c>
      <c r="G371">
        <v>4</v>
      </c>
      <c r="H371" s="1">
        <v>53412</v>
      </c>
      <c r="I371" s="10">
        <v>0.12</v>
      </c>
      <c r="J371">
        <v>37.5</v>
      </c>
      <c r="K371" t="s">
        <v>34</v>
      </c>
      <c r="L371">
        <v>41</v>
      </c>
      <c r="M371" t="s">
        <v>29</v>
      </c>
      <c r="N371" t="s">
        <v>48</v>
      </c>
      <c r="O371" t="s">
        <v>31</v>
      </c>
      <c r="P371">
        <v>14</v>
      </c>
      <c r="Q371" t="s">
        <v>43</v>
      </c>
      <c r="R371" t="s">
        <v>37</v>
      </c>
      <c r="S371">
        <v>3</v>
      </c>
      <c r="T371">
        <v>1</v>
      </c>
      <c r="U371">
        <v>13</v>
      </c>
      <c r="V371">
        <v>2</v>
      </c>
      <c r="W371">
        <v>9</v>
      </c>
      <c r="X371">
        <v>8</v>
      </c>
      <c r="Y371">
        <v>1</v>
      </c>
      <c r="Z371">
        <v>8</v>
      </c>
      <c r="AA371" t="str">
        <f t="shared" si="33"/>
        <v>Mid Tenure</v>
      </c>
      <c r="AB371" s="5">
        <v>45959</v>
      </c>
      <c r="AC371">
        <f t="shared" si="34"/>
        <v>1</v>
      </c>
      <c r="AD371" t="s">
        <v>38</v>
      </c>
      <c r="AE371">
        <f>VLOOKUP(A371,'Employee Engagement Survey'!A177:B1646,2,FALSE)</f>
        <v>1</v>
      </c>
      <c r="AF371">
        <f>VLOOKUP(A371,'Employee Engagement Survey'!A177:C1646,3,FALSE)</f>
        <v>3</v>
      </c>
      <c r="AG371">
        <f>VLOOKUP(A371,'Employee Engagement Survey'!A177:D1646,4,FALSE)</f>
        <v>1</v>
      </c>
      <c r="AH371">
        <f>VLOOKUP(A371,'Employee Engagement Survey'!A177:E1646,5,FALSE)</f>
        <v>3</v>
      </c>
      <c r="AI371">
        <f t="shared" si="32"/>
        <v>2</v>
      </c>
    </row>
    <row r="372" spans="1:35" hidden="1" x14ac:dyDescent="0.4">
      <c r="A372">
        <v>164</v>
      </c>
      <c r="B372" t="s">
        <v>34</v>
      </c>
      <c r="C372">
        <f t="shared" si="35"/>
        <v>1</v>
      </c>
      <c r="D372" t="s">
        <v>27</v>
      </c>
      <c r="E372">
        <f t="shared" si="31"/>
        <v>0</v>
      </c>
      <c r="F372" t="s">
        <v>28</v>
      </c>
      <c r="G372">
        <v>4</v>
      </c>
      <c r="H372" s="1">
        <v>52416</v>
      </c>
      <c r="I372" s="10">
        <v>0.19</v>
      </c>
      <c r="J372">
        <v>37.5</v>
      </c>
      <c r="K372" t="s">
        <v>34</v>
      </c>
      <c r="L372">
        <v>26</v>
      </c>
      <c r="M372" t="s">
        <v>50</v>
      </c>
      <c r="N372" t="s">
        <v>42</v>
      </c>
      <c r="O372" t="s">
        <v>31</v>
      </c>
      <c r="P372">
        <v>6</v>
      </c>
      <c r="Q372" t="s">
        <v>43</v>
      </c>
      <c r="R372" t="s">
        <v>53</v>
      </c>
      <c r="S372">
        <v>3</v>
      </c>
      <c r="T372">
        <v>0</v>
      </c>
      <c r="U372">
        <v>5</v>
      </c>
      <c r="V372">
        <v>3</v>
      </c>
      <c r="W372">
        <v>5</v>
      </c>
      <c r="X372">
        <v>4</v>
      </c>
      <c r="Y372">
        <v>4</v>
      </c>
      <c r="Z372">
        <v>3</v>
      </c>
      <c r="AA372" t="str">
        <f t="shared" si="33"/>
        <v>Mid Tenure</v>
      </c>
      <c r="AB372" s="5">
        <v>45849</v>
      </c>
      <c r="AC372">
        <f t="shared" si="34"/>
        <v>1</v>
      </c>
      <c r="AD372" t="s">
        <v>49</v>
      </c>
      <c r="AE372">
        <f>VLOOKUP(A372,'Employee Engagement Survey'!A178:B1647,2,FALSE)</f>
        <v>3</v>
      </c>
      <c r="AF372">
        <f>VLOOKUP(A372,'Employee Engagement Survey'!A178:C1647,3,FALSE)</f>
        <v>2</v>
      </c>
      <c r="AG372">
        <f>VLOOKUP(A372,'Employee Engagement Survey'!A178:D1647,4,FALSE)</f>
        <v>3</v>
      </c>
      <c r="AH372">
        <f>VLOOKUP(A372,'Employee Engagement Survey'!A178:E1647,5,FALSE)</f>
        <v>2</v>
      </c>
      <c r="AI372">
        <f t="shared" si="32"/>
        <v>2.5</v>
      </c>
    </row>
    <row r="373" spans="1:35" hidden="1" x14ac:dyDescent="0.4">
      <c r="A373">
        <v>471</v>
      </c>
      <c r="B373" t="s">
        <v>34</v>
      </c>
      <c r="C373">
        <f t="shared" si="35"/>
        <v>1</v>
      </c>
      <c r="D373" t="s">
        <v>46</v>
      </c>
      <c r="E373">
        <f t="shared" si="31"/>
        <v>0</v>
      </c>
      <c r="F373" t="s">
        <v>28</v>
      </c>
      <c r="G373">
        <v>4</v>
      </c>
      <c r="H373" s="1">
        <v>52440</v>
      </c>
      <c r="I373" s="10">
        <v>0.13</v>
      </c>
      <c r="J373">
        <v>37.5</v>
      </c>
      <c r="K373" t="s">
        <v>34</v>
      </c>
      <c r="L373">
        <v>32</v>
      </c>
      <c r="M373" t="s">
        <v>50</v>
      </c>
      <c r="N373" t="s">
        <v>42</v>
      </c>
      <c r="O373" t="s">
        <v>31</v>
      </c>
      <c r="P373">
        <v>2</v>
      </c>
      <c r="Q373" t="s">
        <v>43</v>
      </c>
      <c r="R373" t="s">
        <v>33</v>
      </c>
      <c r="S373">
        <v>3</v>
      </c>
      <c r="T373">
        <v>1</v>
      </c>
      <c r="U373">
        <v>8</v>
      </c>
      <c r="V373">
        <v>4</v>
      </c>
      <c r="W373">
        <v>8</v>
      </c>
      <c r="X373">
        <v>0</v>
      </c>
      <c r="Y373">
        <v>0</v>
      </c>
      <c r="Z373">
        <v>7</v>
      </c>
      <c r="AA373" t="str">
        <f t="shared" si="33"/>
        <v>Mid Tenure</v>
      </c>
      <c r="AB373" s="5">
        <v>44950</v>
      </c>
      <c r="AC373">
        <f t="shared" si="34"/>
        <v>0</v>
      </c>
      <c r="AD373" t="s">
        <v>38</v>
      </c>
      <c r="AE373">
        <f>VLOOKUP(A373,'Employee Engagement Survey'!A179:B1648,2,FALSE)</f>
        <v>3</v>
      </c>
      <c r="AF373">
        <f>VLOOKUP(A373,'Employee Engagement Survey'!A179:C1648,3,FALSE)</f>
        <v>2</v>
      </c>
      <c r="AG373">
        <f>VLOOKUP(A373,'Employee Engagement Survey'!A179:D1648,4,FALSE)</f>
        <v>3</v>
      </c>
      <c r="AH373">
        <f>VLOOKUP(A373,'Employee Engagement Survey'!A179:E1648,5,FALSE)</f>
        <v>3</v>
      </c>
      <c r="AI373">
        <f t="shared" si="32"/>
        <v>2.75</v>
      </c>
    </row>
    <row r="374" spans="1:35" hidden="1" x14ac:dyDescent="0.4">
      <c r="A374">
        <v>1292</v>
      </c>
      <c r="B374" t="s">
        <v>34</v>
      </c>
      <c r="C374">
        <f t="shared" si="35"/>
        <v>1</v>
      </c>
      <c r="D374" t="s">
        <v>27</v>
      </c>
      <c r="E374">
        <f t="shared" si="31"/>
        <v>0</v>
      </c>
      <c r="F374" t="s">
        <v>28</v>
      </c>
      <c r="G374">
        <v>4</v>
      </c>
      <c r="H374" s="1">
        <v>52464</v>
      </c>
      <c r="I374" s="10">
        <v>0.16</v>
      </c>
      <c r="J374">
        <v>37.5</v>
      </c>
      <c r="K374" t="s">
        <v>26</v>
      </c>
      <c r="L374">
        <v>42</v>
      </c>
      <c r="M374" t="s">
        <v>50</v>
      </c>
      <c r="N374" t="s">
        <v>42</v>
      </c>
      <c r="O374" t="s">
        <v>31</v>
      </c>
      <c r="P374">
        <v>7</v>
      </c>
      <c r="Q374" t="s">
        <v>51</v>
      </c>
      <c r="R374" t="s">
        <v>33</v>
      </c>
      <c r="S374">
        <v>3</v>
      </c>
      <c r="T374">
        <v>0</v>
      </c>
      <c r="U374">
        <v>18</v>
      </c>
      <c r="V374">
        <v>2</v>
      </c>
      <c r="W374">
        <v>1</v>
      </c>
      <c r="X374">
        <v>0</v>
      </c>
      <c r="Y374">
        <v>0</v>
      </c>
      <c r="Z374">
        <v>0</v>
      </c>
      <c r="AA374" t="str">
        <f t="shared" si="33"/>
        <v>Early Tenure</v>
      </c>
      <c r="AB374" s="5">
        <v>45655</v>
      </c>
      <c r="AC374">
        <f t="shared" si="34"/>
        <v>1</v>
      </c>
      <c r="AD374" t="s">
        <v>49</v>
      </c>
      <c r="AE374">
        <f>VLOOKUP(A374,'Employee Engagement Survey'!A180:B1649,2,FALSE)</f>
        <v>2</v>
      </c>
      <c r="AF374">
        <f>VLOOKUP(A374,'Employee Engagement Survey'!A180:C1649,3,FALSE)</f>
        <v>2</v>
      </c>
      <c r="AG374">
        <f>VLOOKUP(A374,'Employee Engagement Survey'!A180:D1649,4,FALSE)</f>
        <v>4</v>
      </c>
      <c r="AH374">
        <f>VLOOKUP(A374,'Employee Engagement Survey'!A180:E1649,5,FALSE)</f>
        <v>3</v>
      </c>
      <c r="AI374">
        <f t="shared" si="32"/>
        <v>2.75</v>
      </c>
    </row>
    <row r="375" spans="1:35" hidden="1" x14ac:dyDescent="0.4">
      <c r="A375">
        <v>231</v>
      </c>
      <c r="B375" t="s">
        <v>34</v>
      </c>
      <c r="C375">
        <f t="shared" si="35"/>
        <v>1</v>
      </c>
      <c r="D375" t="s">
        <v>27</v>
      </c>
      <c r="E375">
        <f t="shared" si="31"/>
        <v>0</v>
      </c>
      <c r="F375" t="s">
        <v>28</v>
      </c>
      <c r="G375">
        <v>6</v>
      </c>
      <c r="H375" s="1">
        <v>60456</v>
      </c>
      <c r="I375" s="10">
        <v>0.2</v>
      </c>
      <c r="J375">
        <v>37.5</v>
      </c>
      <c r="K375" t="s">
        <v>34</v>
      </c>
      <c r="L375">
        <v>32</v>
      </c>
      <c r="M375" t="s">
        <v>29</v>
      </c>
      <c r="N375" t="s">
        <v>30</v>
      </c>
      <c r="O375" t="s">
        <v>31</v>
      </c>
      <c r="P375">
        <v>6</v>
      </c>
      <c r="Q375" t="s">
        <v>58</v>
      </c>
      <c r="R375" t="s">
        <v>37</v>
      </c>
      <c r="S375">
        <v>4</v>
      </c>
      <c r="T375">
        <v>0</v>
      </c>
      <c r="U375">
        <v>8</v>
      </c>
      <c r="V375">
        <v>2</v>
      </c>
      <c r="W375">
        <v>5</v>
      </c>
      <c r="X375">
        <v>4</v>
      </c>
      <c r="Y375">
        <v>1</v>
      </c>
      <c r="Z375">
        <v>4</v>
      </c>
      <c r="AA375" t="str">
        <f t="shared" si="33"/>
        <v>Mid Tenure</v>
      </c>
      <c r="AB375" s="5">
        <v>45608</v>
      </c>
      <c r="AC375">
        <f t="shared" si="34"/>
        <v>1</v>
      </c>
      <c r="AD375" t="s">
        <v>38</v>
      </c>
      <c r="AE375">
        <f>VLOOKUP(A375,'Employee Engagement Survey'!A181:B1650,2,FALSE)</f>
        <v>3</v>
      </c>
      <c r="AF375">
        <f>VLOOKUP(A375,'Employee Engagement Survey'!A181:C1650,3,FALSE)</f>
        <v>3</v>
      </c>
      <c r="AG375">
        <f>VLOOKUP(A375,'Employee Engagement Survey'!A181:D1650,4,FALSE)</f>
        <v>1</v>
      </c>
      <c r="AH375">
        <f>VLOOKUP(A375,'Employee Engagement Survey'!A181:E1650,5,FALSE)</f>
        <v>3</v>
      </c>
      <c r="AI375">
        <f t="shared" si="32"/>
        <v>2.5</v>
      </c>
    </row>
    <row r="376" spans="1:35" hidden="1" x14ac:dyDescent="0.4">
      <c r="A376">
        <v>233</v>
      </c>
      <c r="B376" t="s">
        <v>34</v>
      </c>
      <c r="C376">
        <f t="shared" si="35"/>
        <v>1</v>
      </c>
      <c r="D376" t="s">
        <v>27</v>
      </c>
      <c r="E376">
        <f t="shared" si="31"/>
        <v>0</v>
      </c>
      <c r="F376" t="s">
        <v>28</v>
      </c>
      <c r="G376">
        <v>6</v>
      </c>
      <c r="H376" s="1">
        <v>60696</v>
      </c>
      <c r="I376" s="10">
        <v>0.16</v>
      </c>
      <c r="J376">
        <v>37.5</v>
      </c>
      <c r="K376" t="s">
        <v>26</v>
      </c>
      <c r="L376">
        <v>27</v>
      </c>
      <c r="M376" t="s">
        <v>29</v>
      </c>
      <c r="N376" t="s">
        <v>42</v>
      </c>
      <c r="O376" t="s">
        <v>31</v>
      </c>
      <c r="P376">
        <v>17</v>
      </c>
      <c r="Q376" t="s">
        <v>43</v>
      </c>
      <c r="R376" t="s">
        <v>45</v>
      </c>
      <c r="S376">
        <v>3</v>
      </c>
      <c r="T376">
        <v>1</v>
      </c>
      <c r="U376">
        <v>6</v>
      </c>
      <c r="V376">
        <v>3</v>
      </c>
      <c r="W376">
        <v>5</v>
      </c>
      <c r="X376">
        <v>2</v>
      </c>
      <c r="Y376">
        <v>1</v>
      </c>
      <c r="Z376">
        <v>1</v>
      </c>
      <c r="AA376" t="str">
        <f t="shared" si="33"/>
        <v>Mid Tenure</v>
      </c>
      <c r="AB376" s="5">
        <v>44655</v>
      </c>
      <c r="AC376">
        <f t="shared" si="34"/>
        <v>0</v>
      </c>
      <c r="AD376" t="s">
        <v>38</v>
      </c>
      <c r="AE376">
        <f>VLOOKUP(A376,'Employee Engagement Survey'!A182:B1651,2,FALSE)</f>
        <v>3</v>
      </c>
      <c r="AF376">
        <f>VLOOKUP(A376,'Employee Engagement Survey'!A182:C1651,3,FALSE)</f>
        <v>2</v>
      </c>
      <c r="AG376">
        <f>VLOOKUP(A376,'Employee Engagement Survey'!A182:D1651,4,FALSE)</f>
        <v>4</v>
      </c>
      <c r="AH376">
        <f>VLOOKUP(A376,'Employee Engagement Survey'!A182:E1651,5,FALSE)</f>
        <v>2</v>
      </c>
      <c r="AI376">
        <f t="shared" si="32"/>
        <v>2.75</v>
      </c>
    </row>
    <row r="377" spans="1:35" hidden="1" x14ac:dyDescent="0.4">
      <c r="A377">
        <v>238</v>
      </c>
      <c r="B377" t="s">
        <v>34</v>
      </c>
      <c r="C377">
        <f t="shared" si="35"/>
        <v>1</v>
      </c>
      <c r="D377" t="s">
        <v>46</v>
      </c>
      <c r="E377">
        <f t="shared" si="31"/>
        <v>0</v>
      </c>
      <c r="F377" t="s">
        <v>28</v>
      </c>
      <c r="G377">
        <v>3</v>
      </c>
      <c r="H377" s="1">
        <v>49056</v>
      </c>
      <c r="I377" s="10">
        <v>0.12</v>
      </c>
      <c r="J377">
        <v>37.5</v>
      </c>
      <c r="K377" t="s">
        <v>34</v>
      </c>
      <c r="L377">
        <v>36</v>
      </c>
      <c r="M377" t="s">
        <v>29</v>
      </c>
      <c r="N377" t="s">
        <v>30</v>
      </c>
      <c r="O377" t="s">
        <v>44</v>
      </c>
      <c r="P377">
        <v>3</v>
      </c>
      <c r="Q377" t="s">
        <v>36</v>
      </c>
      <c r="R377" t="s">
        <v>33</v>
      </c>
      <c r="S377">
        <v>3</v>
      </c>
      <c r="T377">
        <v>0</v>
      </c>
      <c r="U377">
        <v>13</v>
      </c>
      <c r="V377">
        <v>3</v>
      </c>
      <c r="W377">
        <v>8</v>
      </c>
      <c r="X377">
        <v>7</v>
      </c>
      <c r="Y377">
        <v>7</v>
      </c>
      <c r="Z377">
        <v>2</v>
      </c>
      <c r="AA377" t="str">
        <f t="shared" si="33"/>
        <v>Mid Tenure</v>
      </c>
      <c r="AB377" s="5">
        <v>45268</v>
      </c>
      <c r="AC377">
        <f t="shared" si="34"/>
        <v>0</v>
      </c>
      <c r="AD377" t="s">
        <v>49</v>
      </c>
      <c r="AE377">
        <f>VLOOKUP(A377,'Employee Engagement Survey'!A183:B1652,2,FALSE)</f>
        <v>4</v>
      </c>
      <c r="AF377">
        <f>VLOOKUP(A377,'Employee Engagement Survey'!A183:C1652,3,FALSE)</f>
        <v>2</v>
      </c>
      <c r="AG377">
        <f>VLOOKUP(A377,'Employee Engagement Survey'!A183:D1652,4,FALSE)</f>
        <v>3</v>
      </c>
      <c r="AH377">
        <f>VLOOKUP(A377,'Employee Engagement Survey'!A183:E1652,5,FALSE)</f>
        <v>2</v>
      </c>
      <c r="AI377">
        <f t="shared" si="32"/>
        <v>2.75</v>
      </c>
    </row>
    <row r="378" spans="1:35" hidden="1" x14ac:dyDescent="0.4">
      <c r="A378">
        <v>930</v>
      </c>
      <c r="B378" t="s">
        <v>34</v>
      </c>
      <c r="C378">
        <f t="shared" si="35"/>
        <v>1</v>
      </c>
      <c r="D378" t="s">
        <v>27</v>
      </c>
      <c r="E378">
        <f t="shared" si="31"/>
        <v>0</v>
      </c>
      <c r="F378" t="s">
        <v>28</v>
      </c>
      <c r="G378">
        <v>4</v>
      </c>
      <c r="H378" s="1">
        <v>52524</v>
      </c>
      <c r="I378" s="10">
        <v>0.18</v>
      </c>
      <c r="J378">
        <v>37.5</v>
      </c>
      <c r="K378" t="s">
        <v>34</v>
      </c>
      <c r="L378">
        <v>28</v>
      </c>
      <c r="M378" t="s">
        <v>50</v>
      </c>
      <c r="N378" t="s">
        <v>48</v>
      </c>
      <c r="O378" t="s">
        <v>31</v>
      </c>
      <c r="P378">
        <v>9</v>
      </c>
      <c r="Q378" t="s">
        <v>43</v>
      </c>
      <c r="R378" t="s">
        <v>33</v>
      </c>
      <c r="S378">
        <v>3</v>
      </c>
      <c r="T378">
        <v>1</v>
      </c>
      <c r="U378">
        <v>6</v>
      </c>
      <c r="V378">
        <v>2</v>
      </c>
      <c r="W378">
        <v>2</v>
      </c>
      <c r="X378">
        <v>2</v>
      </c>
      <c r="Y378">
        <v>2</v>
      </c>
      <c r="Z378">
        <v>2</v>
      </c>
      <c r="AA378" t="str">
        <f t="shared" si="33"/>
        <v>Early Tenure</v>
      </c>
      <c r="AB378" s="5">
        <v>44965</v>
      </c>
      <c r="AC378">
        <f t="shared" si="34"/>
        <v>0</v>
      </c>
      <c r="AD378" t="s">
        <v>38</v>
      </c>
      <c r="AE378">
        <f>VLOOKUP(A378,'Employee Engagement Survey'!A184:B1653,2,FALSE)</f>
        <v>3</v>
      </c>
      <c r="AF378">
        <f>VLOOKUP(A378,'Employee Engagement Survey'!A184:C1653,3,FALSE)</f>
        <v>3</v>
      </c>
      <c r="AG378">
        <f>VLOOKUP(A378,'Employee Engagement Survey'!A184:D1653,4,FALSE)</f>
        <v>2</v>
      </c>
      <c r="AH378">
        <f>VLOOKUP(A378,'Employee Engagement Survey'!A184:E1653,5,FALSE)</f>
        <v>3</v>
      </c>
      <c r="AI378">
        <f t="shared" si="32"/>
        <v>2.75</v>
      </c>
    </row>
    <row r="379" spans="1:35" hidden="1" x14ac:dyDescent="0.4">
      <c r="A379">
        <v>239</v>
      </c>
      <c r="B379" t="s">
        <v>34</v>
      </c>
      <c r="C379">
        <f t="shared" si="35"/>
        <v>1</v>
      </c>
      <c r="D379" t="s">
        <v>46</v>
      </c>
      <c r="E379">
        <f t="shared" si="31"/>
        <v>0</v>
      </c>
      <c r="F379" t="s">
        <v>28</v>
      </c>
      <c r="G379">
        <v>6</v>
      </c>
      <c r="H379" s="1">
        <v>60864</v>
      </c>
      <c r="I379" s="10">
        <v>0.11</v>
      </c>
      <c r="J379">
        <v>37.5</v>
      </c>
      <c r="K379" t="s">
        <v>34</v>
      </c>
      <c r="L379">
        <v>30</v>
      </c>
      <c r="M379" t="s">
        <v>29</v>
      </c>
      <c r="N379" t="s">
        <v>48</v>
      </c>
      <c r="O379" t="s">
        <v>35</v>
      </c>
      <c r="P379">
        <v>9</v>
      </c>
      <c r="Q379" t="s">
        <v>43</v>
      </c>
      <c r="R379" t="s">
        <v>33</v>
      </c>
      <c r="S379">
        <v>3</v>
      </c>
      <c r="T379">
        <v>2</v>
      </c>
      <c r="U379">
        <v>12</v>
      </c>
      <c r="V379">
        <v>4</v>
      </c>
      <c r="W379">
        <v>12</v>
      </c>
      <c r="X379">
        <v>9</v>
      </c>
      <c r="Y379">
        <v>6</v>
      </c>
      <c r="Z379">
        <v>10</v>
      </c>
      <c r="AA379" t="str">
        <f t="shared" si="33"/>
        <v>Long Tenure</v>
      </c>
      <c r="AB379" s="5">
        <v>45192</v>
      </c>
      <c r="AC379">
        <f t="shared" si="34"/>
        <v>0</v>
      </c>
      <c r="AD379" t="s">
        <v>38</v>
      </c>
      <c r="AE379">
        <f>VLOOKUP(A379,'Employee Engagement Survey'!A185:B1654,2,FALSE)</f>
        <v>3</v>
      </c>
      <c r="AF379">
        <f>VLOOKUP(A379,'Employee Engagement Survey'!A185:C1654,3,FALSE)</f>
        <v>1</v>
      </c>
      <c r="AG379">
        <f>VLOOKUP(A379,'Employee Engagement Survey'!A185:D1654,4,FALSE)</f>
        <v>3</v>
      </c>
      <c r="AH379">
        <f>VLOOKUP(A379,'Employee Engagement Survey'!A185:E1654,5,FALSE)</f>
        <v>3</v>
      </c>
      <c r="AI379">
        <f t="shared" si="32"/>
        <v>2.5</v>
      </c>
    </row>
    <row r="380" spans="1:35" hidden="1" x14ac:dyDescent="0.4">
      <c r="A380">
        <v>1850</v>
      </c>
      <c r="B380" t="s">
        <v>34</v>
      </c>
      <c r="C380">
        <f t="shared" si="35"/>
        <v>1</v>
      </c>
      <c r="D380" t="s">
        <v>46</v>
      </c>
      <c r="E380">
        <f t="shared" si="31"/>
        <v>0</v>
      </c>
      <c r="F380" t="s">
        <v>28</v>
      </c>
      <c r="G380">
        <v>4</v>
      </c>
      <c r="H380" s="1">
        <v>52548</v>
      </c>
      <c r="I380" s="10">
        <v>0.14000000000000001</v>
      </c>
      <c r="J380">
        <v>37.5</v>
      </c>
      <c r="K380" t="s">
        <v>26</v>
      </c>
      <c r="L380">
        <v>27</v>
      </c>
      <c r="M380" t="s">
        <v>50</v>
      </c>
      <c r="N380" t="s">
        <v>30</v>
      </c>
      <c r="O380" t="s">
        <v>44</v>
      </c>
      <c r="P380">
        <v>5</v>
      </c>
      <c r="Q380" t="s">
        <v>36</v>
      </c>
      <c r="R380" t="s">
        <v>37</v>
      </c>
      <c r="S380">
        <v>3</v>
      </c>
      <c r="T380">
        <v>0</v>
      </c>
      <c r="U380">
        <v>6</v>
      </c>
      <c r="V380">
        <v>3</v>
      </c>
      <c r="W380">
        <v>5</v>
      </c>
      <c r="X380">
        <v>4</v>
      </c>
      <c r="Y380">
        <v>0</v>
      </c>
      <c r="Z380">
        <v>2</v>
      </c>
      <c r="AA380" t="str">
        <f t="shared" si="33"/>
        <v>Mid Tenure</v>
      </c>
      <c r="AB380" s="5">
        <v>44925</v>
      </c>
      <c r="AC380">
        <f t="shared" si="34"/>
        <v>0</v>
      </c>
      <c r="AD380" t="s">
        <v>38</v>
      </c>
      <c r="AE380">
        <f>VLOOKUP(A380,'Employee Engagement Survey'!A186:B1655,2,FALSE)</f>
        <v>4</v>
      </c>
      <c r="AF380">
        <f>VLOOKUP(A380,'Employee Engagement Survey'!A186:C1655,3,FALSE)</f>
        <v>4</v>
      </c>
      <c r="AG380">
        <f>VLOOKUP(A380,'Employee Engagement Survey'!A186:D1655,4,FALSE)</f>
        <v>3</v>
      </c>
      <c r="AH380">
        <f>VLOOKUP(A380,'Employee Engagement Survey'!A186:E1655,5,FALSE)</f>
        <v>2</v>
      </c>
      <c r="AI380">
        <f t="shared" si="32"/>
        <v>3.25</v>
      </c>
    </row>
    <row r="381" spans="1:35" hidden="1" x14ac:dyDescent="0.4">
      <c r="A381">
        <v>242</v>
      </c>
      <c r="B381" t="s">
        <v>34</v>
      </c>
      <c r="C381">
        <f t="shared" si="35"/>
        <v>1</v>
      </c>
      <c r="D381" t="s">
        <v>27</v>
      </c>
      <c r="E381">
        <f t="shared" si="31"/>
        <v>0</v>
      </c>
      <c r="F381" t="s">
        <v>28</v>
      </c>
      <c r="G381">
        <v>4</v>
      </c>
      <c r="H381" s="1">
        <v>54000</v>
      </c>
      <c r="I381" s="10">
        <v>0.14000000000000001</v>
      </c>
      <c r="J381">
        <v>37.5</v>
      </c>
      <c r="K381" t="s">
        <v>34</v>
      </c>
      <c r="L381">
        <v>33</v>
      </c>
      <c r="M381" t="s">
        <v>29</v>
      </c>
      <c r="N381" t="s">
        <v>30</v>
      </c>
      <c r="O381" t="s">
        <v>31</v>
      </c>
      <c r="P381">
        <v>2</v>
      </c>
      <c r="Q381" t="s">
        <v>43</v>
      </c>
      <c r="R381" t="s">
        <v>37</v>
      </c>
      <c r="S381">
        <v>3</v>
      </c>
      <c r="T381">
        <v>0</v>
      </c>
      <c r="U381">
        <v>4</v>
      </c>
      <c r="V381">
        <v>2</v>
      </c>
      <c r="W381">
        <v>3</v>
      </c>
      <c r="X381">
        <v>1</v>
      </c>
      <c r="Y381">
        <v>0</v>
      </c>
      <c r="Z381">
        <v>2</v>
      </c>
      <c r="AA381" t="str">
        <f t="shared" si="33"/>
        <v>Mid Tenure</v>
      </c>
      <c r="AB381" s="5">
        <v>45609</v>
      </c>
      <c r="AC381">
        <f t="shared" si="34"/>
        <v>1</v>
      </c>
      <c r="AD381" t="s">
        <v>38</v>
      </c>
      <c r="AE381">
        <f>VLOOKUP(A381,'Employee Engagement Survey'!A187:B1656,2,FALSE)</f>
        <v>3</v>
      </c>
      <c r="AF381">
        <f>VLOOKUP(A381,'Employee Engagement Survey'!A187:C1656,3,FALSE)</f>
        <v>4</v>
      </c>
      <c r="AG381">
        <f>VLOOKUP(A381,'Employee Engagement Survey'!A187:D1656,4,FALSE)</f>
        <v>1</v>
      </c>
      <c r="AH381">
        <f>VLOOKUP(A381,'Employee Engagement Survey'!A187:E1656,5,FALSE)</f>
        <v>4</v>
      </c>
      <c r="AI381">
        <f t="shared" si="32"/>
        <v>3</v>
      </c>
    </row>
    <row r="382" spans="1:35" hidden="1" x14ac:dyDescent="0.4">
      <c r="A382">
        <v>249</v>
      </c>
      <c r="B382" t="s">
        <v>34</v>
      </c>
      <c r="C382">
        <f t="shared" si="35"/>
        <v>1</v>
      </c>
      <c r="D382" t="s">
        <v>46</v>
      </c>
      <c r="E382">
        <f t="shared" si="31"/>
        <v>0</v>
      </c>
      <c r="F382" t="s">
        <v>28</v>
      </c>
      <c r="G382">
        <v>6</v>
      </c>
      <c r="H382" s="1">
        <v>68280</v>
      </c>
      <c r="I382" s="10">
        <v>0.15</v>
      </c>
      <c r="J382">
        <v>37.5</v>
      </c>
      <c r="K382" t="s">
        <v>34</v>
      </c>
      <c r="L382">
        <v>50</v>
      </c>
      <c r="M382" t="s">
        <v>29</v>
      </c>
      <c r="N382" t="s">
        <v>42</v>
      </c>
      <c r="O382" t="s">
        <v>31</v>
      </c>
      <c r="P382">
        <v>1</v>
      </c>
      <c r="Q382" t="s">
        <v>43</v>
      </c>
      <c r="R382" t="s">
        <v>33</v>
      </c>
      <c r="S382">
        <v>3</v>
      </c>
      <c r="T382">
        <v>1</v>
      </c>
      <c r="U382">
        <v>5</v>
      </c>
      <c r="V382">
        <v>2</v>
      </c>
      <c r="W382">
        <v>3</v>
      </c>
      <c r="X382">
        <v>2</v>
      </c>
      <c r="Y382">
        <v>0</v>
      </c>
      <c r="Z382">
        <v>2</v>
      </c>
      <c r="AA382" t="str">
        <f t="shared" si="33"/>
        <v>Mid Tenure</v>
      </c>
      <c r="AB382" s="5">
        <v>44930</v>
      </c>
      <c r="AC382">
        <f t="shared" si="34"/>
        <v>0</v>
      </c>
      <c r="AD382" t="s">
        <v>38</v>
      </c>
      <c r="AE382">
        <f>VLOOKUP(A382,'Employee Engagement Survey'!A188:B1657,2,FALSE)</f>
        <v>3</v>
      </c>
      <c r="AF382">
        <f>VLOOKUP(A382,'Employee Engagement Survey'!A188:C1657,3,FALSE)</f>
        <v>3</v>
      </c>
      <c r="AG382">
        <f>VLOOKUP(A382,'Employee Engagement Survey'!A188:D1657,4,FALSE)</f>
        <v>4</v>
      </c>
      <c r="AH382">
        <f>VLOOKUP(A382,'Employee Engagement Survey'!A188:E1657,5,FALSE)</f>
        <v>2</v>
      </c>
      <c r="AI382">
        <f t="shared" si="32"/>
        <v>3</v>
      </c>
    </row>
    <row r="383" spans="1:35" hidden="1" x14ac:dyDescent="0.4">
      <c r="A383">
        <v>254</v>
      </c>
      <c r="B383" t="s">
        <v>34</v>
      </c>
      <c r="C383">
        <f t="shared" si="35"/>
        <v>1</v>
      </c>
      <c r="D383" t="s">
        <v>60</v>
      </c>
      <c r="E383">
        <f t="shared" si="31"/>
        <v>1</v>
      </c>
      <c r="F383" t="s">
        <v>28</v>
      </c>
      <c r="G383">
        <v>5</v>
      </c>
      <c r="H383" s="1">
        <v>236664</v>
      </c>
      <c r="I383" s="10">
        <v>0.11</v>
      </c>
      <c r="J383">
        <v>37.5</v>
      </c>
      <c r="K383" t="s">
        <v>34</v>
      </c>
      <c r="L383">
        <v>55</v>
      </c>
      <c r="M383" t="s">
        <v>29</v>
      </c>
      <c r="N383" t="s">
        <v>30</v>
      </c>
      <c r="O383" t="s">
        <v>31</v>
      </c>
      <c r="P383">
        <v>14</v>
      </c>
      <c r="Q383" t="s">
        <v>51</v>
      </c>
      <c r="R383" t="s">
        <v>33</v>
      </c>
      <c r="S383">
        <v>3</v>
      </c>
      <c r="T383">
        <v>0</v>
      </c>
      <c r="U383">
        <v>36</v>
      </c>
      <c r="V383">
        <v>3</v>
      </c>
      <c r="W383">
        <v>24</v>
      </c>
      <c r="X383">
        <v>15</v>
      </c>
      <c r="Y383">
        <v>2</v>
      </c>
      <c r="Z383">
        <v>15</v>
      </c>
      <c r="AA383" t="str">
        <f t="shared" si="33"/>
        <v>Long Tenure</v>
      </c>
      <c r="AB383" s="5">
        <v>44860</v>
      </c>
      <c r="AC383">
        <f t="shared" si="34"/>
        <v>0</v>
      </c>
      <c r="AD383" t="s">
        <v>49</v>
      </c>
      <c r="AE383">
        <f>VLOOKUP(A383,'Employee Engagement Survey'!A189:B1658,2,FALSE)</f>
        <v>3</v>
      </c>
      <c r="AF383">
        <f>VLOOKUP(A383,'Employee Engagement Survey'!A189:C1658,3,FALSE)</f>
        <v>2</v>
      </c>
      <c r="AG383">
        <f>VLOOKUP(A383,'Employee Engagement Survey'!A189:D1658,4,FALSE)</f>
        <v>4</v>
      </c>
      <c r="AH383">
        <f>VLOOKUP(A383,'Employee Engagement Survey'!A189:E1658,5,FALSE)</f>
        <v>3</v>
      </c>
      <c r="AI383">
        <f t="shared" si="32"/>
        <v>3</v>
      </c>
    </row>
    <row r="384" spans="1:35" hidden="1" x14ac:dyDescent="0.4">
      <c r="A384">
        <v>256</v>
      </c>
      <c r="B384" t="s">
        <v>34</v>
      </c>
      <c r="C384">
        <f t="shared" si="35"/>
        <v>1</v>
      </c>
      <c r="D384" t="s">
        <v>54</v>
      </c>
      <c r="E384">
        <f t="shared" si="31"/>
        <v>1</v>
      </c>
      <c r="F384" t="s">
        <v>28</v>
      </c>
      <c r="G384">
        <v>9</v>
      </c>
      <c r="H384" s="1">
        <v>126564</v>
      </c>
      <c r="I384" s="10">
        <v>0.17</v>
      </c>
      <c r="J384">
        <v>37.5</v>
      </c>
      <c r="K384" t="s">
        <v>34</v>
      </c>
      <c r="L384">
        <v>34</v>
      </c>
      <c r="M384" t="s">
        <v>29</v>
      </c>
      <c r="N384" t="s">
        <v>42</v>
      </c>
      <c r="O384" t="s">
        <v>44</v>
      </c>
      <c r="P384">
        <v>2</v>
      </c>
      <c r="Q384" t="s">
        <v>32</v>
      </c>
      <c r="R384" t="s">
        <v>37</v>
      </c>
      <c r="S384">
        <v>3</v>
      </c>
      <c r="T384">
        <v>0</v>
      </c>
      <c r="U384">
        <v>10</v>
      </c>
      <c r="V384">
        <v>2</v>
      </c>
      <c r="W384">
        <v>10</v>
      </c>
      <c r="X384">
        <v>9</v>
      </c>
      <c r="Y384">
        <v>1</v>
      </c>
      <c r="Z384">
        <v>9</v>
      </c>
      <c r="AA384" t="str">
        <f t="shared" si="33"/>
        <v>Long Tenure</v>
      </c>
      <c r="AB384" s="5">
        <v>45949</v>
      </c>
      <c r="AC384">
        <f t="shared" si="34"/>
        <v>1</v>
      </c>
      <c r="AD384" t="s">
        <v>38</v>
      </c>
      <c r="AE384">
        <f>VLOOKUP(A384,'Employee Engagement Survey'!A190:B1659,2,FALSE)</f>
        <v>4</v>
      </c>
      <c r="AF384">
        <f>VLOOKUP(A384,'Employee Engagement Survey'!A190:C1659,3,FALSE)</f>
        <v>3</v>
      </c>
      <c r="AG384">
        <f>VLOOKUP(A384,'Employee Engagement Survey'!A190:D1659,4,FALSE)</f>
        <v>3</v>
      </c>
      <c r="AH384">
        <f>VLOOKUP(A384,'Employee Engagement Survey'!A190:E1659,5,FALSE)</f>
        <v>2</v>
      </c>
      <c r="AI384">
        <f t="shared" si="32"/>
        <v>3</v>
      </c>
    </row>
    <row r="385" spans="1:35" hidden="1" x14ac:dyDescent="0.4">
      <c r="A385">
        <v>259</v>
      </c>
      <c r="B385" t="s">
        <v>34</v>
      </c>
      <c r="C385">
        <f t="shared" si="35"/>
        <v>1</v>
      </c>
      <c r="D385" t="s">
        <v>109</v>
      </c>
      <c r="E385">
        <f t="shared" si="31"/>
        <v>1</v>
      </c>
      <c r="F385" t="s">
        <v>28</v>
      </c>
      <c r="G385">
        <v>5</v>
      </c>
      <c r="H385" s="1">
        <v>251988</v>
      </c>
      <c r="I385" s="10">
        <v>0.14000000000000001</v>
      </c>
      <c r="J385">
        <v>37.5</v>
      </c>
      <c r="K385" t="s">
        <v>34</v>
      </c>
      <c r="L385">
        <v>52</v>
      </c>
      <c r="M385" t="s">
        <v>29</v>
      </c>
      <c r="N385" t="s">
        <v>42</v>
      </c>
      <c r="O385" t="s">
        <v>31</v>
      </c>
      <c r="P385">
        <v>1</v>
      </c>
      <c r="Q385" t="s">
        <v>51</v>
      </c>
      <c r="R385" t="s">
        <v>37</v>
      </c>
      <c r="S385">
        <v>3</v>
      </c>
      <c r="T385">
        <v>1</v>
      </c>
      <c r="U385">
        <v>34</v>
      </c>
      <c r="V385">
        <v>5</v>
      </c>
      <c r="W385">
        <v>33</v>
      </c>
      <c r="X385">
        <v>18</v>
      </c>
      <c r="Y385">
        <v>11</v>
      </c>
      <c r="Z385">
        <v>9</v>
      </c>
      <c r="AA385" t="str">
        <f t="shared" si="33"/>
        <v>Long Tenure</v>
      </c>
      <c r="AB385" s="5">
        <v>45856</v>
      </c>
      <c r="AC385">
        <f t="shared" si="34"/>
        <v>1</v>
      </c>
      <c r="AD385" t="s">
        <v>49</v>
      </c>
      <c r="AE385">
        <f>VLOOKUP(A385,'Employee Engagement Survey'!A191:B1660,2,FALSE)</f>
        <v>3</v>
      </c>
      <c r="AF385">
        <f>VLOOKUP(A385,'Employee Engagement Survey'!A191:C1660,3,FALSE)</f>
        <v>3</v>
      </c>
      <c r="AG385">
        <f>VLOOKUP(A385,'Employee Engagement Survey'!A191:D1660,4,FALSE)</f>
        <v>1</v>
      </c>
      <c r="AH385">
        <f>VLOOKUP(A385,'Employee Engagement Survey'!A191:E1660,5,FALSE)</f>
        <v>3</v>
      </c>
      <c r="AI385">
        <f t="shared" si="32"/>
        <v>2.5</v>
      </c>
    </row>
    <row r="386" spans="1:35" hidden="1" x14ac:dyDescent="0.4">
      <c r="A386">
        <v>262</v>
      </c>
      <c r="B386" t="s">
        <v>34</v>
      </c>
      <c r="C386">
        <f t="shared" si="35"/>
        <v>1</v>
      </c>
      <c r="D386" t="s">
        <v>27</v>
      </c>
      <c r="E386">
        <f t="shared" ref="E386:E449" si="36">IF(OR(D386="Manager, HR", D386="Manager, Sales", D386="Manager, R&amp;D", D386="Manufacturing Director",D386="Research Director", D386="VP, HR", D386="CEO"),1,0)</f>
        <v>0</v>
      </c>
      <c r="F386" t="s">
        <v>28</v>
      </c>
      <c r="G386">
        <v>3</v>
      </c>
      <c r="H386" s="1">
        <v>49068</v>
      </c>
      <c r="I386" s="10">
        <v>0.14000000000000001</v>
      </c>
      <c r="J386">
        <v>37.5</v>
      </c>
      <c r="K386" t="s">
        <v>34</v>
      </c>
      <c r="L386">
        <v>43</v>
      </c>
      <c r="M386" t="s">
        <v>29</v>
      </c>
      <c r="N386" t="s">
        <v>48</v>
      </c>
      <c r="O386" t="s">
        <v>35</v>
      </c>
      <c r="P386">
        <v>7</v>
      </c>
      <c r="Q386" t="s">
        <v>43</v>
      </c>
      <c r="R386" t="s">
        <v>33</v>
      </c>
      <c r="S386">
        <v>3</v>
      </c>
      <c r="T386">
        <v>3</v>
      </c>
      <c r="U386">
        <v>7</v>
      </c>
      <c r="V386">
        <v>3</v>
      </c>
      <c r="W386">
        <v>5</v>
      </c>
      <c r="X386">
        <v>4</v>
      </c>
      <c r="Y386">
        <v>2</v>
      </c>
      <c r="Z386">
        <v>2</v>
      </c>
      <c r="AA386" t="str">
        <f t="shared" si="33"/>
        <v>Mid Tenure</v>
      </c>
      <c r="AB386" s="5">
        <v>45693</v>
      </c>
      <c r="AC386">
        <f t="shared" si="34"/>
        <v>1</v>
      </c>
      <c r="AD386" t="s">
        <v>49</v>
      </c>
      <c r="AE386">
        <f>VLOOKUP(A386,'Employee Engagement Survey'!A195:B1664,2,FALSE)</f>
        <v>4</v>
      </c>
      <c r="AF386">
        <f>VLOOKUP(A386,'Employee Engagement Survey'!A195:C1664,3,FALSE)</f>
        <v>4</v>
      </c>
      <c r="AG386">
        <f>VLOOKUP(A386,'Employee Engagement Survey'!A195:D1664,4,FALSE)</f>
        <v>4</v>
      </c>
      <c r="AH386">
        <f>VLOOKUP(A386,'Employee Engagement Survey'!A195:E1664,5,FALSE)</f>
        <v>4</v>
      </c>
      <c r="AI386">
        <f t="shared" ref="AI386:AI449" si="37">AVERAGE(AE386:AH386)</f>
        <v>4</v>
      </c>
    </row>
    <row r="387" spans="1:35" hidden="1" x14ac:dyDescent="0.4">
      <c r="A387">
        <v>264</v>
      </c>
      <c r="B387" t="s">
        <v>34</v>
      </c>
      <c r="C387">
        <f t="shared" si="35"/>
        <v>1</v>
      </c>
      <c r="D387" t="s">
        <v>109</v>
      </c>
      <c r="E387">
        <f t="shared" si="36"/>
        <v>1</v>
      </c>
      <c r="F387" t="s">
        <v>28</v>
      </c>
      <c r="G387">
        <v>4</v>
      </c>
      <c r="H387" s="1">
        <v>213504</v>
      </c>
      <c r="I387" s="10">
        <v>0.23</v>
      </c>
      <c r="J387">
        <v>37.5</v>
      </c>
      <c r="K387" t="s">
        <v>34</v>
      </c>
      <c r="L387">
        <v>45</v>
      </c>
      <c r="M387" t="s">
        <v>29</v>
      </c>
      <c r="N387" t="s">
        <v>42</v>
      </c>
      <c r="O387" t="s">
        <v>35</v>
      </c>
      <c r="P387">
        <v>2</v>
      </c>
      <c r="Q387" t="s">
        <v>36</v>
      </c>
      <c r="R387" t="s">
        <v>33</v>
      </c>
      <c r="S387">
        <v>4</v>
      </c>
      <c r="T387">
        <v>1</v>
      </c>
      <c r="U387">
        <v>22</v>
      </c>
      <c r="V387">
        <v>1</v>
      </c>
      <c r="W387">
        <v>20</v>
      </c>
      <c r="X387">
        <v>8</v>
      </c>
      <c r="Y387">
        <v>11</v>
      </c>
      <c r="Z387">
        <v>8</v>
      </c>
      <c r="AA387" t="str">
        <f t="shared" ref="AA387:AA450" si="38">IF(W387&lt;=2,"Early Tenure",IF(W387&lt;=9,"Mid Tenure","Long Tenure"))</f>
        <v>Long Tenure</v>
      </c>
      <c r="AB387" s="5">
        <v>45278</v>
      </c>
      <c r="AC387">
        <f t="shared" ref="AC387:AC450" si="39">IF(AND(AB387&lt;&gt;"",AB387&gt;DATE(2024,1,1)),1,0)</f>
        <v>0</v>
      </c>
      <c r="AD387" t="s">
        <v>49</v>
      </c>
      <c r="AE387">
        <f>VLOOKUP(A387,'Employee Engagement Survey'!A197:B1666,2,FALSE)</f>
        <v>1</v>
      </c>
      <c r="AF387">
        <f>VLOOKUP(A387,'Employee Engagement Survey'!A197:C1666,3,FALSE)</f>
        <v>4</v>
      </c>
      <c r="AG387">
        <f>VLOOKUP(A387,'Employee Engagement Survey'!A197:D1666,4,FALSE)</f>
        <v>4</v>
      </c>
      <c r="AH387">
        <f>VLOOKUP(A387,'Employee Engagement Survey'!A197:E1666,5,FALSE)</f>
        <v>3</v>
      </c>
      <c r="AI387">
        <f t="shared" si="37"/>
        <v>3</v>
      </c>
    </row>
    <row r="388" spans="1:35" hidden="1" x14ac:dyDescent="0.4">
      <c r="A388">
        <v>79</v>
      </c>
      <c r="B388" t="s">
        <v>34</v>
      </c>
      <c r="C388">
        <f t="shared" si="35"/>
        <v>1</v>
      </c>
      <c r="D388" t="s">
        <v>46</v>
      </c>
      <c r="E388">
        <f t="shared" si="36"/>
        <v>0</v>
      </c>
      <c r="F388" t="s">
        <v>28</v>
      </c>
      <c r="G388">
        <v>4</v>
      </c>
      <c r="H388" s="1">
        <v>52872</v>
      </c>
      <c r="I388" s="10">
        <v>0.11</v>
      </c>
      <c r="J388">
        <v>37.5</v>
      </c>
      <c r="K388" t="s">
        <v>34</v>
      </c>
      <c r="L388">
        <v>38</v>
      </c>
      <c r="M388" t="s">
        <v>47</v>
      </c>
      <c r="N388" t="s">
        <v>30</v>
      </c>
      <c r="O388" t="s">
        <v>44</v>
      </c>
      <c r="P388">
        <v>29</v>
      </c>
      <c r="Q388" t="s">
        <v>58</v>
      </c>
      <c r="R388" t="s">
        <v>37</v>
      </c>
      <c r="S388">
        <v>3</v>
      </c>
      <c r="T388">
        <v>0</v>
      </c>
      <c r="U388">
        <v>10</v>
      </c>
      <c r="V388">
        <v>2</v>
      </c>
      <c r="W388">
        <v>10</v>
      </c>
      <c r="X388">
        <v>3</v>
      </c>
      <c r="Y388">
        <v>9</v>
      </c>
      <c r="Z388">
        <v>9</v>
      </c>
      <c r="AA388" t="str">
        <f t="shared" si="38"/>
        <v>Long Tenure</v>
      </c>
      <c r="AB388" s="5">
        <v>44588</v>
      </c>
      <c r="AC388">
        <f t="shared" si="39"/>
        <v>0</v>
      </c>
      <c r="AD388" t="s">
        <v>49</v>
      </c>
      <c r="AE388">
        <f>VLOOKUP(A388,'Employee Engagement Survey'!A198:B1667,2,FALSE)</f>
        <v>4</v>
      </c>
      <c r="AF388">
        <f>VLOOKUP(A388,'Employee Engagement Survey'!A198:C1667,3,FALSE)</f>
        <v>4</v>
      </c>
      <c r="AG388">
        <f>VLOOKUP(A388,'Employee Engagement Survey'!A198:D1667,4,FALSE)</f>
        <v>4</v>
      </c>
      <c r="AH388">
        <f>VLOOKUP(A388,'Employee Engagement Survey'!A198:E1667,5,FALSE)</f>
        <v>3</v>
      </c>
      <c r="AI388">
        <f t="shared" si="37"/>
        <v>3.75</v>
      </c>
    </row>
    <row r="389" spans="1:35" hidden="1" x14ac:dyDescent="0.4">
      <c r="A389">
        <v>267</v>
      </c>
      <c r="B389" t="s">
        <v>34</v>
      </c>
      <c r="C389">
        <f t="shared" si="35"/>
        <v>1</v>
      </c>
      <c r="D389" t="s">
        <v>27</v>
      </c>
      <c r="E389">
        <f t="shared" si="36"/>
        <v>0</v>
      </c>
      <c r="F389" t="s">
        <v>28</v>
      </c>
      <c r="G389">
        <v>6</v>
      </c>
      <c r="H389" s="1">
        <v>66768</v>
      </c>
      <c r="I389" s="10">
        <v>0.12</v>
      </c>
      <c r="J389">
        <v>37.5</v>
      </c>
      <c r="K389" t="s">
        <v>26</v>
      </c>
      <c r="L389">
        <v>37</v>
      </c>
      <c r="M389" t="s">
        <v>61</v>
      </c>
      <c r="N389" t="s">
        <v>42</v>
      </c>
      <c r="O389" t="s">
        <v>31</v>
      </c>
      <c r="P389">
        <v>21</v>
      </c>
      <c r="Q389" t="s">
        <v>43</v>
      </c>
      <c r="R389" t="s">
        <v>37</v>
      </c>
      <c r="S389">
        <v>3</v>
      </c>
      <c r="T389">
        <v>1</v>
      </c>
      <c r="U389">
        <v>8</v>
      </c>
      <c r="V389">
        <v>3</v>
      </c>
      <c r="W389">
        <v>8</v>
      </c>
      <c r="X389">
        <v>7</v>
      </c>
      <c r="Y389">
        <v>1</v>
      </c>
      <c r="Z389">
        <v>7</v>
      </c>
      <c r="AA389" t="str">
        <f t="shared" si="38"/>
        <v>Mid Tenure</v>
      </c>
      <c r="AB389" s="5">
        <v>45092</v>
      </c>
      <c r="AC389">
        <f t="shared" si="39"/>
        <v>0</v>
      </c>
      <c r="AD389" t="s">
        <v>38</v>
      </c>
      <c r="AE389">
        <f>VLOOKUP(A389,'Employee Engagement Survey'!A199:B1668,2,FALSE)</f>
        <v>2</v>
      </c>
      <c r="AF389">
        <f>VLOOKUP(A389,'Employee Engagement Survey'!A199:C1668,3,FALSE)</f>
        <v>1</v>
      </c>
      <c r="AG389">
        <f>VLOOKUP(A389,'Employee Engagement Survey'!A199:D1668,4,FALSE)</f>
        <v>1</v>
      </c>
      <c r="AH389">
        <f>VLOOKUP(A389,'Employee Engagement Survey'!A199:E1668,5,FALSE)</f>
        <v>2</v>
      </c>
      <c r="AI389">
        <f t="shared" si="37"/>
        <v>1.5</v>
      </c>
    </row>
    <row r="390" spans="1:35" x14ac:dyDescent="0.4">
      <c r="A390">
        <v>271</v>
      </c>
      <c r="B390" t="s">
        <v>34</v>
      </c>
      <c r="C390">
        <f t="shared" si="35"/>
        <v>1</v>
      </c>
      <c r="D390" t="s">
        <v>54</v>
      </c>
      <c r="E390">
        <f t="shared" si="36"/>
        <v>1</v>
      </c>
      <c r="F390" t="s">
        <v>28</v>
      </c>
      <c r="G390">
        <v>8</v>
      </c>
      <c r="H390" s="1">
        <v>90636</v>
      </c>
      <c r="I390" s="10">
        <v>0.14000000000000001</v>
      </c>
      <c r="J390">
        <v>37.5</v>
      </c>
      <c r="K390" t="s">
        <v>34</v>
      </c>
      <c r="L390">
        <v>38</v>
      </c>
      <c r="M390" t="s">
        <v>61</v>
      </c>
      <c r="N390" t="s">
        <v>42</v>
      </c>
      <c r="O390" t="s">
        <v>31</v>
      </c>
      <c r="P390">
        <v>2</v>
      </c>
      <c r="Q390" t="s">
        <v>51</v>
      </c>
      <c r="R390" t="s">
        <v>37</v>
      </c>
      <c r="S390">
        <v>3</v>
      </c>
      <c r="T390">
        <v>0</v>
      </c>
      <c r="U390">
        <v>14</v>
      </c>
      <c r="V390">
        <v>3</v>
      </c>
      <c r="W390">
        <v>1</v>
      </c>
      <c r="X390">
        <v>0</v>
      </c>
      <c r="Y390">
        <v>0</v>
      </c>
      <c r="Z390">
        <v>0</v>
      </c>
      <c r="AA390" t="str">
        <f t="shared" si="38"/>
        <v>Early Tenure</v>
      </c>
      <c r="AB390" s="5">
        <v>44948</v>
      </c>
      <c r="AC390">
        <f t="shared" si="39"/>
        <v>0</v>
      </c>
      <c r="AD390" t="s">
        <v>38</v>
      </c>
      <c r="AE390">
        <f>VLOOKUP(A390,'Employee Engagement Survey'!A200:B1669,2,FALSE)</f>
        <v>4</v>
      </c>
      <c r="AF390">
        <f>VLOOKUP(A390,'Employee Engagement Survey'!A200:C1669,3,FALSE)</f>
        <v>3</v>
      </c>
      <c r="AG390">
        <f>VLOOKUP(A390,'Employee Engagement Survey'!A200:D1669,4,FALSE)</f>
        <v>2</v>
      </c>
      <c r="AH390">
        <f>VLOOKUP(A390,'Employee Engagement Survey'!A200:E1669,5,FALSE)</f>
        <v>3</v>
      </c>
      <c r="AI390">
        <f t="shared" si="37"/>
        <v>3</v>
      </c>
    </row>
    <row r="391" spans="1:35" hidden="1" x14ac:dyDescent="0.4">
      <c r="A391">
        <v>273</v>
      </c>
      <c r="B391" t="s">
        <v>34</v>
      </c>
      <c r="C391">
        <f t="shared" si="35"/>
        <v>1</v>
      </c>
      <c r="D391" t="s">
        <v>54</v>
      </c>
      <c r="E391">
        <f t="shared" si="36"/>
        <v>1</v>
      </c>
      <c r="F391" t="s">
        <v>28</v>
      </c>
      <c r="G391">
        <v>8</v>
      </c>
      <c r="H391" s="1">
        <v>87132</v>
      </c>
      <c r="I391" s="10">
        <v>0.18</v>
      </c>
      <c r="J391">
        <v>37.5</v>
      </c>
      <c r="K391" t="s">
        <v>34</v>
      </c>
      <c r="L391">
        <v>38</v>
      </c>
      <c r="M391" t="s">
        <v>61</v>
      </c>
      <c r="N391" t="s">
        <v>42</v>
      </c>
      <c r="O391" t="s">
        <v>31</v>
      </c>
      <c r="P391">
        <v>29</v>
      </c>
      <c r="Q391" t="s">
        <v>43</v>
      </c>
      <c r="R391" t="s">
        <v>45</v>
      </c>
      <c r="S391">
        <v>3</v>
      </c>
      <c r="T391">
        <v>1</v>
      </c>
      <c r="U391">
        <v>9</v>
      </c>
      <c r="V391">
        <v>3</v>
      </c>
      <c r="W391">
        <v>7</v>
      </c>
      <c r="X391">
        <v>7</v>
      </c>
      <c r="Y391">
        <v>1</v>
      </c>
      <c r="Z391">
        <v>7</v>
      </c>
      <c r="AA391" t="str">
        <f t="shared" si="38"/>
        <v>Mid Tenure</v>
      </c>
      <c r="AB391" s="5">
        <v>44890</v>
      </c>
      <c r="AC391">
        <f t="shared" si="39"/>
        <v>0</v>
      </c>
      <c r="AD391" t="s">
        <v>49</v>
      </c>
      <c r="AE391">
        <f>VLOOKUP(A391,'Employee Engagement Survey'!A201:B1670,2,FALSE)</f>
        <v>4</v>
      </c>
      <c r="AF391">
        <f>VLOOKUP(A391,'Employee Engagement Survey'!A201:C1670,3,FALSE)</f>
        <v>4</v>
      </c>
      <c r="AG391">
        <f>VLOOKUP(A391,'Employee Engagement Survey'!A201:D1670,4,FALSE)</f>
        <v>1</v>
      </c>
      <c r="AH391">
        <f>VLOOKUP(A391,'Employee Engagement Survey'!A201:E1670,5,FALSE)</f>
        <v>1</v>
      </c>
      <c r="AI391">
        <f t="shared" si="37"/>
        <v>2.5</v>
      </c>
    </row>
    <row r="392" spans="1:35" x14ac:dyDescent="0.4">
      <c r="A392">
        <v>274</v>
      </c>
      <c r="B392" t="s">
        <v>34</v>
      </c>
      <c r="C392">
        <f t="shared" si="35"/>
        <v>1</v>
      </c>
      <c r="D392" t="s">
        <v>54</v>
      </c>
      <c r="E392">
        <f t="shared" si="36"/>
        <v>1</v>
      </c>
      <c r="F392" t="s">
        <v>28</v>
      </c>
      <c r="G392">
        <v>6</v>
      </c>
      <c r="H392" s="1">
        <v>63576</v>
      </c>
      <c r="I392" s="10">
        <v>0.19</v>
      </c>
      <c r="J392">
        <v>37.5</v>
      </c>
      <c r="K392" t="s">
        <v>34</v>
      </c>
      <c r="L392">
        <v>27</v>
      </c>
      <c r="M392" t="s">
        <v>61</v>
      </c>
      <c r="N392" t="s">
        <v>42</v>
      </c>
      <c r="O392" t="s">
        <v>44</v>
      </c>
      <c r="P392">
        <v>1</v>
      </c>
      <c r="Q392" t="s">
        <v>32</v>
      </c>
      <c r="R392" t="s">
        <v>45</v>
      </c>
      <c r="S392">
        <v>3</v>
      </c>
      <c r="T392">
        <v>1</v>
      </c>
      <c r="U392">
        <v>6</v>
      </c>
      <c r="V392">
        <v>1</v>
      </c>
      <c r="W392">
        <v>2</v>
      </c>
      <c r="X392">
        <v>2</v>
      </c>
      <c r="Y392">
        <v>2</v>
      </c>
      <c r="Z392">
        <v>0</v>
      </c>
      <c r="AA392" t="str">
        <f t="shared" si="38"/>
        <v>Early Tenure</v>
      </c>
      <c r="AB392" s="5">
        <v>44759</v>
      </c>
      <c r="AC392">
        <f t="shared" si="39"/>
        <v>0</v>
      </c>
      <c r="AD392" t="s">
        <v>38</v>
      </c>
      <c r="AE392">
        <f>VLOOKUP(A392,'Employee Engagement Survey'!A203:B1672,2,FALSE)</f>
        <v>3</v>
      </c>
      <c r="AF392">
        <f>VLOOKUP(A392,'Employee Engagement Survey'!A203:C1672,3,FALSE)</f>
        <v>1</v>
      </c>
      <c r="AG392">
        <f>VLOOKUP(A392,'Employee Engagement Survey'!A203:D1672,4,FALSE)</f>
        <v>3</v>
      </c>
      <c r="AH392">
        <f>VLOOKUP(A392,'Employee Engagement Survey'!A203:E1672,5,FALSE)</f>
        <v>3</v>
      </c>
      <c r="AI392">
        <f t="shared" si="37"/>
        <v>2.5</v>
      </c>
    </row>
    <row r="393" spans="1:35" hidden="1" x14ac:dyDescent="0.4">
      <c r="A393">
        <v>1554</v>
      </c>
      <c r="B393" t="s">
        <v>34</v>
      </c>
      <c r="C393">
        <f t="shared" si="35"/>
        <v>1</v>
      </c>
      <c r="D393" t="s">
        <v>39</v>
      </c>
      <c r="E393">
        <f t="shared" si="36"/>
        <v>0</v>
      </c>
      <c r="F393" t="s">
        <v>40</v>
      </c>
      <c r="G393">
        <v>4</v>
      </c>
      <c r="H393" s="1">
        <v>53160</v>
      </c>
      <c r="I393" s="10">
        <v>0.23</v>
      </c>
      <c r="J393">
        <v>37.5</v>
      </c>
      <c r="K393" t="s">
        <v>34</v>
      </c>
      <c r="L393">
        <v>35</v>
      </c>
      <c r="M393" t="s">
        <v>47</v>
      </c>
      <c r="N393" t="s">
        <v>42</v>
      </c>
      <c r="O393" t="s">
        <v>31</v>
      </c>
      <c r="P393">
        <v>28</v>
      </c>
      <c r="Q393" t="s">
        <v>51</v>
      </c>
      <c r="R393" t="s">
        <v>37</v>
      </c>
      <c r="S393">
        <v>4</v>
      </c>
      <c r="T393">
        <v>2</v>
      </c>
      <c r="U393">
        <v>6</v>
      </c>
      <c r="V393">
        <v>5</v>
      </c>
      <c r="W393">
        <v>5</v>
      </c>
      <c r="X393">
        <v>3</v>
      </c>
      <c r="Y393">
        <v>4</v>
      </c>
      <c r="Z393">
        <v>2</v>
      </c>
      <c r="AA393" t="str">
        <f t="shared" si="38"/>
        <v>Mid Tenure</v>
      </c>
      <c r="AB393" s="5">
        <v>44927</v>
      </c>
      <c r="AC393">
        <f t="shared" si="39"/>
        <v>0</v>
      </c>
      <c r="AD393" t="s">
        <v>38</v>
      </c>
      <c r="AE393">
        <f>VLOOKUP(A393,'Employee Engagement Survey'!A204:B1673,2,FALSE)</f>
        <v>2</v>
      </c>
      <c r="AF393">
        <f>VLOOKUP(A393,'Employee Engagement Survey'!A204:C1673,3,FALSE)</f>
        <v>3</v>
      </c>
      <c r="AG393">
        <f>VLOOKUP(A393,'Employee Engagement Survey'!A204:D1673,4,FALSE)</f>
        <v>1</v>
      </c>
      <c r="AH393">
        <f>VLOOKUP(A393,'Employee Engagement Survey'!A204:E1673,5,FALSE)</f>
        <v>3</v>
      </c>
      <c r="AI393">
        <f t="shared" si="37"/>
        <v>2.25</v>
      </c>
    </row>
    <row r="394" spans="1:35" hidden="1" x14ac:dyDescent="0.4">
      <c r="A394">
        <v>275</v>
      </c>
      <c r="B394" t="s">
        <v>34</v>
      </c>
      <c r="C394">
        <f t="shared" si="35"/>
        <v>1</v>
      </c>
      <c r="D394" t="s">
        <v>54</v>
      </c>
      <c r="E394">
        <f t="shared" si="36"/>
        <v>1</v>
      </c>
      <c r="F394" t="s">
        <v>28</v>
      </c>
      <c r="G394">
        <v>8</v>
      </c>
      <c r="H394" s="1">
        <v>93648</v>
      </c>
      <c r="I394" s="10">
        <v>0.15</v>
      </c>
      <c r="J394">
        <v>37.5</v>
      </c>
      <c r="K394" t="s">
        <v>26</v>
      </c>
      <c r="L394">
        <v>49</v>
      </c>
      <c r="M394" t="s">
        <v>61</v>
      </c>
      <c r="N394" t="s">
        <v>48</v>
      </c>
      <c r="O394" t="s">
        <v>35</v>
      </c>
      <c r="P394">
        <v>18</v>
      </c>
      <c r="Q394" t="s">
        <v>51</v>
      </c>
      <c r="R394" t="s">
        <v>37</v>
      </c>
      <c r="S394">
        <v>3</v>
      </c>
      <c r="T394">
        <v>2</v>
      </c>
      <c r="U394">
        <v>7</v>
      </c>
      <c r="V394">
        <v>0</v>
      </c>
      <c r="W394">
        <v>7</v>
      </c>
      <c r="X394">
        <v>7</v>
      </c>
      <c r="Y394">
        <v>1</v>
      </c>
      <c r="Z394">
        <v>7</v>
      </c>
      <c r="AA394" t="str">
        <f t="shared" si="38"/>
        <v>Mid Tenure</v>
      </c>
      <c r="AB394" s="5">
        <v>44669</v>
      </c>
      <c r="AC394">
        <f t="shared" si="39"/>
        <v>0</v>
      </c>
      <c r="AD394" t="s">
        <v>49</v>
      </c>
      <c r="AE394">
        <f>VLOOKUP(A394,'Employee Engagement Survey'!A206:B1675,2,FALSE)</f>
        <v>4</v>
      </c>
      <c r="AF394">
        <f>VLOOKUP(A394,'Employee Engagement Survey'!A206:C1675,3,FALSE)</f>
        <v>4</v>
      </c>
      <c r="AG394">
        <f>VLOOKUP(A394,'Employee Engagement Survey'!A206:D1675,4,FALSE)</f>
        <v>1</v>
      </c>
      <c r="AH394">
        <f>VLOOKUP(A394,'Employee Engagement Survey'!A206:E1675,5,FALSE)</f>
        <v>3</v>
      </c>
      <c r="AI394">
        <f t="shared" si="37"/>
        <v>3</v>
      </c>
    </row>
    <row r="395" spans="1:35" hidden="1" x14ac:dyDescent="0.4">
      <c r="A395">
        <v>277</v>
      </c>
      <c r="B395" t="s">
        <v>34</v>
      </c>
      <c r="C395">
        <f t="shared" si="35"/>
        <v>1</v>
      </c>
      <c r="D395" t="s">
        <v>27</v>
      </c>
      <c r="E395">
        <f t="shared" si="36"/>
        <v>0</v>
      </c>
      <c r="F395" t="s">
        <v>28</v>
      </c>
      <c r="G395">
        <v>6</v>
      </c>
      <c r="H395" s="1">
        <v>69780</v>
      </c>
      <c r="I395" s="10">
        <v>0.17</v>
      </c>
      <c r="J395">
        <v>37.5</v>
      </c>
      <c r="K395" t="s">
        <v>26</v>
      </c>
      <c r="L395">
        <v>34</v>
      </c>
      <c r="M395" t="s">
        <v>61</v>
      </c>
      <c r="N395" t="s">
        <v>48</v>
      </c>
      <c r="O395" t="s">
        <v>44</v>
      </c>
      <c r="P395">
        <v>10</v>
      </c>
      <c r="Q395" t="s">
        <v>51</v>
      </c>
      <c r="R395" t="s">
        <v>33</v>
      </c>
      <c r="S395">
        <v>3</v>
      </c>
      <c r="T395">
        <v>1</v>
      </c>
      <c r="U395">
        <v>5</v>
      </c>
      <c r="V395">
        <v>4</v>
      </c>
      <c r="W395">
        <v>5</v>
      </c>
      <c r="X395">
        <v>3</v>
      </c>
      <c r="Y395">
        <v>2</v>
      </c>
      <c r="Z395">
        <v>0</v>
      </c>
      <c r="AA395" t="str">
        <f t="shared" si="38"/>
        <v>Mid Tenure</v>
      </c>
      <c r="AB395" s="5">
        <v>45726</v>
      </c>
      <c r="AC395">
        <f t="shared" si="39"/>
        <v>1</v>
      </c>
      <c r="AD395" t="s">
        <v>49</v>
      </c>
      <c r="AE395">
        <f>VLOOKUP(A395,'Employee Engagement Survey'!A207:B1676,2,FALSE)</f>
        <v>4</v>
      </c>
      <c r="AF395">
        <f>VLOOKUP(A395,'Employee Engagement Survey'!A207:C1676,3,FALSE)</f>
        <v>3</v>
      </c>
      <c r="AG395">
        <f>VLOOKUP(A395,'Employee Engagement Survey'!A207:D1676,4,FALSE)</f>
        <v>4</v>
      </c>
      <c r="AH395">
        <f>VLOOKUP(A395,'Employee Engagement Survey'!A207:E1676,5,FALSE)</f>
        <v>4</v>
      </c>
      <c r="AI395">
        <f t="shared" si="37"/>
        <v>3.75</v>
      </c>
    </row>
    <row r="396" spans="1:35" hidden="1" x14ac:dyDescent="0.4">
      <c r="A396">
        <v>281</v>
      </c>
      <c r="B396" t="s">
        <v>34</v>
      </c>
      <c r="C396">
        <f t="shared" si="35"/>
        <v>1</v>
      </c>
      <c r="D396" t="s">
        <v>46</v>
      </c>
      <c r="E396">
        <f t="shared" si="36"/>
        <v>0</v>
      </c>
      <c r="F396" t="s">
        <v>28</v>
      </c>
      <c r="G396">
        <v>5</v>
      </c>
      <c r="H396" s="1">
        <v>56892</v>
      </c>
      <c r="I396" s="10">
        <v>0.15</v>
      </c>
      <c r="J396">
        <v>37.5</v>
      </c>
      <c r="K396" t="s">
        <v>26</v>
      </c>
      <c r="L396">
        <v>40</v>
      </c>
      <c r="M396" t="s">
        <v>29</v>
      </c>
      <c r="N396" t="s">
        <v>42</v>
      </c>
      <c r="O396" t="s">
        <v>31</v>
      </c>
      <c r="P396">
        <v>19</v>
      </c>
      <c r="Q396" t="s">
        <v>36</v>
      </c>
      <c r="R396" t="s">
        <v>33</v>
      </c>
      <c r="S396">
        <v>3</v>
      </c>
      <c r="T396">
        <v>1</v>
      </c>
      <c r="U396">
        <v>15</v>
      </c>
      <c r="V396">
        <v>2</v>
      </c>
      <c r="W396">
        <v>7</v>
      </c>
      <c r="X396">
        <v>2</v>
      </c>
      <c r="Y396">
        <v>3</v>
      </c>
      <c r="Z396">
        <v>7</v>
      </c>
      <c r="AA396" t="str">
        <f t="shared" si="38"/>
        <v>Mid Tenure</v>
      </c>
      <c r="AB396" s="5">
        <v>45764</v>
      </c>
      <c r="AC396">
        <f t="shared" si="39"/>
        <v>1</v>
      </c>
      <c r="AD396" t="s">
        <v>38</v>
      </c>
      <c r="AE396">
        <f>VLOOKUP(A396,'Employee Engagement Survey'!A208:B1677,2,FALSE)</f>
        <v>3</v>
      </c>
      <c r="AF396">
        <f>VLOOKUP(A396,'Employee Engagement Survey'!A208:C1677,3,FALSE)</f>
        <v>4</v>
      </c>
      <c r="AG396">
        <f>VLOOKUP(A396,'Employee Engagement Survey'!A208:D1677,4,FALSE)</f>
        <v>3</v>
      </c>
      <c r="AH396">
        <f>VLOOKUP(A396,'Employee Engagement Survey'!A208:E1677,5,FALSE)</f>
        <v>4</v>
      </c>
      <c r="AI396">
        <f t="shared" si="37"/>
        <v>3.5</v>
      </c>
    </row>
    <row r="397" spans="1:35" hidden="1" x14ac:dyDescent="0.4">
      <c r="A397">
        <v>284</v>
      </c>
      <c r="B397" t="s">
        <v>34</v>
      </c>
      <c r="C397">
        <f t="shared" si="35"/>
        <v>1</v>
      </c>
      <c r="D397" t="s">
        <v>27</v>
      </c>
      <c r="E397">
        <f t="shared" si="36"/>
        <v>0</v>
      </c>
      <c r="F397" t="s">
        <v>28</v>
      </c>
      <c r="G397">
        <v>4</v>
      </c>
      <c r="H397" s="1">
        <v>51936</v>
      </c>
      <c r="I397" s="10">
        <v>0.16</v>
      </c>
      <c r="J397">
        <v>37.5</v>
      </c>
      <c r="K397" t="s">
        <v>26</v>
      </c>
      <c r="L397">
        <v>22</v>
      </c>
      <c r="M397" t="s">
        <v>29</v>
      </c>
      <c r="N397" t="s">
        <v>48</v>
      </c>
      <c r="O397" t="s">
        <v>31</v>
      </c>
      <c r="P397">
        <v>5</v>
      </c>
      <c r="Q397" t="s">
        <v>43</v>
      </c>
      <c r="R397" t="s">
        <v>37</v>
      </c>
      <c r="S397">
        <v>3</v>
      </c>
      <c r="T397">
        <v>1</v>
      </c>
      <c r="U397">
        <v>4</v>
      </c>
      <c r="V397">
        <v>2</v>
      </c>
      <c r="W397">
        <v>4</v>
      </c>
      <c r="X397">
        <v>2</v>
      </c>
      <c r="Y397">
        <v>2</v>
      </c>
      <c r="Z397">
        <v>2</v>
      </c>
      <c r="AA397" t="str">
        <f t="shared" si="38"/>
        <v>Mid Tenure</v>
      </c>
      <c r="AB397" s="5">
        <v>44867</v>
      </c>
      <c r="AC397">
        <f t="shared" si="39"/>
        <v>0</v>
      </c>
      <c r="AD397" t="s">
        <v>49</v>
      </c>
      <c r="AE397">
        <f>VLOOKUP(A397,'Employee Engagement Survey'!A210:B1679,2,FALSE)</f>
        <v>4</v>
      </c>
      <c r="AF397">
        <f>VLOOKUP(A397,'Employee Engagement Survey'!A210:C1679,3,FALSE)</f>
        <v>2</v>
      </c>
      <c r="AG397">
        <f>VLOOKUP(A397,'Employee Engagement Survey'!A210:D1679,4,FALSE)</f>
        <v>1</v>
      </c>
      <c r="AH397">
        <f>VLOOKUP(A397,'Employee Engagement Survey'!A210:E1679,5,FALSE)</f>
        <v>2</v>
      </c>
      <c r="AI397">
        <f t="shared" si="37"/>
        <v>2.25</v>
      </c>
    </row>
    <row r="398" spans="1:35" hidden="1" x14ac:dyDescent="0.4">
      <c r="A398">
        <v>287</v>
      </c>
      <c r="B398" t="s">
        <v>34</v>
      </c>
      <c r="C398">
        <f t="shared" si="35"/>
        <v>1</v>
      </c>
      <c r="D398" t="s">
        <v>55</v>
      </c>
      <c r="E398">
        <f t="shared" si="36"/>
        <v>0</v>
      </c>
      <c r="F398" t="s">
        <v>28</v>
      </c>
      <c r="G398">
        <v>7</v>
      </c>
      <c r="H398" s="1">
        <v>70512</v>
      </c>
      <c r="I398" s="10">
        <v>0.14000000000000001</v>
      </c>
      <c r="J398">
        <v>37.5</v>
      </c>
      <c r="K398" t="s">
        <v>34</v>
      </c>
      <c r="L398">
        <v>40</v>
      </c>
      <c r="M398" t="s">
        <v>29</v>
      </c>
      <c r="N398" t="s">
        <v>42</v>
      </c>
      <c r="O398" t="s">
        <v>35</v>
      </c>
      <c r="P398">
        <v>9</v>
      </c>
      <c r="Q398" t="s">
        <v>58</v>
      </c>
      <c r="R398" t="s">
        <v>37</v>
      </c>
      <c r="S398">
        <v>3</v>
      </c>
      <c r="T398">
        <v>1</v>
      </c>
      <c r="U398">
        <v>5</v>
      </c>
      <c r="V398">
        <v>5</v>
      </c>
      <c r="W398">
        <v>3</v>
      </c>
      <c r="X398">
        <v>2</v>
      </c>
      <c r="Y398">
        <v>0</v>
      </c>
      <c r="Z398">
        <v>2</v>
      </c>
      <c r="AA398" t="str">
        <f t="shared" si="38"/>
        <v>Mid Tenure</v>
      </c>
      <c r="AB398" s="5">
        <v>45216</v>
      </c>
      <c r="AC398">
        <f t="shared" si="39"/>
        <v>0</v>
      </c>
      <c r="AD398" t="s">
        <v>38</v>
      </c>
      <c r="AE398">
        <f>VLOOKUP(A398,'Employee Engagement Survey'!A211:B1680,2,FALSE)</f>
        <v>4</v>
      </c>
      <c r="AF398">
        <f>VLOOKUP(A398,'Employee Engagement Survey'!A211:C1680,3,FALSE)</f>
        <v>4</v>
      </c>
      <c r="AG398">
        <f>VLOOKUP(A398,'Employee Engagement Survey'!A211:D1680,4,FALSE)</f>
        <v>4</v>
      </c>
      <c r="AH398">
        <f>VLOOKUP(A398,'Employee Engagement Survey'!A211:E1680,5,FALSE)</f>
        <v>1</v>
      </c>
      <c r="AI398">
        <f t="shared" si="37"/>
        <v>3.25</v>
      </c>
    </row>
    <row r="399" spans="1:35" hidden="1" x14ac:dyDescent="0.4">
      <c r="A399">
        <v>1675</v>
      </c>
      <c r="B399" t="s">
        <v>34</v>
      </c>
      <c r="C399">
        <f t="shared" si="35"/>
        <v>1</v>
      </c>
      <c r="D399" t="s">
        <v>46</v>
      </c>
      <c r="E399">
        <f t="shared" si="36"/>
        <v>0</v>
      </c>
      <c r="F399" t="s">
        <v>28</v>
      </c>
      <c r="G399">
        <v>4</v>
      </c>
      <c r="H399" s="1">
        <v>53280</v>
      </c>
      <c r="I399" s="10">
        <v>0.22</v>
      </c>
      <c r="J399">
        <v>37.5</v>
      </c>
      <c r="K399" t="s">
        <v>34</v>
      </c>
      <c r="L399">
        <v>38</v>
      </c>
      <c r="M399" t="s">
        <v>47</v>
      </c>
      <c r="N399" t="s">
        <v>30</v>
      </c>
      <c r="O399" t="s">
        <v>44</v>
      </c>
      <c r="P399">
        <v>2</v>
      </c>
      <c r="Q399" t="s">
        <v>43</v>
      </c>
      <c r="R399" t="s">
        <v>33</v>
      </c>
      <c r="S399">
        <v>4</v>
      </c>
      <c r="T399">
        <v>0</v>
      </c>
      <c r="U399">
        <v>4</v>
      </c>
      <c r="V399">
        <v>3</v>
      </c>
      <c r="W399">
        <v>4</v>
      </c>
      <c r="X399">
        <v>3</v>
      </c>
      <c r="Y399">
        <v>3</v>
      </c>
      <c r="Z399">
        <v>3</v>
      </c>
      <c r="AA399" t="str">
        <f t="shared" si="38"/>
        <v>Mid Tenure</v>
      </c>
      <c r="AB399" s="5">
        <v>44761</v>
      </c>
      <c r="AC399">
        <f t="shared" si="39"/>
        <v>0</v>
      </c>
      <c r="AD399" t="s">
        <v>49</v>
      </c>
      <c r="AE399">
        <f>VLOOKUP(A399,'Employee Engagement Survey'!A212:B1681,2,FALSE)</f>
        <v>4</v>
      </c>
      <c r="AF399">
        <f>VLOOKUP(A399,'Employee Engagement Survey'!A212:C1681,3,FALSE)</f>
        <v>2</v>
      </c>
      <c r="AG399">
        <f>VLOOKUP(A399,'Employee Engagement Survey'!A212:D1681,4,FALSE)</f>
        <v>2</v>
      </c>
      <c r="AH399">
        <f>VLOOKUP(A399,'Employee Engagement Survey'!A212:E1681,5,FALSE)</f>
        <v>3</v>
      </c>
      <c r="AI399">
        <f t="shared" si="37"/>
        <v>2.75</v>
      </c>
    </row>
    <row r="400" spans="1:35" hidden="1" x14ac:dyDescent="0.4">
      <c r="A400">
        <v>288</v>
      </c>
      <c r="B400" t="s">
        <v>34</v>
      </c>
      <c r="C400">
        <f t="shared" si="35"/>
        <v>1</v>
      </c>
      <c r="D400" t="s">
        <v>55</v>
      </c>
      <c r="E400">
        <f t="shared" si="36"/>
        <v>0</v>
      </c>
      <c r="F400" t="s">
        <v>28</v>
      </c>
      <c r="G400">
        <v>9</v>
      </c>
      <c r="H400" s="1">
        <v>124752</v>
      </c>
      <c r="I400" s="10">
        <v>0.16</v>
      </c>
      <c r="J400">
        <v>37.5</v>
      </c>
      <c r="K400" t="s">
        <v>34</v>
      </c>
      <c r="L400">
        <v>46</v>
      </c>
      <c r="M400" t="s">
        <v>29</v>
      </c>
      <c r="N400" t="s">
        <v>48</v>
      </c>
      <c r="O400" t="s">
        <v>31</v>
      </c>
      <c r="P400">
        <v>1</v>
      </c>
      <c r="Q400" t="s">
        <v>51</v>
      </c>
      <c r="R400" t="s">
        <v>33</v>
      </c>
      <c r="S400">
        <v>3</v>
      </c>
      <c r="T400">
        <v>1</v>
      </c>
      <c r="U400">
        <v>17</v>
      </c>
      <c r="V400">
        <v>3</v>
      </c>
      <c r="W400">
        <v>4</v>
      </c>
      <c r="X400">
        <v>2</v>
      </c>
      <c r="Y400">
        <v>0</v>
      </c>
      <c r="Z400">
        <v>3</v>
      </c>
      <c r="AA400" t="str">
        <f t="shared" si="38"/>
        <v>Mid Tenure</v>
      </c>
      <c r="AB400" s="5">
        <v>46020</v>
      </c>
      <c r="AC400">
        <f t="shared" si="39"/>
        <v>1</v>
      </c>
      <c r="AD400" t="s">
        <v>38</v>
      </c>
      <c r="AE400">
        <f>VLOOKUP(A400,'Employee Engagement Survey'!A213:B1682,2,FALSE)</f>
        <v>4</v>
      </c>
      <c r="AF400">
        <f>VLOOKUP(A400,'Employee Engagement Survey'!A213:C1682,3,FALSE)</f>
        <v>1</v>
      </c>
      <c r="AG400">
        <f>VLOOKUP(A400,'Employee Engagement Survey'!A213:D1682,4,FALSE)</f>
        <v>3</v>
      </c>
      <c r="AH400">
        <f>VLOOKUP(A400,'Employee Engagement Survey'!A213:E1682,5,FALSE)</f>
        <v>3</v>
      </c>
      <c r="AI400">
        <f t="shared" si="37"/>
        <v>2.75</v>
      </c>
    </row>
    <row r="401" spans="1:35" hidden="1" x14ac:dyDescent="0.4">
      <c r="A401">
        <v>292</v>
      </c>
      <c r="B401" t="s">
        <v>34</v>
      </c>
      <c r="C401">
        <f t="shared" si="35"/>
        <v>1</v>
      </c>
      <c r="D401" t="s">
        <v>54</v>
      </c>
      <c r="E401">
        <f t="shared" si="36"/>
        <v>1</v>
      </c>
      <c r="F401" t="s">
        <v>28</v>
      </c>
      <c r="G401">
        <v>9</v>
      </c>
      <c r="H401" s="1">
        <v>113688</v>
      </c>
      <c r="I401" s="10">
        <v>0.22</v>
      </c>
      <c r="J401">
        <v>37.5</v>
      </c>
      <c r="K401" t="s">
        <v>34</v>
      </c>
      <c r="L401">
        <v>30</v>
      </c>
      <c r="M401" t="s">
        <v>29</v>
      </c>
      <c r="N401" t="s">
        <v>30</v>
      </c>
      <c r="O401" t="s">
        <v>35</v>
      </c>
      <c r="P401">
        <v>1</v>
      </c>
      <c r="Q401" t="s">
        <v>32</v>
      </c>
      <c r="R401" t="s">
        <v>37</v>
      </c>
      <c r="S401">
        <v>4</v>
      </c>
      <c r="T401">
        <v>0</v>
      </c>
      <c r="U401">
        <v>12</v>
      </c>
      <c r="V401">
        <v>2</v>
      </c>
      <c r="W401">
        <v>11</v>
      </c>
      <c r="X401">
        <v>8</v>
      </c>
      <c r="Y401">
        <v>5</v>
      </c>
      <c r="Z401">
        <v>8</v>
      </c>
      <c r="AA401" t="str">
        <f t="shared" si="38"/>
        <v>Long Tenure</v>
      </c>
      <c r="AB401" s="5">
        <v>45103</v>
      </c>
      <c r="AC401">
        <f t="shared" si="39"/>
        <v>0</v>
      </c>
      <c r="AD401" t="s">
        <v>38</v>
      </c>
      <c r="AE401">
        <f>VLOOKUP(A401,'Employee Engagement Survey'!A215:B1684,2,FALSE)</f>
        <v>3</v>
      </c>
      <c r="AF401">
        <f>VLOOKUP(A401,'Employee Engagement Survey'!A215:C1684,3,FALSE)</f>
        <v>3</v>
      </c>
      <c r="AG401">
        <f>VLOOKUP(A401,'Employee Engagement Survey'!A215:D1684,4,FALSE)</f>
        <v>3</v>
      </c>
      <c r="AH401">
        <f>VLOOKUP(A401,'Employee Engagement Survey'!A215:E1684,5,FALSE)</f>
        <v>3</v>
      </c>
      <c r="AI401">
        <f t="shared" si="37"/>
        <v>3</v>
      </c>
    </row>
    <row r="402" spans="1:35" hidden="1" x14ac:dyDescent="0.4">
      <c r="A402">
        <v>296</v>
      </c>
      <c r="B402" t="s">
        <v>34</v>
      </c>
      <c r="C402">
        <f t="shared" si="35"/>
        <v>1</v>
      </c>
      <c r="D402" t="s">
        <v>60</v>
      </c>
      <c r="E402">
        <f t="shared" si="36"/>
        <v>1</v>
      </c>
      <c r="F402" t="s">
        <v>28</v>
      </c>
      <c r="G402">
        <v>10</v>
      </c>
      <c r="H402" s="1">
        <v>161880</v>
      </c>
      <c r="I402" s="10">
        <v>0.16</v>
      </c>
      <c r="J402">
        <v>37.5</v>
      </c>
      <c r="K402" t="s">
        <v>34</v>
      </c>
      <c r="L402">
        <v>51</v>
      </c>
      <c r="M402" t="s">
        <v>29</v>
      </c>
      <c r="N402" t="s">
        <v>42</v>
      </c>
      <c r="O402" t="s">
        <v>31</v>
      </c>
      <c r="P402">
        <v>8</v>
      </c>
      <c r="Q402" t="s">
        <v>51</v>
      </c>
      <c r="R402" t="s">
        <v>37</v>
      </c>
      <c r="S402">
        <v>3</v>
      </c>
      <c r="T402">
        <v>2</v>
      </c>
      <c r="U402">
        <v>16</v>
      </c>
      <c r="V402">
        <v>5</v>
      </c>
      <c r="W402">
        <v>10</v>
      </c>
      <c r="X402">
        <v>9</v>
      </c>
      <c r="Y402">
        <v>4</v>
      </c>
      <c r="Z402">
        <v>7</v>
      </c>
      <c r="AA402" t="str">
        <f t="shared" si="38"/>
        <v>Long Tenure</v>
      </c>
      <c r="AB402" s="5">
        <v>44827</v>
      </c>
      <c r="AC402">
        <f t="shared" si="39"/>
        <v>0</v>
      </c>
      <c r="AD402" t="s">
        <v>38</v>
      </c>
      <c r="AE402">
        <f>VLOOKUP(A402,'Employee Engagement Survey'!A216:B1685,2,FALSE)</f>
        <v>2</v>
      </c>
      <c r="AF402">
        <f>VLOOKUP(A402,'Employee Engagement Survey'!A216:C1685,3,FALSE)</f>
        <v>2</v>
      </c>
      <c r="AG402">
        <f>VLOOKUP(A402,'Employee Engagement Survey'!A216:D1685,4,FALSE)</f>
        <v>4</v>
      </c>
      <c r="AH402">
        <f>VLOOKUP(A402,'Employee Engagement Survey'!A216:E1685,5,FALSE)</f>
        <v>1</v>
      </c>
      <c r="AI402">
        <f t="shared" si="37"/>
        <v>2.25</v>
      </c>
    </row>
    <row r="403" spans="1:35" hidden="1" x14ac:dyDescent="0.4">
      <c r="A403">
        <v>430</v>
      </c>
      <c r="B403" t="s">
        <v>34</v>
      </c>
      <c r="C403">
        <f t="shared" si="35"/>
        <v>1</v>
      </c>
      <c r="D403" t="s">
        <v>46</v>
      </c>
      <c r="E403">
        <f t="shared" si="36"/>
        <v>0</v>
      </c>
      <c r="F403" t="s">
        <v>28</v>
      </c>
      <c r="G403">
        <v>4</v>
      </c>
      <c r="H403" s="1">
        <v>53460</v>
      </c>
      <c r="I403" s="10">
        <v>0.19</v>
      </c>
      <c r="J403">
        <v>37.5</v>
      </c>
      <c r="K403" t="s">
        <v>34</v>
      </c>
      <c r="L403">
        <v>43</v>
      </c>
      <c r="M403" t="s">
        <v>47</v>
      </c>
      <c r="N403" t="s">
        <v>30</v>
      </c>
      <c r="O403" t="s">
        <v>44</v>
      </c>
      <c r="P403">
        <v>10</v>
      </c>
      <c r="Q403" t="s">
        <v>51</v>
      </c>
      <c r="R403" t="s">
        <v>37</v>
      </c>
      <c r="S403">
        <v>3</v>
      </c>
      <c r="T403">
        <v>0</v>
      </c>
      <c r="U403">
        <v>9</v>
      </c>
      <c r="V403">
        <v>5</v>
      </c>
      <c r="W403">
        <v>8</v>
      </c>
      <c r="X403">
        <v>7</v>
      </c>
      <c r="Y403">
        <v>1</v>
      </c>
      <c r="Z403">
        <v>7</v>
      </c>
      <c r="AA403" t="str">
        <f t="shared" si="38"/>
        <v>Mid Tenure</v>
      </c>
      <c r="AB403" s="5">
        <v>45336</v>
      </c>
      <c r="AC403">
        <f t="shared" si="39"/>
        <v>1</v>
      </c>
      <c r="AD403" t="s">
        <v>49</v>
      </c>
      <c r="AE403">
        <f>VLOOKUP(A403,'Employee Engagement Survey'!A218:B1687,2,FALSE)</f>
        <v>3</v>
      </c>
      <c r="AF403">
        <f>VLOOKUP(A403,'Employee Engagement Survey'!A218:C1687,3,FALSE)</f>
        <v>4</v>
      </c>
      <c r="AG403">
        <f>VLOOKUP(A403,'Employee Engagement Survey'!A218:D1687,4,FALSE)</f>
        <v>1</v>
      </c>
      <c r="AH403">
        <f>VLOOKUP(A403,'Employee Engagement Survey'!A218:E1687,5,FALSE)</f>
        <v>3</v>
      </c>
      <c r="AI403">
        <f t="shared" si="37"/>
        <v>2.75</v>
      </c>
    </row>
    <row r="404" spans="1:35" hidden="1" x14ac:dyDescent="0.4">
      <c r="A404">
        <v>304</v>
      </c>
      <c r="B404" t="s">
        <v>34</v>
      </c>
      <c r="C404">
        <f t="shared" si="35"/>
        <v>1</v>
      </c>
      <c r="D404" t="s">
        <v>46</v>
      </c>
      <c r="E404">
        <f t="shared" si="36"/>
        <v>0</v>
      </c>
      <c r="F404" t="s">
        <v>28</v>
      </c>
      <c r="G404">
        <v>7</v>
      </c>
      <c r="H404" s="1">
        <v>82968</v>
      </c>
      <c r="I404" s="10">
        <v>0.16</v>
      </c>
      <c r="J404">
        <v>37.5</v>
      </c>
      <c r="K404" t="s">
        <v>34</v>
      </c>
      <c r="L404">
        <v>36</v>
      </c>
      <c r="M404" t="s">
        <v>29</v>
      </c>
      <c r="N404" t="s">
        <v>30</v>
      </c>
      <c r="O404" t="s">
        <v>31</v>
      </c>
      <c r="P404">
        <v>5</v>
      </c>
      <c r="Q404" t="s">
        <v>36</v>
      </c>
      <c r="R404" t="s">
        <v>37</v>
      </c>
      <c r="S404">
        <v>3</v>
      </c>
      <c r="T404">
        <v>0</v>
      </c>
      <c r="U404">
        <v>16</v>
      </c>
      <c r="V404">
        <v>3</v>
      </c>
      <c r="W404">
        <v>13</v>
      </c>
      <c r="X404">
        <v>11</v>
      </c>
      <c r="Y404">
        <v>3</v>
      </c>
      <c r="Z404">
        <v>7</v>
      </c>
      <c r="AA404" t="str">
        <f t="shared" si="38"/>
        <v>Long Tenure</v>
      </c>
      <c r="AB404" s="5">
        <v>45170</v>
      </c>
      <c r="AC404">
        <f t="shared" si="39"/>
        <v>0</v>
      </c>
      <c r="AD404" t="s">
        <v>38</v>
      </c>
      <c r="AE404">
        <f>VLOOKUP(A404,'Employee Engagement Survey'!A219:B1688,2,FALSE)</f>
        <v>4</v>
      </c>
      <c r="AF404">
        <f>VLOOKUP(A404,'Employee Engagement Survey'!A219:C1688,3,FALSE)</f>
        <v>2</v>
      </c>
      <c r="AG404">
        <f>VLOOKUP(A404,'Employee Engagement Survey'!A219:D1688,4,FALSE)</f>
        <v>4</v>
      </c>
      <c r="AH404">
        <f>VLOOKUP(A404,'Employee Engagement Survey'!A219:E1688,5,FALSE)</f>
        <v>4</v>
      </c>
      <c r="AI404">
        <f t="shared" si="37"/>
        <v>3.5</v>
      </c>
    </row>
    <row r="405" spans="1:35" hidden="1" x14ac:dyDescent="0.4">
      <c r="A405">
        <v>1760</v>
      </c>
      <c r="B405" t="s">
        <v>34</v>
      </c>
      <c r="C405">
        <f t="shared" si="35"/>
        <v>1</v>
      </c>
      <c r="D405" t="s">
        <v>46</v>
      </c>
      <c r="E405">
        <f t="shared" si="36"/>
        <v>0</v>
      </c>
      <c r="F405" t="s">
        <v>28</v>
      </c>
      <c r="G405">
        <v>4</v>
      </c>
      <c r="H405" s="1">
        <v>53616</v>
      </c>
      <c r="I405" s="10">
        <v>0.14000000000000001</v>
      </c>
      <c r="J405">
        <v>37.5</v>
      </c>
      <c r="K405" t="s">
        <v>34</v>
      </c>
      <c r="L405">
        <v>38</v>
      </c>
      <c r="M405" t="s">
        <v>47</v>
      </c>
      <c r="N405" t="s">
        <v>42</v>
      </c>
      <c r="O405" t="s">
        <v>44</v>
      </c>
      <c r="P405">
        <v>2</v>
      </c>
      <c r="Q405" t="s">
        <v>36</v>
      </c>
      <c r="R405" t="s">
        <v>33</v>
      </c>
      <c r="S405">
        <v>3</v>
      </c>
      <c r="T405">
        <v>1</v>
      </c>
      <c r="U405">
        <v>9</v>
      </c>
      <c r="V405">
        <v>4</v>
      </c>
      <c r="W405">
        <v>6</v>
      </c>
      <c r="X405">
        <v>1</v>
      </c>
      <c r="Y405">
        <v>0</v>
      </c>
      <c r="Z405">
        <v>5</v>
      </c>
      <c r="AA405" t="str">
        <f t="shared" si="38"/>
        <v>Mid Tenure</v>
      </c>
      <c r="AB405" s="5">
        <v>45649</v>
      </c>
      <c r="AC405">
        <f t="shared" si="39"/>
        <v>1</v>
      </c>
      <c r="AD405" t="s">
        <v>49</v>
      </c>
      <c r="AE405">
        <f>VLOOKUP(A405,'Employee Engagement Survey'!A220:B1689,2,FALSE)</f>
        <v>3</v>
      </c>
      <c r="AF405">
        <f>VLOOKUP(A405,'Employee Engagement Survey'!A220:C1689,3,FALSE)</f>
        <v>2</v>
      </c>
      <c r="AG405">
        <f>VLOOKUP(A405,'Employee Engagement Survey'!A220:D1689,4,FALSE)</f>
        <v>2</v>
      </c>
      <c r="AH405">
        <f>VLOOKUP(A405,'Employee Engagement Survey'!A220:E1689,5,FALSE)</f>
        <v>2</v>
      </c>
      <c r="AI405">
        <f t="shared" si="37"/>
        <v>2.25</v>
      </c>
    </row>
    <row r="406" spans="1:35" hidden="1" x14ac:dyDescent="0.4">
      <c r="A406">
        <v>306</v>
      </c>
      <c r="B406" t="s">
        <v>34</v>
      </c>
      <c r="C406">
        <f t="shared" si="35"/>
        <v>1</v>
      </c>
      <c r="D406" t="s">
        <v>60</v>
      </c>
      <c r="E406">
        <f t="shared" si="36"/>
        <v>1</v>
      </c>
      <c r="F406" t="s">
        <v>28</v>
      </c>
      <c r="G406">
        <v>10</v>
      </c>
      <c r="H406" s="1">
        <v>158220</v>
      </c>
      <c r="I406" s="10">
        <v>0.14000000000000001</v>
      </c>
      <c r="J406">
        <v>37.5</v>
      </c>
      <c r="K406" t="s">
        <v>26</v>
      </c>
      <c r="L406">
        <v>37</v>
      </c>
      <c r="M406" t="s">
        <v>29</v>
      </c>
      <c r="N406" t="s">
        <v>48</v>
      </c>
      <c r="O406" t="s">
        <v>44</v>
      </c>
      <c r="P406">
        <v>11</v>
      </c>
      <c r="Q406" t="s">
        <v>43</v>
      </c>
      <c r="R406" t="s">
        <v>53</v>
      </c>
      <c r="S406">
        <v>3</v>
      </c>
      <c r="T406">
        <v>3</v>
      </c>
      <c r="U406">
        <v>10</v>
      </c>
      <c r="V406">
        <v>1</v>
      </c>
      <c r="W406">
        <v>10</v>
      </c>
      <c r="X406">
        <v>8</v>
      </c>
      <c r="Y406">
        <v>0</v>
      </c>
      <c r="Z406">
        <v>7</v>
      </c>
      <c r="AA406" t="str">
        <f t="shared" si="38"/>
        <v>Long Tenure</v>
      </c>
      <c r="AB406" s="5">
        <v>45631</v>
      </c>
      <c r="AC406">
        <f t="shared" si="39"/>
        <v>1</v>
      </c>
      <c r="AD406" t="s">
        <v>49</v>
      </c>
      <c r="AE406">
        <f>VLOOKUP(A406,'Employee Engagement Survey'!A221:B1690,2,FALSE)</f>
        <v>2</v>
      </c>
      <c r="AF406">
        <f>VLOOKUP(A406,'Employee Engagement Survey'!A221:C1690,3,FALSE)</f>
        <v>4</v>
      </c>
      <c r="AG406">
        <f>VLOOKUP(A406,'Employee Engagement Survey'!A221:D1690,4,FALSE)</f>
        <v>3</v>
      </c>
      <c r="AH406">
        <f>VLOOKUP(A406,'Employee Engagement Survey'!A221:E1690,5,FALSE)</f>
        <v>3</v>
      </c>
      <c r="AI406">
        <f t="shared" si="37"/>
        <v>3</v>
      </c>
    </row>
    <row r="407" spans="1:35" hidden="1" x14ac:dyDescent="0.4">
      <c r="A407">
        <v>307</v>
      </c>
      <c r="B407" t="s">
        <v>34</v>
      </c>
      <c r="C407">
        <f t="shared" si="35"/>
        <v>1</v>
      </c>
      <c r="D407" t="s">
        <v>57</v>
      </c>
      <c r="E407">
        <f t="shared" si="36"/>
        <v>0</v>
      </c>
      <c r="F407" t="s">
        <v>40</v>
      </c>
      <c r="G407">
        <v>9</v>
      </c>
      <c r="H407" s="1">
        <v>139308</v>
      </c>
      <c r="I407" s="10">
        <v>0.12</v>
      </c>
      <c r="J407">
        <v>37.5</v>
      </c>
      <c r="K407" t="s">
        <v>34</v>
      </c>
      <c r="L407">
        <v>38</v>
      </c>
      <c r="M407" t="s">
        <v>29</v>
      </c>
      <c r="N407" t="s">
        <v>48</v>
      </c>
      <c r="O407" t="s">
        <v>31</v>
      </c>
      <c r="P407">
        <v>3</v>
      </c>
      <c r="Q407" t="s">
        <v>43</v>
      </c>
      <c r="R407" t="s">
        <v>37</v>
      </c>
      <c r="S407">
        <v>3</v>
      </c>
      <c r="T407">
        <v>2</v>
      </c>
      <c r="U407">
        <v>17</v>
      </c>
      <c r="V407">
        <v>6</v>
      </c>
      <c r="W407">
        <v>16</v>
      </c>
      <c r="X407">
        <v>10</v>
      </c>
      <c r="Y407">
        <v>5</v>
      </c>
      <c r="Z407">
        <v>13</v>
      </c>
      <c r="AA407" t="str">
        <f t="shared" si="38"/>
        <v>Long Tenure</v>
      </c>
      <c r="AB407" s="5">
        <v>45198</v>
      </c>
      <c r="AC407">
        <f t="shared" si="39"/>
        <v>0</v>
      </c>
      <c r="AD407" t="s">
        <v>38</v>
      </c>
      <c r="AE407">
        <f>VLOOKUP(A407,'Employee Engagement Survey'!A222:B1691,2,FALSE)</f>
        <v>1</v>
      </c>
      <c r="AF407">
        <f>VLOOKUP(A407,'Employee Engagement Survey'!A222:C1691,3,FALSE)</f>
        <v>3</v>
      </c>
      <c r="AG407">
        <f>VLOOKUP(A407,'Employee Engagement Survey'!A222:D1691,4,FALSE)</f>
        <v>3</v>
      </c>
      <c r="AH407">
        <f>VLOOKUP(A407,'Employee Engagement Survey'!A222:E1691,5,FALSE)</f>
        <v>2</v>
      </c>
      <c r="AI407">
        <f t="shared" si="37"/>
        <v>2.25</v>
      </c>
    </row>
    <row r="408" spans="1:35" hidden="1" x14ac:dyDescent="0.4">
      <c r="A408">
        <v>434</v>
      </c>
      <c r="B408" t="s">
        <v>34</v>
      </c>
      <c r="C408">
        <f t="shared" si="35"/>
        <v>1</v>
      </c>
      <c r="D408" t="s">
        <v>27</v>
      </c>
      <c r="E408">
        <f t="shared" si="36"/>
        <v>0</v>
      </c>
      <c r="F408" t="s">
        <v>28</v>
      </c>
      <c r="G408">
        <v>4</v>
      </c>
      <c r="H408" s="1">
        <v>53736</v>
      </c>
      <c r="I408" s="10">
        <v>0.12</v>
      </c>
      <c r="J408">
        <v>37.5</v>
      </c>
      <c r="K408" t="s">
        <v>26</v>
      </c>
      <c r="L408">
        <v>27</v>
      </c>
      <c r="M408" t="s">
        <v>47</v>
      </c>
      <c r="N408" t="s">
        <v>30</v>
      </c>
      <c r="O408" t="s">
        <v>31</v>
      </c>
      <c r="P408">
        <v>5</v>
      </c>
      <c r="Q408" t="s">
        <v>43</v>
      </c>
      <c r="R408" t="s">
        <v>37</v>
      </c>
      <c r="S408">
        <v>3</v>
      </c>
      <c r="T408">
        <v>0</v>
      </c>
      <c r="U408">
        <v>4</v>
      </c>
      <c r="V408">
        <v>2</v>
      </c>
      <c r="W408">
        <v>4</v>
      </c>
      <c r="X408">
        <v>3</v>
      </c>
      <c r="Y408">
        <v>1</v>
      </c>
      <c r="Z408">
        <v>2</v>
      </c>
      <c r="AA408" t="str">
        <f t="shared" si="38"/>
        <v>Mid Tenure</v>
      </c>
      <c r="AB408" s="5">
        <v>45735</v>
      </c>
      <c r="AC408">
        <f t="shared" si="39"/>
        <v>1</v>
      </c>
      <c r="AD408" t="s">
        <v>49</v>
      </c>
      <c r="AE408">
        <f>VLOOKUP(A408,'Employee Engagement Survey'!A223:B1692,2,FALSE)</f>
        <v>3</v>
      </c>
      <c r="AF408">
        <f>VLOOKUP(A408,'Employee Engagement Survey'!A223:C1692,3,FALSE)</f>
        <v>2</v>
      </c>
      <c r="AG408">
        <f>VLOOKUP(A408,'Employee Engagement Survey'!A223:D1692,4,FALSE)</f>
        <v>2</v>
      </c>
      <c r="AH408">
        <f>VLOOKUP(A408,'Employee Engagement Survey'!A223:E1692,5,FALSE)</f>
        <v>2</v>
      </c>
      <c r="AI408">
        <f t="shared" si="37"/>
        <v>2.25</v>
      </c>
    </row>
    <row r="409" spans="1:35" hidden="1" x14ac:dyDescent="0.4">
      <c r="A409">
        <v>308</v>
      </c>
      <c r="B409" t="s">
        <v>34</v>
      </c>
      <c r="C409">
        <f t="shared" si="35"/>
        <v>1</v>
      </c>
      <c r="D409" t="s">
        <v>54</v>
      </c>
      <c r="E409">
        <f t="shared" si="36"/>
        <v>1</v>
      </c>
      <c r="F409" t="s">
        <v>28</v>
      </c>
      <c r="G409">
        <v>6</v>
      </c>
      <c r="H409" s="1">
        <v>64140</v>
      </c>
      <c r="I409" s="10">
        <v>0.12</v>
      </c>
      <c r="J409">
        <v>37.5</v>
      </c>
      <c r="K409" t="s">
        <v>34</v>
      </c>
      <c r="L409">
        <v>31</v>
      </c>
      <c r="M409" t="s">
        <v>29</v>
      </c>
      <c r="N409" t="s">
        <v>42</v>
      </c>
      <c r="O409" t="s">
        <v>35</v>
      </c>
      <c r="P409">
        <v>1</v>
      </c>
      <c r="Q409" t="s">
        <v>51</v>
      </c>
      <c r="R409" t="s">
        <v>33</v>
      </c>
      <c r="S409">
        <v>3</v>
      </c>
      <c r="T409">
        <v>1</v>
      </c>
      <c r="U409">
        <v>6</v>
      </c>
      <c r="V409">
        <v>2</v>
      </c>
      <c r="W409">
        <v>5</v>
      </c>
      <c r="X409">
        <v>4</v>
      </c>
      <c r="Y409">
        <v>1</v>
      </c>
      <c r="Z409">
        <v>4</v>
      </c>
      <c r="AA409" t="str">
        <f t="shared" si="38"/>
        <v>Mid Tenure</v>
      </c>
      <c r="AB409" s="5">
        <v>45856</v>
      </c>
      <c r="AC409">
        <f t="shared" si="39"/>
        <v>1</v>
      </c>
      <c r="AD409" t="s">
        <v>49</v>
      </c>
      <c r="AE409">
        <f>VLOOKUP(A409,'Employee Engagement Survey'!A224:B1693,2,FALSE)</f>
        <v>3</v>
      </c>
      <c r="AF409">
        <f>VLOOKUP(A409,'Employee Engagement Survey'!A224:C1693,3,FALSE)</f>
        <v>3</v>
      </c>
      <c r="AG409">
        <f>VLOOKUP(A409,'Employee Engagement Survey'!A224:D1693,4,FALSE)</f>
        <v>4</v>
      </c>
      <c r="AH409">
        <f>VLOOKUP(A409,'Employee Engagement Survey'!A224:E1693,5,FALSE)</f>
        <v>3</v>
      </c>
      <c r="AI409">
        <f t="shared" si="37"/>
        <v>3.25</v>
      </c>
    </row>
    <row r="410" spans="1:35" hidden="1" x14ac:dyDescent="0.4">
      <c r="A410">
        <v>309</v>
      </c>
      <c r="B410" t="s">
        <v>34</v>
      </c>
      <c r="C410">
        <f t="shared" si="35"/>
        <v>1</v>
      </c>
      <c r="D410" t="s">
        <v>27</v>
      </c>
      <c r="E410">
        <f t="shared" si="36"/>
        <v>0</v>
      </c>
      <c r="F410" t="s">
        <v>28</v>
      </c>
      <c r="G410">
        <v>4</v>
      </c>
      <c r="H410" s="1">
        <v>50124</v>
      </c>
      <c r="I410" s="10">
        <v>0.17</v>
      </c>
      <c r="J410">
        <v>37.5</v>
      </c>
      <c r="K410" t="s">
        <v>34</v>
      </c>
      <c r="L410">
        <v>59</v>
      </c>
      <c r="M410" t="s">
        <v>29</v>
      </c>
      <c r="N410" t="s">
        <v>42</v>
      </c>
      <c r="O410" t="s">
        <v>31</v>
      </c>
      <c r="P410">
        <v>3</v>
      </c>
      <c r="Q410" t="s">
        <v>43</v>
      </c>
      <c r="R410" t="s">
        <v>37</v>
      </c>
      <c r="S410">
        <v>3</v>
      </c>
      <c r="T410">
        <v>1</v>
      </c>
      <c r="U410">
        <v>7</v>
      </c>
      <c r="V410">
        <v>6</v>
      </c>
      <c r="W410">
        <v>1</v>
      </c>
      <c r="X410">
        <v>0</v>
      </c>
      <c r="Y410">
        <v>0</v>
      </c>
      <c r="Z410">
        <v>0</v>
      </c>
      <c r="AA410" t="str">
        <f t="shared" si="38"/>
        <v>Early Tenure</v>
      </c>
      <c r="AB410" s="5">
        <v>45267</v>
      </c>
      <c r="AC410">
        <f t="shared" si="39"/>
        <v>0</v>
      </c>
      <c r="AD410" t="s">
        <v>38</v>
      </c>
      <c r="AE410">
        <f>VLOOKUP(A410,'Employee Engagement Survey'!A225:B1694,2,FALSE)</f>
        <v>3</v>
      </c>
      <c r="AF410">
        <f>VLOOKUP(A410,'Employee Engagement Survey'!A225:C1694,3,FALSE)</f>
        <v>4</v>
      </c>
      <c r="AG410">
        <f>VLOOKUP(A410,'Employee Engagement Survey'!A225:D1694,4,FALSE)</f>
        <v>1</v>
      </c>
      <c r="AH410">
        <f>VLOOKUP(A410,'Employee Engagement Survey'!A225:E1694,5,FALSE)</f>
        <v>3</v>
      </c>
      <c r="AI410">
        <f t="shared" si="37"/>
        <v>2.75</v>
      </c>
    </row>
    <row r="411" spans="1:35" hidden="1" x14ac:dyDescent="0.4">
      <c r="A411">
        <v>311</v>
      </c>
      <c r="B411" t="s">
        <v>34</v>
      </c>
      <c r="C411">
        <f t="shared" si="35"/>
        <v>1</v>
      </c>
      <c r="D411" t="s">
        <v>39</v>
      </c>
      <c r="E411">
        <f t="shared" si="36"/>
        <v>0</v>
      </c>
      <c r="F411" t="s">
        <v>40</v>
      </c>
      <c r="G411">
        <v>5</v>
      </c>
      <c r="H411" s="1">
        <v>57516</v>
      </c>
      <c r="I411" s="10">
        <v>0.17</v>
      </c>
      <c r="J411">
        <v>37.5</v>
      </c>
      <c r="K411" t="s">
        <v>34</v>
      </c>
      <c r="L411">
        <v>37</v>
      </c>
      <c r="M411" t="s">
        <v>29</v>
      </c>
      <c r="N411" t="s">
        <v>48</v>
      </c>
      <c r="O411" t="s">
        <v>44</v>
      </c>
      <c r="P411">
        <v>4</v>
      </c>
      <c r="Q411" t="s">
        <v>51</v>
      </c>
      <c r="R411" t="s">
        <v>56</v>
      </c>
      <c r="S411">
        <v>3</v>
      </c>
      <c r="T411">
        <v>1</v>
      </c>
      <c r="U411">
        <v>13</v>
      </c>
      <c r="V411">
        <v>2</v>
      </c>
      <c r="W411">
        <v>9</v>
      </c>
      <c r="X411">
        <v>8</v>
      </c>
      <c r="Y411">
        <v>5</v>
      </c>
      <c r="Z411">
        <v>8</v>
      </c>
      <c r="AA411" t="str">
        <f t="shared" si="38"/>
        <v>Mid Tenure</v>
      </c>
      <c r="AB411" s="5">
        <v>45832</v>
      </c>
      <c r="AC411">
        <f t="shared" si="39"/>
        <v>1</v>
      </c>
      <c r="AD411" t="s">
        <v>38</v>
      </c>
      <c r="AE411">
        <f>VLOOKUP(A411,'Employee Engagement Survey'!A226:B1695,2,FALSE)</f>
        <v>1</v>
      </c>
      <c r="AF411">
        <f>VLOOKUP(A411,'Employee Engagement Survey'!A226:C1695,3,FALSE)</f>
        <v>4</v>
      </c>
      <c r="AG411">
        <f>VLOOKUP(A411,'Employee Engagement Survey'!A226:D1695,4,FALSE)</f>
        <v>3</v>
      </c>
      <c r="AH411">
        <f>VLOOKUP(A411,'Employee Engagement Survey'!A226:E1695,5,FALSE)</f>
        <v>3</v>
      </c>
      <c r="AI411">
        <f t="shared" si="37"/>
        <v>2.75</v>
      </c>
    </row>
    <row r="412" spans="1:35" hidden="1" x14ac:dyDescent="0.4">
      <c r="A412">
        <v>319</v>
      </c>
      <c r="B412" t="s">
        <v>34</v>
      </c>
      <c r="C412">
        <f t="shared" si="35"/>
        <v>1</v>
      </c>
      <c r="D412" t="s">
        <v>109</v>
      </c>
      <c r="E412">
        <f t="shared" si="36"/>
        <v>1</v>
      </c>
      <c r="F412" t="s">
        <v>28</v>
      </c>
      <c r="G412">
        <v>5</v>
      </c>
      <c r="H412" s="1">
        <v>242784</v>
      </c>
      <c r="I412" s="10">
        <v>0.11</v>
      </c>
      <c r="J412">
        <v>37.5</v>
      </c>
      <c r="K412" t="s">
        <v>34</v>
      </c>
      <c r="L412">
        <v>42</v>
      </c>
      <c r="M412" t="s">
        <v>29</v>
      </c>
      <c r="N412" t="s">
        <v>42</v>
      </c>
      <c r="O412" t="s">
        <v>31</v>
      </c>
      <c r="P412">
        <v>4</v>
      </c>
      <c r="Q412" t="s">
        <v>36</v>
      </c>
      <c r="R412" t="s">
        <v>45</v>
      </c>
      <c r="S412">
        <v>3</v>
      </c>
      <c r="T412">
        <v>0</v>
      </c>
      <c r="U412">
        <v>22</v>
      </c>
      <c r="V412">
        <v>3</v>
      </c>
      <c r="W412">
        <v>22</v>
      </c>
      <c r="X412">
        <v>17</v>
      </c>
      <c r="Y412">
        <v>11</v>
      </c>
      <c r="Z412">
        <v>15</v>
      </c>
      <c r="AA412" t="str">
        <f t="shared" si="38"/>
        <v>Long Tenure</v>
      </c>
      <c r="AB412" s="5">
        <v>44901</v>
      </c>
      <c r="AC412">
        <f t="shared" si="39"/>
        <v>0</v>
      </c>
      <c r="AD412" t="s">
        <v>38</v>
      </c>
      <c r="AE412">
        <f>VLOOKUP(A412,'Employee Engagement Survey'!A228:B1697,2,FALSE)</f>
        <v>3</v>
      </c>
      <c r="AF412">
        <f>VLOOKUP(A412,'Employee Engagement Survey'!A228:C1697,3,FALSE)</f>
        <v>4</v>
      </c>
      <c r="AG412">
        <f>VLOOKUP(A412,'Employee Engagement Survey'!A228:D1697,4,FALSE)</f>
        <v>4</v>
      </c>
      <c r="AH412">
        <f>VLOOKUP(A412,'Employee Engagement Survey'!A228:E1697,5,FALSE)</f>
        <v>3</v>
      </c>
      <c r="AI412">
        <f t="shared" si="37"/>
        <v>3.5</v>
      </c>
    </row>
    <row r="413" spans="1:35" hidden="1" x14ac:dyDescent="0.4">
      <c r="A413">
        <v>826</v>
      </c>
      <c r="B413" t="s">
        <v>34</v>
      </c>
      <c r="C413">
        <f t="shared" si="35"/>
        <v>1</v>
      </c>
      <c r="D413" t="s">
        <v>27</v>
      </c>
      <c r="E413">
        <f t="shared" si="36"/>
        <v>0</v>
      </c>
      <c r="F413" t="s">
        <v>28</v>
      </c>
      <c r="G413">
        <v>4</v>
      </c>
      <c r="H413" s="1">
        <v>54072</v>
      </c>
      <c r="I413" s="10">
        <v>0.13</v>
      </c>
      <c r="J413">
        <v>37.5</v>
      </c>
      <c r="K413" t="s">
        <v>34</v>
      </c>
      <c r="L413">
        <v>35</v>
      </c>
      <c r="M413" t="s">
        <v>47</v>
      </c>
      <c r="N413" t="s">
        <v>30</v>
      </c>
      <c r="O413" t="s">
        <v>31</v>
      </c>
      <c r="P413">
        <v>1</v>
      </c>
      <c r="Q413" t="s">
        <v>51</v>
      </c>
      <c r="R413" t="s">
        <v>37</v>
      </c>
      <c r="S413">
        <v>3</v>
      </c>
      <c r="T413">
        <v>0</v>
      </c>
      <c r="U413">
        <v>7</v>
      </c>
      <c r="V413">
        <v>0</v>
      </c>
      <c r="W413">
        <v>2</v>
      </c>
      <c r="X413">
        <v>2</v>
      </c>
      <c r="Y413">
        <v>2</v>
      </c>
      <c r="Z413">
        <v>2</v>
      </c>
      <c r="AA413" t="str">
        <f t="shared" si="38"/>
        <v>Early Tenure</v>
      </c>
      <c r="AB413" s="5">
        <v>45247</v>
      </c>
      <c r="AC413">
        <f t="shared" si="39"/>
        <v>0</v>
      </c>
      <c r="AD413" t="s">
        <v>38</v>
      </c>
      <c r="AE413">
        <f>VLOOKUP(A413,'Employee Engagement Survey'!A229:B1698,2,FALSE)</f>
        <v>4</v>
      </c>
      <c r="AF413">
        <f>VLOOKUP(A413,'Employee Engagement Survey'!A229:C1698,3,FALSE)</f>
        <v>3</v>
      </c>
      <c r="AG413">
        <f>VLOOKUP(A413,'Employee Engagement Survey'!A229:D1698,4,FALSE)</f>
        <v>3</v>
      </c>
      <c r="AH413">
        <f>VLOOKUP(A413,'Employee Engagement Survey'!A229:E1698,5,FALSE)</f>
        <v>3</v>
      </c>
      <c r="AI413">
        <f t="shared" si="37"/>
        <v>3.25</v>
      </c>
    </row>
    <row r="414" spans="1:35" hidden="1" x14ac:dyDescent="0.4">
      <c r="A414">
        <v>1120</v>
      </c>
      <c r="B414" t="s">
        <v>34</v>
      </c>
      <c r="C414">
        <f t="shared" si="35"/>
        <v>1</v>
      </c>
      <c r="D414" t="s">
        <v>27</v>
      </c>
      <c r="E414">
        <f t="shared" si="36"/>
        <v>0</v>
      </c>
      <c r="F414" t="s">
        <v>28</v>
      </c>
      <c r="G414">
        <v>4</v>
      </c>
      <c r="H414" s="1">
        <v>54168</v>
      </c>
      <c r="I414" s="10">
        <v>0.22</v>
      </c>
      <c r="J414">
        <v>37.5</v>
      </c>
      <c r="K414" t="s">
        <v>34</v>
      </c>
      <c r="L414">
        <v>29</v>
      </c>
      <c r="M414" t="s">
        <v>47</v>
      </c>
      <c r="N414" t="s">
        <v>48</v>
      </c>
      <c r="O414" t="s">
        <v>31</v>
      </c>
      <c r="P414">
        <v>28</v>
      </c>
      <c r="Q414" t="s">
        <v>51</v>
      </c>
      <c r="R414" t="s">
        <v>37</v>
      </c>
      <c r="S414">
        <v>4</v>
      </c>
      <c r="T414">
        <v>1</v>
      </c>
      <c r="U414">
        <v>11</v>
      </c>
      <c r="V414">
        <v>1</v>
      </c>
      <c r="W414">
        <v>7</v>
      </c>
      <c r="X414">
        <v>5</v>
      </c>
      <c r="Y414">
        <v>1</v>
      </c>
      <c r="Z414">
        <v>7</v>
      </c>
      <c r="AA414" t="str">
        <f t="shared" si="38"/>
        <v>Mid Tenure</v>
      </c>
      <c r="AB414" s="5">
        <v>45559</v>
      </c>
      <c r="AC414">
        <f t="shared" si="39"/>
        <v>1</v>
      </c>
      <c r="AD414" t="s">
        <v>38</v>
      </c>
      <c r="AE414">
        <f>VLOOKUP(A414,'Employee Engagement Survey'!A230:B1699,2,FALSE)</f>
        <v>3</v>
      </c>
      <c r="AF414">
        <f>VLOOKUP(A414,'Employee Engagement Survey'!A230:C1699,3,FALSE)</f>
        <v>4</v>
      </c>
      <c r="AG414">
        <f>VLOOKUP(A414,'Employee Engagement Survey'!A230:D1699,4,FALSE)</f>
        <v>1</v>
      </c>
      <c r="AH414">
        <f>VLOOKUP(A414,'Employee Engagement Survey'!A230:E1699,5,FALSE)</f>
        <v>3</v>
      </c>
      <c r="AI414">
        <f t="shared" si="37"/>
        <v>2.75</v>
      </c>
    </row>
    <row r="415" spans="1:35" hidden="1" x14ac:dyDescent="0.4">
      <c r="A415">
        <v>321</v>
      </c>
      <c r="B415" t="s">
        <v>34</v>
      </c>
      <c r="C415">
        <f t="shared" si="35"/>
        <v>1</v>
      </c>
      <c r="D415" t="s">
        <v>105</v>
      </c>
      <c r="E415">
        <f t="shared" si="36"/>
        <v>0</v>
      </c>
      <c r="F415" t="s">
        <v>59</v>
      </c>
      <c r="G415">
        <v>4</v>
      </c>
      <c r="H415" s="1">
        <v>51204</v>
      </c>
      <c r="I415" s="10">
        <v>0.17</v>
      </c>
      <c r="J415">
        <v>37.5</v>
      </c>
      <c r="K415" t="s">
        <v>34</v>
      </c>
      <c r="L415">
        <v>59</v>
      </c>
      <c r="M415" t="s">
        <v>29</v>
      </c>
      <c r="N415" t="s">
        <v>42</v>
      </c>
      <c r="O415" t="s">
        <v>31</v>
      </c>
      <c r="P415">
        <v>6</v>
      </c>
      <c r="Q415" t="s">
        <v>36</v>
      </c>
      <c r="R415" t="s">
        <v>33</v>
      </c>
      <c r="S415">
        <v>3</v>
      </c>
      <c r="T415">
        <v>0</v>
      </c>
      <c r="U415">
        <v>7</v>
      </c>
      <c r="V415">
        <v>2</v>
      </c>
      <c r="W415">
        <v>2</v>
      </c>
      <c r="X415">
        <v>2</v>
      </c>
      <c r="Y415">
        <v>2</v>
      </c>
      <c r="Z415">
        <v>2</v>
      </c>
      <c r="AA415" t="str">
        <f t="shared" si="38"/>
        <v>Early Tenure</v>
      </c>
      <c r="AB415" s="5">
        <v>44766</v>
      </c>
      <c r="AC415">
        <f t="shared" si="39"/>
        <v>0</v>
      </c>
      <c r="AD415" t="s">
        <v>49</v>
      </c>
      <c r="AE415">
        <f>VLOOKUP(A415,'Employee Engagement Survey'!A231:B1700,2,FALSE)</f>
        <v>2</v>
      </c>
      <c r="AF415">
        <f>VLOOKUP(A415,'Employee Engagement Survey'!A231:C1700,3,FALSE)</f>
        <v>3</v>
      </c>
      <c r="AG415">
        <f>VLOOKUP(A415,'Employee Engagement Survey'!A231:D1700,4,FALSE)</f>
        <v>4</v>
      </c>
      <c r="AH415">
        <f>VLOOKUP(A415,'Employee Engagement Survey'!A231:E1700,5,FALSE)</f>
        <v>2</v>
      </c>
      <c r="AI415">
        <f t="shared" si="37"/>
        <v>2.75</v>
      </c>
    </row>
    <row r="416" spans="1:35" hidden="1" x14ac:dyDescent="0.4">
      <c r="A416">
        <v>329</v>
      </c>
      <c r="B416" t="s">
        <v>34</v>
      </c>
      <c r="C416">
        <f t="shared" si="35"/>
        <v>1</v>
      </c>
      <c r="D416" t="s">
        <v>110</v>
      </c>
      <c r="E416">
        <f t="shared" si="36"/>
        <v>1</v>
      </c>
      <c r="F416" t="s">
        <v>40</v>
      </c>
      <c r="G416">
        <v>5</v>
      </c>
      <c r="H416" s="1">
        <v>240816</v>
      </c>
      <c r="I416" s="10">
        <v>0.18</v>
      </c>
      <c r="J416">
        <v>37.5</v>
      </c>
      <c r="K416" t="s">
        <v>26</v>
      </c>
      <c r="L416">
        <v>52</v>
      </c>
      <c r="M416" t="s">
        <v>29</v>
      </c>
      <c r="N416" t="s">
        <v>30</v>
      </c>
      <c r="O416" t="s">
        <v>35</v>
      </c>
      <c r="P416">
        <v>2</v>
      </c>
      <c r="Q416" t="s">
        <v>51</v>
      </c>
      <c r="R416" t="s">
        <v>37</v>
      </c>
      <c r="S416">
        <v>3</v>
      </c>
      <c r="T416">
        <v>0</v>
      </c>
      <c r="U416">
        <v>33</v>
      </c>
      <c r="V416">
        <v>2</v>
      </c>
      <c r="W416">
        <v>33</v>
      </c>
      <c r="X416">
        <v>7</v>
      </c>
      <c r="Y416">
        <v>15</v>
      </c>
      <c r="Z416">
        <v>12</v>
      </c>
      <c r="AA416" t="str">
        <f t="shared" si="38"/>
        <v>Long Tenure</v>
      </c>
      <c r="AB416" s="5">
        <v>45825</v>
      </c>
      <c r="AC416">
        <f t="shared" si="39"/>
        <v>1</v>
      </c>
      <c r="AD416" t="s">
        <v>38</v>
      </c>
      <c r="AE416">
        <f>VLOOKUP(A416,'Employee Engagement Survey'!A234:B1703,2,FALSE)</f>
        <v>1</v>
      </c>
      <c r="AF416">
        <f>VLOOKUP(A416,'Employee Engagement Survey'!A234:C1703,3,FALSE)</f>
        <v>3</v>
      </c>
      <c r="AG416">
        <f>VLOOKUP(A416,'Employee Engagement Survey'!A234:D1703,4,FALSE)</f>
        <v>4</v>
      </c>
      <c r="AH416">
        <f>VLOOKUP(A416,'Employee Engagement Survey'!A234:E1703,5,FALSE)</f>
        <v>4</v>
      </c>
      <c r="AI416">
        <f t="shared" si="37"/>
        <v>3</v>
      </c>
    </row>
    <row r="417" spans="1:35" hidden="1" x14ac:dyDescent="0.4">
      <c r="A417">
        <v>912</v>
      </c>
      <c r="B417" t="s">
        <v>34</v>
      </c>
      <c r="C417">
        <f t="shared" si="35"/>
        <v>1</v>
      </c>
      <c r="D417" t="s">
        <v>46</v>
      </c>
      <c r="E417">
        <f t="shared" si="36"/>
        <v>0</v>
      </c>
      <c r="F417" t="s">
        <v>28</v>
      </c>
      <c r="G417">
        <v>4</v>
      </c>
      <c r="H417" s="1">
        <v>54384</v>
      </c>
      <c r="I417" s="10">
        <v>0.14000000000000001</v>
      </c>
      <c r="J417">
        <v>37.5</v>
      </c>
      <c r="K417" t="s">
        <v>34</v>
      </c>
      <c r="L417">
        <v>29</v>
      </c>
      <c r="M417" t="s">
        <v>47</v>
      </c>
      <c r="N417" t="s">
        <v>48</v>
      </c>
      <c r="O417" t="s">
        <v>31</v>
      </c>
      <c r="P417">
        <v>7</v>
      </c>
      <c r="Q417" t="s">
        <v>32</v>
      </c>
      <c r="R417" t="s">
        <v>33</v>
      </c>
      <c r="S417">
        <v>3</v>
      </c>
      <c r="T417">
        <v>3</v>
      </c>
      <c r="U417">
        <v>8</v>
      </c>
      <c r="V417">
        <v>5</v>
      </c>
      <c r="W417">
        <v>4</v>
      </c>
      <c r="X417">
        <v>3</v>
      </c>
      <c r="Y417">
        <v>0</v>
      </c>
      <c r="Z417">
        <v>3</v>
      </c>
      <c r="AA417" t="str">
        <f t="shared" si="38"/>
        <v>Mid Tenure</v>
      </c>
      <c r="AB417" s="5">
        <v>44944</v>
      </c>
      <c r="AC417">
        <f t="shared" si="39"/>
        <v>0</v>
      </c>
      <c r="AD417" t="s">
        <v>38</v>
      </c>
      <c r="AE417">
        <f>VLOOKUP(A417,'Employee Engagement Survey'!A236:B1705,2,FALSE)</f>
        <v>1</v>
      </c>
      <c r="AF417">
        <f>VLOOKUP(A417,'Employee Engagement Survey'!A236:C1705,3,FALSE)</f>
        <v>4</v>
      </c>
      <c r="AG417">
        <f>VLOOKUP(A417,'Employee Engagement Survey'!A236:D1705,4,FALSE)</f>
        <v>3</v>
      </c>
      <c r="AH417">
        <f>VLOOKUP(A417,'Employee Engagement Survey'!A236:E1705,5,FALSE)</f>
        <v>3</v>
      </c>
      <c r="AI417">
        <f t="shared" si="37"/>
        <v>2.75</v>
      </c>
    </row>
    <row r="418" spans="1:35" hidden="1" x14ac:dyDescent="0.4">
      <c r="A418">
        <v>1364</v>
      </c>
      <c r="B418" t="s">
        <v>34</v>
      </c>
      <c r="C418">
        <f t="shared" si="35"/>
        <v>1</v>
      </c>
      <c r="D418" t="s">
        <v>39</v>
      </c>
      <c r="E418">
        <f t="shared" si="36"/>
        <v>0</v>
      </c>
      <c r="F418" t="s">
        <v>40</v>
      </c>
      <c r="G418">
        <v>4</v>
      </c>
      <c r="H418" s="1">
        <v>54408</v>
      </c>
      <c r="I418" s="10">
        <v>0.14000000000000001</v>
      </c>
      <c r="J418">
        <v>37.5</v>
      </c>
      <c r="K418" t="s">
        <v>34</v>
      </c>
      <c r="L418">
        <v>27</v>
      </c>
      <c r="M418" t="s">
        <v>47</v>
      </c>
      <c r="N418" t="s">
        <v>42</v>
      </c>
      <c r="O418" t="s">
        <v>31</v>
      </c>
      <c r="P418">
        <v>11</v>
      </c>
      <c r="Q418" t="s">
        <v>43</v>
      </c>
      <c r="R418" t="s">
        <v>33</v>
      </c>
      <c r="S418">
        <v>3</v>
      </c>
      <c r="T418">
        <v>1</v>
      </c>
      <c r="U418">
        <v>5</v>
      </c>
      <c r="V418">
        <v>4</v>
      </c>
      <c r="W418">
        <v>1</v>
      </c>
      <c r="X418">
        <v>0</v>
      </c>
      <c r="Y418">
        <v>0</v>
      </c>
      <c r="Z418">
        <v>0</v>
      </c>
      <c r="AA418" t="str">
        <f t="shared" si="38"/>
        <v>Early Tenure</v>
      </c>
      <c r="AB418" s="5">
        <v>45827</v>
      </c>
      <c r="AC418">
        <f t="shared" si="39"/>
        <v>1</v>
      </c>
      <c r="AD418" t="s">
        <v>38</v>
      </c>
      <c r="AE418">
        <f>VLOOKUP(A418,'Employee Engagement Survey'!A237:B1706,2,FALSE)</f>
        <v>3</v>
      </c>
      <c r="AF418">
        <f>VLOOKUP(A418,'Employee Engagement Survey'!A237:C1706,3,FALSE)</f>
        <v>4</v>
      </c>
      <c r="AG418">
        <f>VLOOKUP(A418,'Employee Engagement Survey'!A237:D1706,4,FALSE)</f>
        <v>2</v>
      </c>
      <c r="AH418">
        <f>VLOOKUP(A418,'Employee Engagement Survey'!A237:E1706,5,FALSE)</f>
        <v>3</v>
      </c>
      <c r="AI418">
        <f t="shared" si="37"/>
        <v>3</v>
      </c>
    </row>
    <row r="419" spans="1:35" hidden="1" x14ac:dyDescent="0.4">
      <c r="A419">
        <v>333</v>
      </c>
      <c r="B419" t="s">
        <v>34</v>
      </c>
      <c r="C419">
        <f t="shared" si="35"/>
        <v>1</v>
      </c>
      <c r="D419" t="s">
        <v>57</v>
      </c>
      <c r="E419">
        <f t="shared" si="36"/>
        <v>0</v>
      </c>
      <c r="F419" t="s">
        <v>40</v>
      </c>
      <c r="G419">
        <v>6</v>
      </c>
      <c r="H419" s="1">
        <v>65580</v>
      </c>
      <c r="I419" s="10">
        <v>0.18</v>
      </c>
      <c r="J419">
        <v>37.5</v>
      </c>
      <c r="K419" t="s">
        <v>34</v>
      </c>
      <c r="L419">
        <v>32</v>
      </c>
      <c r="M419" t="s">
        <v>29</v>
      </c>
      <c r="N419" t="s">
        <v>42</v>
      </c>
      <c r="O419" t="s">
        <v>35</v>
      </c>
      <c r="P419">
        <v>26</v>
      </c>
      <c r="Q419" t="s">
        <v>51</v>
      </c>
      <c r="R419" t="s">
        <v>56</v>
      </c>
      <c r="S419">
        <v>3</v>
      </c>
      <c r="T419">
        <v>0</v>
      </c>
      <c r="U419">
        <v>4</v>
      </c>
      <c r="V419">
        <v>2</v>
      </c>
      <c r="W419">
        <v>3</v>
      </c>
      <c r="X419">
        <v>2</v>
      </c>
      <c r="Y419">
        <v>2</v>
      </c>
      <c r="Z419">
        <v>2</v>
      </c>
      <c r="AA419" t="str">
        <f t="shared" si="38"/>
        <v>Mid Tenure</v>
      </c>
      <c r="AB419" s="5">
        <v>45133</v>
      </c>
      <c r="AC419">
        <f t="shared" si="39"/>
        <v>0</v>
      </c>
      <c r="AD419" t="s">
        <v>49</v>
      </c>
      <c r="AE419">
        <f>VLOOKUP(A419,'Employee Engagement Survey'!A238:B1707,2,FALSE)</f>
        <v>3</v>
      </c>
      <c r="AF419">
        <f>VLOOKUP(A419,'Employee Engagement Survey'!A238:C1707,3,FALSE)</f>
        <v>4</v>
      </c>
      <c r="AG419">
        <f>VLOOKUP(A419,'Employee Engagement Survey'!A238:D1707,4,FALSE)</f>
        <v>1</v>
      </c>
      <c r="AH419">
        <f>VLOOKUP(A419,'Employee Engagement Survey'!A238:E1707,5,FALSE)</f>
        <v>3</v>
      </c>
      <c r="AI419">
        <f t="shared" si="37"/>
        <v>2.75</v>
      </c>
    </row>
    <row r="420" spans="1:35" hidden="1" x14ac:dyDescent="0.4">
      <c r="A420">
        <v>501</v>
      </c>
      <c r="B420" t="s">
        <v>34</v>
      </c>
      <c r="C420">
        <f t="shared" si="35"/>
        <v>1</v>
      </c>
      <c r="D420" t="s">
        <v>27</v>
      </c>
      <c r="E420">
        <f t="shared" si="36"/>
        <v>0</v>
      </c>
      <c r="F420" t="s">
        <v>28</v>
      </c>
      <c r="G420">
        <v>4</v>
      </c>
      <c r="H420" s="1">
        <v>54516</v>
      </c>
      <c r="I420" s="10">
        <v>0.13</v>
      </c>
      <c r="J420">
        <v>37.5</v>
      </c>
      <c r="K420" t="s">
        <v>34</v>
      </c>
      <c r="L420">
        <v>36</v>
      </c>
      <c r="M420" t="s">
        <v>47</v>
      </c>
      <c r="N420" t="s">
        <v>42</v>
      </c>
      <c r="O420" t="s">
        <v>31</v>
      </c>
      <c r="P420">
        <v>2</v>
      </c>
      <c r="Q420" t="s">
        <v>43</v>
      </c>
      <c r="R420" t="s">
        <v>37</v>
      </c>
      <c r="S420">
        <v>3</v>
      </c>
      <c r="T420">
        <v>1</v>
      </c>
      <c r="U420">
        <v>6</v>
      </c>
      <c r="V420">
        <v>3</v>
      </c>
      <c r="W420">
        <v>2</v>
      </c>
      <c r="X420">
        <v>2</v>
      </c>
      <c r="Y420">
        <v>2</v>
      </c>
      <c r="Z420">
        <v>2</v>
      </c>
      <c r="AA420" t="str">
        <f t="shared" si="38"/>
        <v>Early Tenure</v>
      </c>
      <c r="AB420" s="5">
        <v>45436</v>
      </c>
      <c r="AC420">
        <f t="shared" si="39"/>
        <v>1</v>
      </c>
      <c r="AD420" t="s">
        <v>49</v>
      </c>
      <c r="AE420">
        <f>VLOOKUP(A420,'Employee Engagement Survey'!A239:B1708,2,FALSE)</f>
        <v>4</v>
      </c>
      <c r="AF420">
        <f>VLOOKUP(A420,'Employee Engagement Survey'!A239:C1708,3,FALSE)</f>
        <v>3</v>
      </c>
      <c r="AG420">
        <f>VLOOKUP(A420,'Employee Engagement Survey'!A239:D1708,4,FALSE)</f>
        <v>2</v>
      </c>
      <c r="AH420">
        <f>VLOOKUP(A420,'Employee Engagement Survey'!A239:E1708,5,FALSE)</f>
        <v>3</v>
      </c>
      <c r="AI420">
        <f t="shared" si="37"/>
        <v>3</v>
      </c>
    </row>
    <row r="421" spans="1:35" hidden="1" x14ac:dyDescent="0.4">
      <c r="A421">
        <v>334</v>
      </c>
      <c r="B421" t="s">
        <v>34</v>
      </c>
      <c r="C421">
        <f t="shared" si="35"/>
        <v>1</v>
      </c>
      <c r="D421" t="s">
        <v>27</v>
      </c>
      <c r="E421">
        <f t="shared" si="36"/>
        <v>0</v>
      </c>
      <c r="F421" t="s">
        <v>28</v>
      </c>
      <c r="G421">
        <v>6</v>
      </c>
      <c r="H421" s="1">
        <v>60864</v>
      </c>
      <c r="I421" s="10">
        <v>0.16</v>
      </c>
      <c r="J421">
        <v>37.5</v>
      </c>
      <c r="K421" t="s">
        <v>34</v>
      </c>
      <c r="L421">
        <v>41</v>
      </c>
      <c r="M421" t="s">
        <v>29</v>
      </c>
      <c r="N421" t="s">
        <v>48</v>
      </c>
      <c r="O421" t="s">
        <v>31</v>
      </c>
      <c r="P421">
        <v>19</v>
      </c>
      <c r="Q421" t="s">
        <v>36</v>
      </c>
      <c r="R421" t="s">
        <v>37</v>
      </c>
      <c r="S421">
        <v>3</v>
      </c>
      <c r="T421">
        <v>2</v>
      </c>
      <c r="U421">
        <v>17</v>
      </c>
      <c r="V421">
        <v>2</v>
      </c>
      <c r="W421">
        <v>1</v>
      </c>
      <c r="X421">
        <v>0</v>
      </c>
      <c r="Y421">
        <v>0</v>
      </c>
      <c r="Z421">
        <v>0</v>
      </c>
      <c r="AA421" t="str">
        <f t="shared" si="38"/>
        <v>Early Tenure</v>
      </c>
      <c r="AB421" s="5">
        <v>45138</v>
      </c>
      <c r="AC421">
        <f t="shared" si="39"/>
        <v>0</v>
      </c>
      <c r="AD421" t="s">
        <v>49</v>
      </c>
      <c r="AE421">
        <f>VLOOKUP(A421,'Employee Engagement Survey'!A240:B1709,2,FALSE)</f>
        <v>3</v>
      </c>
      <c r="AF421">
        <f>VLOOKUP(A421,'Employee Engagement Survey'!A240:C1709,3,FALSE)</f>
        <v>1</v>
      </c>
      <c r="AG421">
        <f>VLOOKUP(A421,'Employee Engagement Survey'!A240:D1709,4,FALSE)</f>
        <v>1</v>
      </c>
      <c r="AH421">
        <f>VLOOKUP(A421,'Employee Engagement Survey'!A240:E1709,5,FALSE)</f>
        <v>2</v>
      </c>
      <c r="AI421">
        <f t="shared" si="37"/>
        <v>1.75</v>
      </c>
    </row>
    <row r="422" spans="1:35" hidden="1" x14ac:dyDescent="0.4">
      <c r="A422">
        <v>335</v>
      </c>
      <c r="B422" t="s">
        <v>34</v>
      </c>
      <c r="C422">
        <f t="shared" si="35"/>
        <v>1</v>
      </c>
      <c r="D422" t="s">
        <v>27</v>
      </c>
      <c r="E422">
        <f t="shared" si="36"/>
        <v>0</v>
      </c>
      <c r="F422" t="s">
        <v>28</v>
      </c>
      <c r="G422">
        <v>6</v>
      </c>
      <c r="H422" s="1">
        <v>63828</v>
      </c>
      <c r="I422" s="10">
        <v>0.17</v>
      </c>
      <c r="J422">
        <v>37.5</v>
      </c>
      <c r="K422" t="s">
        <v>34</v>
      </c>
      <c r="L422">
        <v>40</v>
      </c>
      <c r="M422" t="s">
        <v>29</v>
      </c>
      <c r="N422" t="s">
        <v>48</v>
      </c>
      <c r="O422" t="s">
        <v>31</v>
      </c>
      <c r="P422">
        <v>24</v>
      </c>
      <c r="Q422" t="s">
        <v>36</v>
      </c>
      <c r="R422" t="s">
        <v>45</v>
      </c>
      <c r="S422">
        <v>3</v>
      </c>
      <c r="T422">
        <v>2</v>
      </c>
      <c r="U422">
        <v>9</v>
      </c>
      <c r="V422">
        <v>3</v>
      </c>
      <c r="W422">
        <v>9</v>
      </c>
      <c r="X422">
        <v>8</v>
      </c>
      <c r="Y422">
        <v>4</v>
      </c>
      <c r="Z422">
        <v>7</v>
      </c>
      <c r="AA422" t="str">
        <f t="shared" si="38"/>
        <v>Mid Tenure</v>
      </c>
      <c r="AB422" s="5">
        <v>45966</v>
      </c>
      <c r="AC422">
        <f t="shared" si="39"/>
        <v>1</v>
      </c>
      <c r="AD422" t="s">
        <v>38</v>
      </c>
      <c r="AE422">
        <f>VLOOKUP(A422,'Employee Engagement Survey'!A242:B1711,2,FALSE)</f>
        <v>1</v>
      </c>
      <c r="AF422">
        <f>VLOOKUP(A422,'Employee Engagement Survey'!A242:C1711,3,FALSE)</f>
        <v>4</v>
      </c>
      <c r="AG422">
        <f>VLOOKUP(A422,'Employee Engagement Survey'!A242:D1711,4,FALSE)</f>
        <v>1</v>
      </c>
      <c r="AH422">
        <f>VLOOKUP(A422,'Employee Engagement Survey'!A242:E1711,5,FALSE)</f>
        <v>3</v>
      </c>
      <c r="AI422">
        <f t="shared" si="37"/>
        <v>2.25</v>
      </c>
    </row>
    <row r="423" spans="1:35" hidden="1" x14ac:dyDescent="0.4">
      <c r="A423">
        <v>838</v>
      </c>
      <c r="B423" t="s">
        <v>34</v>
      </c>
      <c r="C423">
        <f t="shared" si="35"/>
        <v>1</v>
      </c>
      <c r="D423" t="s">
        <v>27</v>
      </c>
      <c r="E423">
        <f t="shared" si="36"/>
        <v>0</v>
      </c>
      <c r="F423" t="s">
        <v>28</v>
      </c>
      <c r="G423">
        <v>4</v>
      </c>
      <c r="H423" s="1">
        <v>54636</v>
      </c>
      <c r="I423" s="10">
        <v>0.16</v>
      </c>
      <c r="J423">
        <v>37.5</v>
      </c>
      <c r="K423" t="s">
        <v>34</v>
      </c>
      <c r="L423">
        <v>34</v>
      </c>
      <c r="M423" t="s">
        <v>47</v>
      </c>
      <c r="N423" t="s">
        <v>30</v>
      </c>
      <c r="O423" t="s">
        <v>44</v>
      </c>
      <c r="P423">
        <v>16</v>
      </c>
      <c r="Q423" t="s">
        <v>51</v>
      </c>
      <c r="R423" t="s">
        <v>37</v>
      </c>
      <c r="S423">
        <v>3</v>
      </c>
      <c r="T423">
        <v>0</v>
      </c>
      <c r="U423">
        <v>6</v>
      </c>
      <c r="V423">
        <v>3</v>
      </c>
      <c r="W423">
        <v>5</v>
      </c>
      <c r="X423">
        <v>2</v>
      </c>
      <c r="Y423">
        <v>1</v>
      </c>
      <c r="Z423">
        <v>3</v>
      </c>
      <c r="AA423" t="str">
        <f t="shared" si="38"/>
        <v>Mid Tenure</v>
      </c>
      <c r="AB423" s="5">
        <v>44767</v>
      </c>
      <c r="AC423">
        <f t="shared" si="39"/>
        <v>0</v>
      </c>
      <c r="AD423" t="s">
        <v>38</v>
      </c>
      <c r="AE423">
        <f>VLOOKUP(A423,'Employee Engagement Survey'!A243:B1712,2,FALSE)</f>
        <v>3</v>
      </c>
      <c r="AF423">
        <f>VLOOKUP(A423,'Employee Engagement Survey'!A243:C1712,3,FALSE)</f>
        <v>4</v>
      </c>
      <c r="AG423">
        <f>VLOOKUP(A423,'Employee Engagement Survey'!A243:D1712,4,FALSE)</f>
        <v>3</v>
      </c>
      <c r="AH423">
        <f>VLOOKUP(A423,'Employee Engagement Survey'!A243:E1712,5,FALSE)</f>
        <v>3</v>
      </c>
      <c r="AI423">
        <f t="shared" si="37"/>
        <v>3.25</v>
      </c>
    </row>
    <row r="424" spans="1:35" hidden="1" x14ac:dyDescent="0.4">
      <c r="A424">
        <v>856</v>
      </c>
      <c r="B424" t="s">
        <v>34</v>
      </c>
      <c r="C424">
        <f t="shared" si="35"/>
        <v>1</v>
      </c>
      <c r="D424" t="s">
        <v>27</v>
      </c>
      <c r="E424">
        <f t="shared" si="36"/>
        <v>0</v>
      </c>
      <c r="F424" t="s">
        <v>28</v>
      </c>
      <c r="G424">
        <v>4</v>
      </c>
      <c r="H424" s="1">
        <v>54708</v>
      </c>
      <c r="I424" s="10">
        <v>0.11</v>
      </c>
      <c r="J424">
        <v>37.5</v>
      </c>
      <c r="K424" t="s">
        <v>34</v>
      </c>
      <c r="L424">
        <v>35</v>
      </c>
      <c r="M424" t="s">
        <v>47</v>
      </c>
      <c r="N424" t="s">
        <v>30</v>
      </c>
      <c r="O424" t="s">
        <v>31</v>
      </c>
      <c r="P424">
        <v>27</v>
      </c>
      <c r="Q424" t="s">
        <v>32</v>
      </c>
      <c r="R424" t="s">
        <v>33</v>
      </c>
      <c r="S424">
        <v>3</v>
      </c>
      <c r="T424">
        <v>0</v>
      </c>
      <c r="U424">
        <v>6</v>
      </c>
      <c r="V424">
        <v>3</v>
      </c>
      <c r="W424">
        <v>6</v>
      </c>
      <c r="X424">
        <v>5</v>
      </c>
      <c r="Y424">
        <v>1</v>
      </c>
      <c r="Z424">
        <v>1</v>
      </c>
      <c r="AA424" t="str">
        <f t="shared" si="38"/>
        <v>Mid Tenure</v>
      </c>
      <c r="AB424" s="5">
        <v>45350</v>
      </c>
      <c r="AC424">
        <f t="shared" si="39"/>
        <v>1</v>
      </c>
      <c r="AD424" t="s">
        <v>49</v>
      </c>
      <c r="AE424">
        <f>VLOOKUP(A424,'Employee Engagement Survey'!A244:B1713,2,FALSE)</f>
        <v>3</v>
      </c>
      <c r="AF424">
        <f>VLOOKUP(A424,'Employee Engagement Survey'!A244:C1713,3,FALSE)</f>
        <v>1</v>
      </c>
      <c r="AG424">
        <f>VLOOKUP(A424,'Employee Engagement Survey'!A244:D1713,4,FALSE)</f>
        <v>4</v>
      </c>
      <c r="AH424">
        <f>VLOOKUP(A424,'Employee Engagement Survey'!A244:E1713,5,FALSE)</f>
        <v>2</v>
      </c>
      <c r="AI424">
        <f t="shared" si="37"/>
        <v>2.5</v>
      </c>
    </row>
    <row r="425" spans="1:35" hidden="1" x14ac:dyDescent="0.4">
      <c r="A425">
        <v>336</v>
      </c>
      <c r="B425" t="s">
        <v>34</v>
      </c>
      <c r="C425">
        <f t="shared" si="35"/>
        <v>1</v>
      </c>
      <c r="D425" t="s">
        <v>109</v>
      </c>
      <c r="E425">
        <f t="shared" si="36"/>
        <v>1</v>
      </c>
      <c r="F425" t="s">
        <v>28</v>
      </c>
      <c r="G425">
        <v>5</v>
      </c>
      <c r="H425" s="1">
        <v>242424</v>
      </c>
      <c r="I425" s="10">
        <v>0.11</v>
      </c>
      <c r="J425">
        <v>37.5</v>
      </c>
      <c r="K425" t="s">
        <v>34</v>
      </c>
      <c r="L425">
        <v>45</v>
      </c>
      <c r="M425" t="s">
        <v>29</v>
      </c>
      <c r="N425" t="s">
        <v>42</v>
      </c>
      <c r="O425" t="s">
        <v>31</v>
      </c>
      <c r="P425">
        <v>1</v>
      </c>
      <c r="Q425" t="s">
        <v>43</v>
      </c>
      <c r="R425" t="s">
        <v>53</v>
      </c>
      <c r="S425">
        <v>3</v>
      </c>
      <c r="T425">
        <v>1</v>
      </c>
      <c r="U425">
        <v>25</v>
      </c>
      <c r="V425">
        <v>2</v>
      </c>
      <c r="W425">
        <v>24</v>
      </c>
      <c r="X425">
        <v>0</v>
      </c>
      <c r="Y425">
        <v>1</v>
      </c>
      <c r="Z425">
        <v>7</v>
      </c>
      <c r="AA425" t="str">
        <f t="shared" si="38"/>
        <v>Long Tenure</v>
      </c>
      <c r="AB425" s="5">
        <v>44697</v>
      </c>
      <c r="AC425">
        <f t="shared" si="39"/>
        <v>0</v>
      </c>
      <c r="AD425" t="s">
        <v>38</v>
      </c>
      <c r="AE425">
        <f>VLOOKUP(A425,'Employee Engagement Survey'!A245:B1714,2,FALSE)</f>
        <v>3</v>
      </c>
      <c r="AF425">
        <f>VLOOKUP(A425,'Employee Engagement Survey'!A245:C1714,3,FALSE)</f>
        <v>4</v>
      </c>
      <c r="AG425">
        <f>VLOOKUP(A425,'Employee Engagement Survey'!A245:D1714,4,FALSE)</f>
        <v>3</v>
      </c>
      <c r="AH425">
        <f>VLOOKUP(A425,'Employee Engagement Survey'!A245:E1714,5,FALSE)</f>
        <v>3</v>
      </c>
      <c r="AI425">
        <f t="shared" si="37"/>
        <v>3.25</v>
      </c>
    </row>
    <row r="426" spans="1:35" x14ac:dyDescent="0.4">
      <c r="A426">
        <v>337</v>
      </c>
      <c r="B426" t="s">
        <v>34</v>
      </c>
      <c r="C426">
        <f t="shared" si="35"/>
        <v>1</v>
      </c>
      <c r="D426" t="s">
        <v>60</v>
      </c>
      <c r="E426">
        <f t="shared" si="36"/>
        <v>1</v>
      </c>
      <c r="F426" t="s">
        <v>28</v>
      </c>
      <c r="G426">
        <v>3</v>
      </c>
      <c r="H426" s="1">
        <v>176100</v>
      </c>
      <c r="I426" s="10">
        <v>0.12</v>
      </c>
      <c r="J426">
        <v>37.5</v>
      </c>
      <c r="K426" t="s">
        <v>34</v>
      </c>
      <c r="L426">
        <v>31</v>
      </c>
      <c r="M426" t="s">
        <v>29</v>
      </c>
      <c r="N426" t="s">
        <v>48</v>
      </c>
      <c r="O426" t="s">
        <v>44</v>
      </c>
      <c r="P426">
        <v>3</v>
      </c>
      <c r="Q426" t="s">
        <v>51</v>
      </c>
      <c r="R426" t="s">
        <v>33</v>
      </c>
      <c r="S426">
        <v>3</v>
      </c>
      <c r="T426">
        <v>1</v>
      </c>
      <c r="U426">
        <v>9</v>
      </c>
      <c r="V426">
        <v>3</v>
      </c>
      <c r="W426">
        <v>2</v>
      </c>
      <c r="X426">
        <v>2</v>
      </c>
      <c r="Y426">
        <v>2</v>
      </c>
      <c r="Z426">
        <v>2</v>
      </c>
      <c r="AA426" t="str">
        <f t="shared" si="38"/>
        <v>Early Tenure</v>
      </c>
      <c r="AB426" s="5">
        <v>45639</v>
      </c>
      <c r="AC426">
        <f t="shared" si="39"/>
        <v>1</v>
      </c>
      <c r="AD426" t="s">
        <v>49</v>
      </c>
      <c r="AE426">
        <f>VLOOKUP(A426,'Employee Engagement Survey'!A246:B1715,2,FALSE)</f>
        <v>2</v>
      </c>
      <c r="AF426">
        <f>VLOOKUP(A426,'Employee Engagement Survey'!A246:C1715,3,FALSE)</f>
        <v>3</v>
      </c>
      <c r="AG426">
        <f>VLOOKUP(A426,'Employee Engagement Survey'!A246:D1715,4,FALSE)</f>
        <v>1</v>
      </c>
      <c r="AH426">
        <f>VLOOKUP(A426,'Employee Engagement Survey'!A246:E1715,5,FALSE)</f>
        <v>3</v>
      </c>
      <c r="AI426">
        <f t="shared" si="37"/>
        <v>2.25</v>
      </c>
    </row>
    <row r="427" spans="1:35" hidden="1" x14ac:dyDescent="0.4">
      <c r="A427">
        <v>339</v>
      </c>
      <c r="B427" t="s">
        <v>34</v>
      </c>
      <c r="C427">
        <f t="shared" si="35"/>
        <v>1</v>
      </c>
      <c r="D427" t="s">
        <v>54</v>
      </c>
      <c r="E427">
        <f t="shared" si="36"/>
        <v>1</v>
      </c>
      <c r="F427" t="s">
        <v>28</v>
      </c>
      <c r="G427">
        <v>7</v>
      </c>
      <c r="H427" s="1">
        <v>83484</v>
      </c>
      <c r="I427" s="10">
        <v>0.13</v>
      </c>
      <c r="J427">
        <v>37.5</v>
      </c>
      <c r="K427" t="s">
        <v>34</v>
      </c>
      <c r="L427">
        <v>34</v>
      </c>
      <c r="M427" t="s">
        <v>29</v>
      </c>
      <c r="N427" t="s">
        <v>42</v>
      </c>
      <c r="O427" t="s">
        <v>31</v>
      </c>
      <c r="P427">
        <v>2</v>
      </c>
      <c r="Q427" t="s">
        <v>51</v>
      </c>
      <c r="R427" t="s">
        <v>37</v>
      </c>
      <c r="S427">
        <v>3</v>
      </c>
      <c r="T427">
        <v>1</v>
      </c>
      <c r="U427">
        <v>13</v>
      </c>
      <c r="V427">
        <v>3</v>
      </c>
      <c r="W427">
        <v>11</v>
      </c>
      <c r="X427">
        <v>9</v>
      </c>
      <c r="Y427">
        <v>5</v>
      </c>
      <c r="Z427">
        <v>9</v>
      </c>
      <c r="AA427" t="str">
        <f t="shared" si="38"/>
        <v>Long Tenure</v>
      </c>
      <c r="AB427" s="5">
        <v>45359</v>
      </c>
      <c r="AC427">
        <f t="shared" si="39"/>
        <v>1</v>
      </c>
      <c r="AD427" t="s">
        <v>38</v>
      </c>
      <c r="AE427">
        <f>VLOOKUP(A427,'Employee Engagement Survey'!A247:B1716,2,FALSE)</f>
        <v>4</v>
      </c>
      <c r="AF427">
        <f>VLOOKUP(A427,'Employee Engagement Survey'!A247:C1716,3,FALSE)</f>
        <v>1</v>
      </c>
      <c r="AG427">
        <f>VLOOKUP(A427,'Employee Engagement Survey'!A247:D1716,4,FALSE)</f>
        <v>2</v>
      </c>
      <c r="AH427">
        <f>VLOOKUP(A427,'Employee Engagement Survey'!A247:E1716,5,FALSE)</f>
        <v>3</v>
      </c>
      <c r="AI427">
        <f t="shared" si="37"/>
        <v>2.5</v>
      </c>
    </row>
    <row r="428" spans="1:35" hidden="1" x14ac:dyDescent="0.4">
      <c r="A428">
        <v>341</v>
      </c>
      <c r="B428" t="s">
        <v>34</v>
      </c>
      <c r="C428">
        <f t="shared" si="35"/>
        <v>1</v>
      </c>
      <c r="D428" t="s">
        <v>54</v>
      </c>
      <c r="E428">
        <f t="shared" si="36"/>
        <v>1</v>
      </c>
      <c r="F428" t="s">
        <v>28</v>
      </c>
      <c r="G428">
        <v>8</v>
      </c>
      <c r="H428" s="1">
        <v>89208</v>
      </c>
      <c r="I428" s="10">
        <v>0.17</v>
      </c>
      <c r="J428">
        <v>37.5</v>
      </c>
      <c r="K428" t="s">
        <v>34</v>
      </c>
      <c r="L428">
        <v>45</v>
      </c>
      <c r="M428" t="s">
        <v>29</v>
      </c>
      <c r="N428" t="s">
        <v>42</v>
      </c>
      <c r="O428" t="s">
        <v>44</v>
      </c>
      <c r="P428">
        <v>7</v>
      </c>
      <c r="Q428" t="s">
        <v>51</v>
      </c>
      <c r="R428" t="s">
        <v>37</v>
      </c>
      <c r="S428">
        <v>3</v>
      </c>
      <c r="T428">
        <v>1</v>
      </c>
      <c r="U428">
        <v>9</v>
      </c>
      <c r="V428">
        <v>1</v>
      </c>
      <c r="W428">
        <v>3</v>
      </c>
      <c r="X428">
        <v>2</v>
      </c>
      <c r="Y428">
        <v>0</v>
      </c>
      <c r="Z428">
        <v>2</v>
      </c>
      <c r="AA428" t="str">
        <f t="shared" si="38"/>
        <v>Mid Tenure</v>
      </c>
      <c r="AB428" s="5">
        <v>45319</v>
      </c>
      <c r="AC428">
        <f t="shared" si="39"/>
        <v>1</v>
      </c>
      <c r="AD428" t="s">
        <v>49</v>
      </c>
      <c r="AE428">
        <f>VLOOKUP(A428,'Employee Engagement Survey'!A248:B1717,2,FALSE)</f>
        <v>1</v>
      </c>
      <c r="AF428">
        <f>VLOOKUP(A428,'Employee Engagement Survey'!A248:C1717,3,FALSE)</f>
        <v>3</v>
      </c>
      <c r="AG428">
        <f>VLOOKUP(A428,'Employee Engagement Survey'!A248:D1717,4,FALSE)</f>
        <v>4</v>
      </c>
      <c r="AH428">
        <f>VLOOKUP(A428,'Employee Engagement Survey'!A248:E1717,5,FALSE)</f>
        <v>3</v>
      </c>
      <c r="AI428">
        <f t="shared" si="37"/>
        <v>2.75</v>
      </c>
    </row>
    <row r="429" spans="1:35" hidden="1" x14ac:dyDescent="0.4">
      <c r="A429">
        <v>571</v>
      </c>
      <c r="B429" t="s">
        <v>34</v>
      </c>
      <c r="C429">
        <f t="shared" si="35"/>
        <v>1</v>
      </c>
      <c r="D429" t="s">
        <v>46</v>
      </c>
      <c r="E429">
        <f t="shared" si="36"/>
        <v>0</v>
      </c>
      <c r="F429" t="s">
        <v>28</v>
      </c>
      <c r="G429">
        <v>4</v>
      </c>
      <c r="H429" s="1">
        <v>54768</v>
      </c>
      <c r="I429" s="10">
        <v>0.14000000000000001</v>
      </c>
      <c r="J429">
        <v>37.5</v>
      </c>
      <c r="K429" t="s">
        <v>34</v>
      </c>
      <c r="L429">
        <v>30</v>
      </c>
      <c r="M429" t="s">
        <v>47</v>
      </c>
      <c r="N429" t="s">
        <v>30</v>
      </c>
      <c r="O429" t="s">
        <v>35</v>
      </c>
      <c r="P429">
        <v>2</v>
      </c>
      <c r="Q429" t="s">
        <v>43</v>
      </c>
      <c r="R429" t="s">
        <v>33</v>
      </c>
      <c r="S429">
        <v>3</v>
      </c>
      <c r="T429">
        <v>0</v>
      </c>
      <c r="U429">
        <v>12</v>
      </c>
      <c r="V429">
        <v>2</v>
      </c>
      <c r="W429">
        <v>11</v>
      </c>
      <c r="X429">
        <v>7</v>
      </c>
      <c r="Y429">
        <v>6</v>
      </c>
      <c r="Z429">
        <v>7</v>
      </c>
      <c r="AA429" t="str">
        <f t="shared" si="38"/>
        <v>Long Tenure</v>
      </c>
      <c r="AB429" s="5">
        <v>44746</v>
      </c>
      <c r="AC429">
        <f t="shared" si="39"/>
        <v>0</v>
      </c>
      <c r="AD429" t="s">
        <v>38</v>
      </c>
      <c r="AE429">
        <f>VLOOKUP(A429,'Employee Engagement Survey'!A249:B1718,2,FALSE)</f>
        <v>3</v>
      </c>
      <c r="AF429">
        <f>VLOOKUP(A429,'Employee Engagement Survey'!A249:C1718,3,FALSE)</f>
        <v>4</v>
      </c>
      <c r="AG429">
        <f>VLOOKUP(A429,'Employee Engagement Survey'!A249:D1718,4,FALSE)</f>
        <v>3</v>
      </c>
      <c r="AH429">
        <f>VLOOKUP(A429,'Employee Engagement Survey'!A249:E1718,5,FALSE)</f>
        <v>2</v>
      </c>
      <c r="AI429">
        <f t="shared" si="37"/>
        <v>3</v>
      </c>
    </row>
    <row r="430" spans="1:35" hidden="1" x14ac:dyDescent="0.4">
      <c r="A430">
        <v>346</v>
      </c>
      <c r="B430" t="s">
        <v>34</v>
      </c>
      <c r="C430">
        <f t="shared" si="35"/>
        <v>1</v>
      </c>
      <c r="D430" t="s">
        <v>27</v>
      </c>
      <c r="E430">
        <f t="shared" si="36"/>
        <v>0</v>
      </c>
      <c r="F430" t="s">
        <v>28</v>
      </c>
      <c r="G430">
        <v>4</v>
      </c>
      <c r="H430" s="1">
        <v>52080</v>
      </c>
      <c r="I430" s="10">
        <v>0.19</v>
      </c>
      <c r="J430">
        <v>37.5</v>
      </c>
      <c r="K430" t="s">
        <v>34</v>
      </c>
      <c r="L430">
        <v>29</v>
      </c>
      <c r="M430" t="s">
        <v>29</v>
      </c>
      <c r="N430" t="s">
        <v>30</v>
      </c>
      <c r="O430" t="s">
        <v>31</v>
      </c>
      <c r="P430">
        <v>15</v>
      </c>
      <c r="Q430" t="s">
        <v>43</v>
      </c>
      <c r="R430" t="s">
        <v>37</v>
      </c>
      <c r="S430">
        <v>3</v>
      </c>
      <c r="T430">
        <v>0</v>
      </c>
      <c r="U430">
        <v>6</v>
      </c>
      <c r="V430">
        <v>1</v>
      </c>
      <c r="W430">
        <v>6</v>
      </c>
      <c r="X430">
        <v>5</v>
      </c>
      <c r="Y430">
        <v>1</v>
      </c>
      <c r="Z430">
        <v>5</v>
      </c>
      <c r="AA430" t="str">
        <f t="shared" si="38"/>
        <v>Mid Tenure</v>
      </c>
      <c r="AB430" s="5">
        <v>45758</v>
      </c>
      <c r="AC430">
        <f t="shared" si="39"/>
        <v>1</v>
      </c>
      <c r="AD430" t="s">
        <v>49</v>
      </c>
      <c r="AE430">
        <f>VLOOKUP(A430,'Employee Engagement Survey'!A251:B1720,2,FALSE)</f>
        <v>3</v>
      </c>
      <c r="AF430">
        <f>VLOOKUP(A430,'Employee Engagement Survey'!A251:C1720,3,FALSE)</f>
        <v>4</v>
      </c>
      <c r="AG430">
        <f>VLOOKUP(A430,'Employee Engagement Survey'!A251:D1720,4,FALSE)</f>
        <v>1</v>
      </c>
      <c r="AH430">
        <f>VLOOKUP(A430,'Employee Engagement Survey'!A251:E1720,5,FALSE)</f>
        <v>3</v>
      </c>
      <c r="AI430">
        <f t="shared" si="37"/>
        <v>2.75</v>
      </c>
    </row>
    <row r="431" spans="1:35" hidden="1" x14ac:dyDescent="0.4">
      <c r="A431">
        <v>349</v>
      </c>
      <c r="B431" t="s">
        <v>34</v>
      </c>
      <c r="C431">
        <f t="shared" si="35"/>
        <v>1</v>
      </c>
      <c r="D431" t="s">
        <v>57</v>
      </c>
      <c r="E431">
        <f t="shared" si="36"/>
        <v>0</v>
      </c>
      <c r="F431" t="s">
        <v>40</v>
      </c>
      <c r="G431">
        <v>8</v>
      </c>
      <c r="H431" s="1">
        <v>95172</v>
      </c>
      <c r="I431" s="10">
        <v>0.14000000000000001</v>
      </c>
      <c r="J431">
        <v>37.5</v>
      </c>
      <c r="K431" t="s">
        <v>34</v>
      </c>
      <c r="L431">
        <v>29</v>
      </c>
      <c r="M431" t="s">
        <v>29</v>
      </c>
      <c r="N431" t="s">
        <v>48</v>
      </c>
      <c r="O431" t="s">
        <v>31</v>
      </c>
      <c r="P431">
        <v>20</v>
      </c>
      <c r="Q431" t="s">
        <v>36</v>
      </c>
      <c r="R431" t="s">
        <v>56</v>
      </c>
      <c r="S431">
        <v>3</v>
      </c>
      <c r="T431">
        <v>1</v>
      </c>
      <c r="U431">
        <v>10</v>
      </c>
      <c r="V431">
        <v>2</v>
      </c>
      <c r="W431">
        <v>3</v>
      </c>
      <c r="X431">
        <v>2</v>
      </c>
      <c r="Y431">
        <v>0</v>
      </c>
      <c r="Z431">
        <v>2</v>
      </c>
      <c r="AA431" t="str">
        <f t="shared" si="38"/>
        <v>Mid Tenure</v>
      </c>
      <c r="AB431" s="5">
        <v>45342</v>
      </c>
      <c r="AC431">
        <f t="shared" si="39"/>
        <v>1</v>
      </c>
      <c r="AD431" t="s">
        <v>49</v>
      </c>
      <c r="AE431">
        <f>VLOOKUP(A431,'Employee Engagement Survey'!A252:B1721,2,FALSE)</f>
        <v>4</v>
      </c>
      <c r="AF431">
        <f>VLOOKUP(A431,'Employee Engagement Survey'!A252:C1721,3,FALSE)</f>
        <v>4</v>
      </c>
      <c r="AG431">
        <f>VLOOKUP(A431,'Employee Engagement Survey'!A252:D1721,4,FALSE)</f>
        <v>4</v>
      </c>
      <c r="AH431">
        <f>VLOOKUP(A431,'Employee Engagement Survey'!A252:E1721,5,FALSE)</f>
        <v>3</v>
      </c>
      <c r="AI431">
        <f t="shared" si="37"/>
        <v>3.75</v>
      </c>
    </row>
    <row r="432" spans="1:35" hidden="1" x14ac:dyDescent="0.4">
      <c r="A432">
        <v>805</v>
      </c>
      <c r="B432" t="s">
        <v>34</v>
      </c>
      <c r="C432">
        <f t="shared" si="35"/>
        <v>1</v>
      </c>
      <c r="D432" t="s">
        <v>39</v>
      </c>
      <c r="E432">
        <f t="shared" si="36"/>
        <v>0</v>
      </c>
      <c r="F432" t="s">
        <v>40</v>
      </c>
      <c r="G432">
        <v>4</v>
      </c>
      <c r="H432" s="1">
        <v>54864</v>
      </c>
      <c r="I432" s="10">
        <v>0.16</v>
      </c>
      <c r="J432">
        <v>37.5</v>
      </c>
      <c r="K432" t="s">
        <v>34</v>
      </c>
      <c r="L432">
        <v>35</v>
      </c>
      <c r="M432" t="s">
        <v>47</v>
      </c>
      <c r="N432" t="s">
        <v>42</v>
      </c>
      <c r="O432" t="s">
        <v>31</v>
      </c>
      <c r="P432">
        <v>8</v>
      </c>
      <c r="Q432" t="s">
        <v>51</v>
      </c>
      <c r="R432" t="s">
        <v>37</v>
      </c>
      <c r="S432">
        <v>3</v>
      </c>
      <c r="T432">
        <v>1</v>
      </c>
      <c r="U432">
        <v>3</v>
      </c>
      <c r="V432">
        <v>1</v>
      </c>
      <c r="W432">
        <v>3</v>
      </c>
      <c r="X432">
        <v>2</v>
      </c>
      <c r="Y432">
        <v>0</v>
      </c>
      <c r="Z432">
        <v>2</v>
      </c>
      <c r="AA432" t="str">
        <f t="shared" si="38"/>
        <v>Mid Tenure</v>
      </c>
      <c r="AB432" s="5">
        <v>45901</v>
      </c>
      <c r="AC432">
        <f t="shared" si="39"/>
        <v>1</v>
      </c>
      <c r="AD432" t="s">
        <v>38</v>
      </c>
      <c r="AE432">
        <f>VLOOKUP(A432,'Employee Engagement Survey'!A253:B1722,2,FALSE)</f>
        <v>1</v>
      </c>
      <c r="AF432">
        <f>VLOOKUP(A432,'Employee Engagement Survey'!A253:C1722,3,FALSE)</f>
        <v>4</v>
      </c>
      <c r="AG432">
        <f>VLOOKUP(A432,'Employee Engagement Survey'!A253:D1722,4,FALSE)</f>
        <v>2</v>
      </c>
      <c r="AH432">
        <f>VLOOKUP(A432,'Employee Engagement Survey'!A253:E1722,5,FALSE)</f>
        <v>2</v>
      </c>
      <c r="AI432">
        <f t="shared" si="37"/>
        <v>2.25</v>
      </c>
    </row>
    <row r="433" spans="1:35" hidden="1" x14ac:dyDescent="0.4">
      <c r="A433">
        <v>517</v>
      </c>
      <c r="B433" t="s">
        <v>34</v>
      </c>
      <c r="C433">
        <f t="shared" si="35"/>
        <v>1</v>
      </c>
      <c r="D433" t="s">
        <v>46</v>
      </c>
      <c r="E433">
        <f t="shared" si="36"/>
        <v>0</v>
      </c>
      <c r="F433" t="s">
        <v>28</v>
      </c>
      <c r="G433">
        <v>4</v>
      </c>
      <c r="H433" s="1">
        <v>54912</v>
      </c>
      <c r="I433" s="10">
        <v>0.16</v>
      </c>
      <c r="J433">
        <v>37.5</v>
      </c>
      <c r="K433" t="s">
        <v>34</v>
      </c>
      <c r="L433">
        <v>42</v>
      </c>
      <c r="M433" t="s">
        <v>47</v>
      </c>
      <c r="N433" t="s">
        <v>48</v>
      </c>
      <c r="O433" t="s">
        <v>31</v>
      </c>
      <c r="P433">
        <v>1</v>
      </c>
      <c r="Q433" t="s">
        <v>51</v>
      </c>
      <c r="R433" t="s">
        <v>37</v>
      </c>
      <c r="S433">
        <v>3</v>
      </c>
      <c r="T433">
        <v>1</v>
      </c>
      <c r="U433">
        <v>8</v>
      </c>
      <c r="V433">
        <v>5</v>
      </c>
      <c r="W433">
        <v>5</v>
      </c>
      <c r="X433">
        <v>2</v>
      </c>
      <c r="Y433">
        <v>1</v>
      </c>
      <c r="Z433">
        <v>2</v>
      </c>
      <c r="AA433" t="str">
        <f t="shared" si="38"/>
        <v>Mid Tenure</v>
      </c>
      <c r="AB433" s="5">
        <v>45281</v>
      </c>
      <c r="AC433">
        <f t="shared" si="39"/>
        <v>0</v>
      </c>
      <c r="AD433" t="s">
        <v>38</v>
      </c>
      <c r="AE433">
        <f>VLOOKUP(A433,'Employee Engagement Survey'!A254:B1723,2,FALSE)</f>
        <v>2</v>
      </c>
      <c r="AF433">
        <f>VLOOKUP(A433,'Employee Engagement Survey'!A254:C1723,3,FALSE)</f>
        <v>1</v>
      </c>
      <c r="AG433">
        <f>VLOOKUP(A433,'Employee Engagement Survey'!A254:D1723,4,FALSE)</f>
        <v>2</v>
      </c>
      <c r="AH433">
        <f>VLOOKUP(A433,'Employee Engagement Survey'!A254:E1723,5,FALSE)</f>
        <v>3</v>
      </c>
      <c r="AI433">
        <f t="shared" si="37"/>
        <v>2</v>
      </c>
    </row>
    <row r="434" spans="1:35" hidden="1" x14ac:dyDescent="0.4">
      <c r="A434">
        <v>666</v>
      </c>
      <c r="B434" t="s">
        <v>34</v>
      </c>
      <c r="C434">
        <f t="shared" ref="C434:C497" si="40">IF(B434="No",1,0)</f>
        <v>1</v>
      </c>
      <c r="D434" t="s">
        <v>39</v>
      </c>
      <c r="E434">
        <f t="shared" si="36"/>
        <v>0</v>
      </c>
      <c r="F434" t="s">
        <v>40</v>
      </c>
      <c r="G434">
        <v>4</v>
      </c>
      <c r="H434" s="1">
        <v>54948</v>
      </c>
      <c r="I434" s="10">
        <v>0.18</v>
      </c>
      <c r="J434">
        <v>37.5</v>
      </c>
      <c r="K434" t="s">
        <v>26</v>
      </c>
      <c r="L434">
        <v>34</v>
      </c>
      <c r="M434" t="s">
        <v>47</v>
      </c>
      <c r="N434" t="s">
        <v>48</v>
      </c>
      <c r="O434" t="s">
        <v>31</v>
      </c>
      <c r="P434">
        <v>14</v>
      </c>
      <c r="Q434" t="s">
        <v>43</v>
      </c>
      <c r="R434" t="s">
        <v>45</v>
      </c>
      <c r="S434">
        <v>3</v>
      </c>
      <c r="T434">
        <v>2</v>
      </c>
      <c r="U434">
        <v>8</v>
      </c>
      <c r="V434">
        <v>3</v>
      </c>
      <c r="W434">
        <v>8</v>
      </c>
      <c r="X434">
        <v>2</v>
      </c>
      <c r="Y434">
        <v>0</v>
      </c>
      <c r="Z434">
        <v>6</v>
      </c>
      <c r="AA434" t="str">
        <f t="shared" si="38"/>
        <v>Mid Tenure</v>
      </c>
      <c r="AB434" s="5">
        <v>44704</v>
      </c>
      <c r="AC434">
        <f t="shared" si="39"/>
        <v>0</v>
      </c>
      <c r="AD434" t="s">
        <v>49</v>
      </c>
      <c r="AE434">
        <f>VLOOKUP(A434,'Employee Engagement Survey'!A255:B1724,2,FALSE)</f>
        <v>3</v>
      </c>
      <c r="AF434">
        <f>VLOOKUP(A434,'Employee Engagement Survey'!A255:C1724,3,FALSE)</f>
        <v>3</v>
      </c>
      <c r="AG434">
        <f>VLOOKUP(A434,'Employee Engagement Survey'!A255:D1724,4,FALSE)</f>
        <v>4</v>
      </c>
      <c r="AH434">
        <f>VLOOKUP(A434,'Employee Engagement Survey'!A255:E1724,5,FALSE)</f>
        <v>3</v>
      </c>
      <c r="AI434">
        <f t="shared" si="37"/>
        <v>3.25</v>
      </c>
    </row>
    <row r="435" spans="1:35" hidden="1" x14ac:dyDescent="0.4">
      <c r="A435">
        <v>352</v>
      </c>
      <c r="B435" t="s">
        <v>34</v>
      </c>
      <c r="C435">
        <f t="shared" si="40"/>
        <v>1</v>
      </c>
      <c r="D435" t="s">
        <v>60</v>
      </c>
      <c r="E435">
        <f t="shared" si="36"/>
        <v>1</v>
      </c>
      <c r="F435" t="s">
        <v>28</v>
      </c>
      <c r="G435">
        <v>5</v>
      </c>
      <c r="H435" s="1">
        <v>245232</v>
      </c>
      <c r="I435" s="10">
        <v>0.19</v>
      </c>
      <c r="J435">
        <v>37.5</v>
      </c>
      <c r="K435" t="s">
        <v>34</v>
      </c>
      <c r="L435">
        <v>40</v>
      </c>
      <c r="M435" t="s">
        <v>29</v>
      </c>
      <c r="N435" t="s">
        <v>48</v>
      </c>
      <c r="O435" t="s">
        <v>31</v>
      </c>
      <c r="P435">
        <v>2</v>
      </c>
      <c r="Q435" t="s">
        <v>36</v>
      </c>
      <c r="R435" t="s">
        <v>33</v>
      </c>
      <c r="S435">
        <v>3</v>
      </c>
      <c r="T435">
        <v>1</v>
      </c>
      <c r="U435">
        <v>22</v>
      </c>
      <c r="V435">
        <v>5</v>
      </c>
      <c r="W435">
        <v>21</v>
      </c>
      <c r="X435">
        <v>7</v>
      </c>
      <c r="Y435">
        <v>3</v>
      </c>
      <c r="Z435">
        <v>9</v>
      </c>
      <c r="AA435" t="str">
        <f t="shared" si="38"/>
        <v>Long Tenure</v>
      </c>
      <c r="AB435" s="5">
        <v>44609</v>
      </c>
      <c r="AC435">
        <f t="shared" si="39"/>
        <v>0</v>
      </c>
      <c r="AD435" t="s">
        <v>49</v>
      </c>
      <c r="AE435">
        <f>VLOOKUP(A435,'Employee Engagement Survey'!A256:B1725,2,FALSE)</f>
        <v>1</v>
      </c>
      <c r="AF435">
        <f>VLOOKUP(A435,'Employee Engagement Survey'!A256:C1725,3,FALSE)</f>
        <v>3</v>
      </c>
      <c r="AG435">
        <f>VLOOKUP(A435,'Employee Engagement Survey'!A256:D1725,4,FALSE)</f>
        <v>4</v>
      </c>
      <c r="AH435">
        <f>VLOOKUP(A435,'Employee Engagement Survey'!A256:E1725,5,FALSE)</f>
        <v>3</v>
      </c>
      <c r="AI435">
        <f t="shared" si="37"/>
        <v>2.75</v>
      </c>
    </row>
    <row r="436" spans="1:35" hidden="1" x14ac:dyDescent="0.4">
      <c r="A436">
        <v>1265</v>
      </c>
      <c r="B436" t="s">
        <v>34</v>
      </c>
      <c r="C436">
        <f t="shared" si="40"/>
        <v>1</v>
      </c>
      <c r="D436" t="s">
        <v>27</v>
      </c>
      <c r="E436">
        <f t="shared" si="36"/>
        <v>0</v>
      </c>
      <c r="F436" t="s">
        <v>28</v>
      </c>
      <c r="G436">
        <v>5</v>
      </c>
      <c r="H436" s="1">
        <v>55020</v>
      </c>
      <c r="I436" s="10">
        <v>0.17</v>
      </c>
      <c r="J436">
        <v>37.5</v>
      </c>
      <c r="K436" t="s">
        <v>34</v>
      </c>
      <c r="L436">
        <v>34</v>
      </c>
      <c r="M436" t="s">
        <v>47</v>
      </c>
      <c r="N436" t="s">
        <v>42</v>
      </c>
      <c r="O436" t="s">
        <v>31</v>
      </c>
      <c r="P436">
        <v>20</v>
      </c>
      <c r="Q436" t="s">
        <v>43</v>
      </c>
      <c r="R436" t="s">
        <v>45</v>
      </c>
      <c r="S436">
        <v>3</v>
      </c>
      <c r="T436">
        <v>0</v>
      </c>
      <c r="U436">
        <v>2</v>
      </c>
      <c r="V436">
        <v>5</v>
      </c>
      <c r="W436">
        <v>1</v>
      </c>
      <c r="X436">
        <v>0</v>
      </c>
      <c r="Y436">
        <v>0</v>
      </c>
      <c r="Z436">
        <v>0</v>
      </c>
      <c r="AA436" t="str">
        <f t="shared" si="38"/>
        <v>Early Tenure</v>
      </c>
      <c r="AB436" s="5">
        <v>45628</v>
      </c>
      <c r="AC436">
        <f t="shared" si="39"/>
        <v>1</v>
      </c>
      <c r="AD436" t="s">
        <v>38</v>
      </c>
      <c r="AE436">
        <f>VLOOKUP(A436,'Employee Engagement Survey'!A257:B1726,2,FALSE)</f>
        <v>3</v>
      </c>
      <c r="AF436">
        <f>VLOOKUP(A436,'Employee Engagement Survey'!A257:C1726,3,FALSE)</f>
        <v>3</v>
      </c>
      <c r="AG436">
        <f>VLOOKUP(A436,'Employee Engagement Survey'!A257:D1726,4,FALSE)</f>
        <v>4</v>
      </c>
      <c r="AH436">
        <f>VLOOKUP(A436,'Employee Engagement Survey'!A257:E1726,5,FALSE)</f>
        <v>2</v>
      </c>
      <c r="AI436">
        <f t="shared" si="37"/>
        <v>3</v>
      </c>
    </row>
    <row r="437" spans="1:35" hidden="1" x14ac:dyDescent="0.4">
      <c r="A437">
        <v>1674</v>
      </c>
      <c r="B437" t="s">
        <v>34</v>
      </c>
      <c r="C437">
        <f t="shared" si="40"/>
        <v>1</v>
      </c>
      <c r="D437" t="s">
        <v>46</v>
      </c>
      <c r="E437">
        <f t="shared" si="36"/>
        <v>0</v>
      </c>
      <c r="F437" t="s">
        <v>28</v>
      </c>
      <c r="G437">
        <v>5</v>
      </c>
      <c r="H437" s="1">
        <v>55044</v>
      </c>
      <c r="I437" s="10">
        <v>0.16</v>
      </c>
      <c r="J437">
        <v>37.5</v>
      </c>
      <c r="K437" t="s">
        <v>26</v>
      </c>
      <c r="L437">
        <v>49</v>
      </c>
      <c r="M437" t="s">
        <v>61</v>
      </c>
      <c r="N437" t="s">
        <v>48</v>
      </c>
      <c r="O437" t="s">
        <v>31</v>
      </c>
      <c r="P437">
        <v>16</v>
      </c>
      <c r="Q437" t="s">
        <v>43</v>
      </c>
      <c r="R437" t="s">
        <v>33</v>
      </c>
      <c r="S437">
        <v>3</v>
      </c>
      <c r="T437">
        <v>1</v>
      </c>
      <c r="U437">
        <v>17</v>
      </c>
      <c r="V437">
        <v>2</v>
      </c>
      <c r="W437">
        <v>2</v>
      </c>
      <c r="X437">
        <v>2</v>
      </c>
      <c r="Y437">
        <v>2</v>
      </c>
      <c r="Z437">
        <v>2</v>
      </c>
      <c r="AA437" t="str">
        <f t="shared" si="38"/>
        <v>Early Tenure</v>
      </c>
      <c r="AB437" s="5">
        <v>45109</v>
      </c>
      <c r="AC437">
        <f t="shared" si="39"/>
        <v>0</v>
      </c>
      <c r="AD437" t="s">
        <v>49</v>
      </c>
      <c r="AE437">
        <f>VLOOKUP(A437,'Employee Engagement Survey'!A258:B1727,2,FALSE)</f>
        <v>4</v>
      </c>
      <c r="AF437">
        <f>VLOOKUP(A437,'Employee Engagement Survey'!A258:C1727,3,FALSE)</f>
        <v>1</v>
      </c>
      <c r="AG437">
        <f>VLOOKUP(A437,'Employee Engagement Survey'!A258:D1727,4,FALSE)</f>
        <v>2</v>
      </c>
      <c r="AH437">
        <f>VLOOKUP(A437,'Employee Engagement Survey'!A258:E1727,5,FALSE)</f>
        <v>2</v>
      </c>
      <c r="AI437">
        <f t="shared" si="37"/>
        <v>2.25</v>
      </c>
    </row>
    <row r="438" spans="1:35" hidden="1" x14ac:dyDescent="0.4">
      <c r="A438">
        <v>353</v>
      </c>
      <c r="B438" t="s">
        <v>34</v>
      </c>
      <c r="C438">
        <f t="shared" si="40"/>
        <v>1</v>
      </c>
      <c r="D438" t="s">
        <v>27</v>
      </c>
      <c r="E438">
        <f t="shared" si="36"/>
        <v>0</v>
      </c>
      <c r="F438" t="s">
        <v>28</v>
      </c>
      <c r="G438">
        <v>5</v>
      </c>
      <c r="H438" s="1">
        <v>56676</v>
      </c>
      <c r="I438" s="10">
        <v>0.11</v>
      </c>
      <c r="J438">
        <v>37.5</v>
      </c>
      <c r="K438" t="s">
        <v>34</v>
      </c>
      <c r="L438">
        <v>51</v>
      </c>
      <c r="M438" t="s">
        <v>29</v>
      </c>
      <c r="N438" t="s">
        <v>42</v>
      </c>
      <c r="O438" t="s">
        <v>31</v>
      </c>
      <c r="P438">
        <v>1</v>
      </c>
      <c r="Q438" t="s">
        <v>43</v>
      </c>
      <c r="R438" t="s">
        <v>37</v>
      </c>
      <c r="S438">
        <v>3</v>
      </c>
      <c r="T438">
        <v>0</v>
      </c>
      <c r="U438">
        <v>1</v>
      </c>
      <c r="V438">
        <v>0</v>
      </c>
      <c r="W438">
        <v>1</v>
      </c>
      <c r="X438">
        <v>0</v>
      </c>
      <c r="Y438">
        <v>0</v>
      </c>
      <c r="Z438">
        <v>0</v>
      </c>
      <c r="AA438" t="str">
        <f t="shared" si="38"/>
        <v>Early Tenure</v>
      </c>
      <c r="AB438" s="5">
        <v>44845</v>
      </c>
      <c r="AC438">
        <f t="shared" si="39"/>
        <v>0</v>
      </c>
      <c r="AD438" t="s">
        <v>49</v>
      </c>
      <c r="AE438">
        <f>VLOOKUP(A438,'Employee Engagement Survey'!A259:B1728,2,FALSE)</f>
        <v>3</v>
      </c>
      <c r="AF438">
        <f>VLOOKUP(A438,'Employee Engagement Survey'!A259:C1728,3,FALSE)</f>
        <v>4</v>
      </c>
      <c r="AG438">
        <f>VLOOKUP(A438,'Employee Engagement Survey'!A259:D1728,4,FALSE)</f>
        <v>2</v>
      </c>
      <c r="AH438">
        <f>VLOOKUP(A438,'Employee Engagement Survey'!A259:E1728,5,FALSE)</f>
        <v>2</v>
      </c>
      <c r="AI438">
        <f t="shared" si="37"/>
        <v>2.75</v>
      </c>
    </row>
    <row r="439" spans="1:35" hidden="1" x14ac:dyDescent="0.4">
      <c r="A439">
        <v>351</v>
      </c>
      <c r="B439" t="s">
        <v>34</v>
      </c>
      <c r="C439">
        <f t="shared" si="40"/>
        <v>1</v>
      </c>
      <c r="D439" t="s">
        <v>46</v>
      </c>
      <c r="E439">
        <f t="shared" si="36"/>
        <v>0</v>
      </c>
      <c r="F439" t="s">
        <v>28</v>
      </c>
      <c r="G439">
        <v>5</v>
      </c>
      <c r="H439" s="1">
        <v>55116</v>
      </c>
      <c r="I439" s="10">
        <v>0.11</v>
      </c>
      <c r="J439">
        <v>37.5</v>
      </c>
      <c r="K439" t="s">
        <v>26</v>
      </c>
      <c r="L439">
        <v>42</v>
      </c>
      <c r="M439" t="s">
        <v>61</v>
      </c>
      <c r="N439" t="s">
        <v>48</v>
      </c>
      <c r="O439" t="s">
        <v>31</v>
      </c>
      <c r="P439">
        <v>2</v>
      </c>
      <c r="Q439" t="s">
        <v>43</v>
      </c>
      <c r="R439" t="s">
        <v>33</v>
      </c>
      <c r="S439">
        <v>3</v>
      </c>
      <c r="T439">
        <v>1</v>
      </c>
      <c r="U439">
        <v>10</v>
      </c>
      <c r="V439">
        <v>4</v>
      </c>
      <c r="W439">
        <v>9</v>
      </c>
      <c r="X439">
        <v>6</v>
      </c>
      <c r="Y439">
        <v>7</v>
      </c>
      <c r="Z439">
        <v>8</v>
      </c>
      <c r="AA439" t="str">
        <f t="shared" si="38"/>
        <v>Mid Tenure</v>
      </c>
      <c r="AB439" s="5">
        <v>45801</v>
      </c>
      <c r="AC439">
        <f t="shared" si="39"/>
        <v>1</v>
      </c>
      <c r="AD439" t="s">
        <v>38</v>
      </c>
      <c r="AE439">
        <f>VLOOKUP(A439,'Employee Engagement Survey'!A261:B1730,2,FALSE)</f>
        <v>4</v>
      </c>
      <c r="AF439">
        <f>VLOOKUP(A439,'Employee Engagement Survey'!A261:C1730,3,FALSE)</f>
        <v>1</v>
      </c>
      <c r="AG439">
        <f>VLOOKUP(A439,'Employee Engagement Survey'!A261:D1730,4,FALSE)</f>
        <v>3</v>
      </c>
      <c r="AH439">
        <f>VLOOKUP(A439,'Employee Engagement Survey'!A261:E1730,5,FALSE)</f>
        <v>3</v>
      </c>
      <c r="AI439">
        <f t="shared" si="37"/>
        <v>2.75</v>
      </c>
    </row>
    <row r="440" spans="1:35" hidden="1" x14ac:dyDescent="0.4">
      <c r="A440">
        <v>359</v>
      </c>
      <c r="B440" t="s">
        <v>34</v>
      </c>
      <c r="C440">
        <f t="shared" si="40"/>
        <v>1</v>
      </c>
      <c r="D440" t="s">
        <v>46</v>
      </c>
      <c r="E440">
        <f t="shared" si="36"/>
        <v>0</v>
      </c>
      <c r="F440" t="s">
        <v>28</v>
      </c>
      <c r="G440">
        <v>5</v>
      </c>
      <c r="H440" s="1">
        <v>57528</v>
      </c>
      <c r="I440" s="10">
        <v>0.2</v>
      </c>
      <c r="J440">
        <v>37.5</v>
      </c>
      <c r="K440" t="s">
        <v>34</v>
      </c>
      <c r="L440">
        <v>32</v>
      </c>
      <c r="M440" t="s">
        <v>29</v>
      </c>
      <c r="N440" t="s">
        <v>42</v>
      </c>
      <c r="O440" t="s">
        <v>44</v>
      </c>
      <c r="P440">
        <v>7</v>
      </c>
      <c r="Q440" t="s">
        <v>43</v>
      </c>
      <c r="R440" t="s">
        <v>37</v>
      </c>
      <c r="S440">
        <v>4</v>
      </c>
      <c r="T440">
        <v>0</v>
      </c>
      <c r="U440">
        <v>5</v>
      </c>
      <c r="V440">
        <v>3</v>
      </c>
      <c r="W440">
        <v>5</v>
      </c>
      <c r="X440">
        <v>1</v>
      </c>
      <c r="Y440">
        <v>0</v>
      </c>
      <c r="Z440">
        <v>3</v>
      </c>
      <c r="AA440" t="str">
        <f t="shared" si="38"/>
        <v>Mid Tenure</v>
      </c>
      <c r="AB440" s="5">
        <v>44771</v>
      </c>
      <c r="AC440">
        <f t="shared" si="39"/>
        <v>0</v>
      </c>
      <c r="AD440" t="s">
        <v>38</v>
      </c>
      <c r="AE440">
        <f>VLOOKUP(A440,'Employee Engagement Survey'!A262:B1731,2,FALSE)</f>
        <v>2</v>
      </c>
      <c r="AF440">
        <f>VLOOKUP(A440,'Employee Engagement Survey'!A262:C1731,3,FALSE)</f>
        <v>2</v>
      </c>
      <c r="AG440">
        <f>VLOOKUP(A440,'Employee Engagement Survey'!A262:D1731,4,FALSE)</f>
        <v>3</v>
      </c>
      <c r="AH440">
        <f>VLOOKUP(A440,'Employee Engagement Survey'!A262:E1731,5,FALSE)</f>
        <v>1</v>
      </c>
      <c r="AI440">
        <f t="shared" si="37"/>
        <v>2</v>
      </c>
    </row>
    <row r="441" spans="1:35" hidden="1" x14ac:dyDescent="0.4">
      <c r="A441">
        <v>361</v>
      </c>
      <c r="B441" t="s">
        <v>34</v>
      </c>
      <c r="C441">
        <f t="shared" si="40"/>
        <v>1</v>
      </c>
      <c r="D441" t="s">
        <v>57</v>
      </c>
      <c r="E441">
        <f t="shared" si="36"/>
        <v>0</v>
      </c>
      <c r="F441" t="s">
        <v>40</v>
      </c>
      <c r="G441">
        <v>7</v>
      </c>
      <c r="H441" s="1">
        <v>74988</v>
      </c>
      <c r="I441" s="10">
        <v>0.18</v>
      </c>
      <c r="J441">
        <v>37.5</v>
      </c>
      <c r="K441" t="s">
        <v>34</v>
      </c>
      <c r="L441">
        <v>38</v>
      </c>
      <c r="M441" t="s">
        <v>29</v>
      </c>
      <c r="N441" t="s">
        <v>42</v>
      </c>
      <c r="O441" t="s">
        <v>35</v>
      </c>
      <c r="P441">
        <v>2</v>
      </c>
      <c r="Q441" t="s">
        <v>36</v>
      </c>
      <c r="R441" t="s">
        <v>37</v>
      </c>
      <c r="S441">
        <v>3</v>
      </c>
      <c r="T441">
        <v>1</v>
      </c>
      <c r="U441">
        <v>13</v>
      </c>
      <c r="V441">
        <v>0</v>
      </c>
      <c r="W441">
        <v>8</v>
      </c>
      <c r="X441">
        <v>7</v>
      </c>
      <c r="Y441">
        <v>7</v>
      </c>
      <c r="Z441">
        <v>5</v>
      </c>
      <c r="AA441" t="str">
        <f t="shared" si="38"/>
        <v>Mid Tenure</v>
      </c>
      <c r="AB441" s="5">
        <v>45873</v>
      </c>
      <c r="AC441">
        <f t="shared" si="39"/>
        <v>1</v>
      </c>
      <c r="AD441" t="s">
        <v>49</v>
      </c>
      <c r="AE441">
        <f>VLOOKUP(A441,'Employee Engagement Survey'!A264:B1733,2,FALSE)</f>
        <v>4</v>
      </c>
      <c r="AF441">
        <f>VLOOKUP(A441,'Employee Engagement Survey'!A264:C1733,3,FALSE)</f>
        <v>4</v>
      </c>
      <c r="AG441">
        <f>VLOOKUP(A441,'Employee Engagement Survey'!A264:D1733,4,FALSE)</f>
        <v>4</v>
      </c>
      <c r="AH441">
        <f>VLOOKUP(A441,'Employee Engagement Survey'!A264:E1733,5,FALSE)</f>
        <v>3</v>
      </c>
      <c r="AI441">
        <f t="shared" si="37"/>
        <v>3.75</v>
      </c>
    </row>
    <row r="442" spans="1:35" hidden="1" x14ac:dyDescent="0.4">
      <c r="A442">
        <v>362</v>
      </c>
      <c r="B442" t="s">
        <v>34</v>
      </c>
      <c r="C442">
        <f t="shared" si="40"/>
        <v>1</v>
      </c>
      <c r="D442" t="s">
        <v>46</v>
      </c>
      <c r="E442">
        <f t="shared" si="36"/>
        <v>0</v>
      </c>
      <c r="F442" t="s">
        <v>28</v>
      </c>
      <c r="G442">
        <v>4</v>
      </c>
      <c r="H442" s="1">
        <v>50112</v>
      </c>
      <c r="I442" s="10">
        <v>0.13</v>
      </c>
      <c r="J442">
        <v>37.5</v>
      </c>
      <c r="K442" t="s">
        <v>34</v>
      </c>
      <c r="L442">
        <v>32</v>
      </c>
      <c r="M442" t="s">
        <v>29</v>
      </c>
      <c r="N442" t="s">
        <v>30</v>
      </c>
      <c r="O442" t="s">
        <v>31</v>
      </c>
      <c r="P442">
        <v>2</v>
      </c>
      <c r="Q442" t="s">
        <v>32</v>
      </c>
      <c r="R442" t="s">
        <v>45</v>
      </c>
      <c r="S442">
        <v>3</v>
      </c>
      <c r="T442">
        <v>0</v>
      </c>
      <c r="U442">
        <v>9</v>
      </c>
      <c r="V442">
        <v>5</v>
      </c>
      <c r="W442">
        <v>6</v>
      </c>
      <c r="X442">
        <v>2</v>
      </c>
      <c r="Y442">
        <v>0</v>
      </c>
      <c r="Z442">
        <v>4</v>
      </c>
      <c r="AA442" t="str">
        <f t="shared" si="38"/>
        <v>Mid Tenure</v>
      </c>
      <c r="AB442" s="5">
        <v>44730</v>
      </c>
      <c r="AC442">
        <f t="shared" si="39"/>
        <v>0</v>
      </c>
      <c r="AD442" t="s">
        <v>49</v>
      </c>
      <c r="AE442">
        <f>VLOOKUP(A442,'Employee Engagement Survey'!A265:B1734,2,FALSE)</f>
        <v>4</v>
      </c>
      <c r="AF442">
        <f>VLOOKUP(A442,'Employee Engagement Survey'!A265:C1734,3,FALSE)</f>
        <v>1</v>
      </c>
      <c r="AG442">
        <f>VLOOKUP(A442,'Employee Engagement Survey'!A265:D1734,4,FALSE)</f>
        <v>4</v>
      </c>
      <c r="AH442">
        <f>VLOOKUP(A442,'Employee Engagement Survey'!A265:E1734,5,FALSE)</f>
        <v>3</v>
      </c>
      <c r="AI442">
        <f t="shared" si="37"/>
        <v>3</v>
      </c>
    </row>
    <row r="443" spans="1:35" hidden="1" x14ac:dyDescent="0.4">
      <c r="A443">
        <v>366</v>
      </c>
      <c r="B443" t="s">
        <v>34</v>
      </c>
      <c r="C443">
        <f t="shared" si="40"/>
        <v>1</v>
      </c>
      <c r="D443" t="s">
        <v>57</v>
      </c>
      <c r="E443">
        <f t="shared" si="36"/>
        <v>0</v>
      </c>
      <c r="F443" t="s">
        <v>40</v>
      </c>
      <c r="G443">
        <v>8</v>
      </c>
      <c r="H443" s="1">
        <v>91728</v>
      </c>
      <c r="I443" s="10">
        <v>0.19</v>
      </c>
      <c r="J443">
        <v>37.5</v>
      </c>
      <c r="K443" t="s">
        <v>34</v>
      </c>
      <c r="L443">
        <v>29</v>
      </c>
      <c r="M443" t="s">
        <v>29</v>
      </c>
      <c r="N443" t="s">
        <v>42</v>
      </c>
      <c r="O443" t="s">
        <v>31</v>
      </c>
      <c r="P443">
        <v>2</v>
      </c>
      <c r="Q443" t="s">
        <v>43</v>
      </c>
      <c r="R443" t="s">
        <v>33</v>
      </c>
      <c r="S443">
        <v>3</v>
      </c>
      <c r="T443">
        <v>2</v>
      </c>
      <c r="U443">
        <v>10</v>
      </c>
      <c r="V443">
        <v>2</v>
      </c>
      <c r="W443">
        <v>0</v>
      </c>
      <c r="X443">
        <v>0</v>
      </c>
      <c r="Y443">
        <v>0</v>
      </c>
      <c r="Z443">
        <v>0</v>
      </c>
      <c r="AA443" t="str">
        <f t="shared" si="38"/>
        <v>Early Tenure</v>
      </c>
      <c r="AB443" s="5">
        <v>45433</v>
      </c>
      <c r="AC443">
        <f t="shared" si="39"/>
        <v>1</v>
      </c>
      <c r="AD443" t="s">
        <v>49</v>
      </c>
      <c r="AE443">
        <f>VLOOKUP(A443,'Employee Engagement Survey'!A267:B1736,2,FALSE)</f>
        <v>1</v>
      </c>
      <c r="AF443">
        <f>VLOOKUP(A443,'Employee Engagement Survey'!A267:C1736,3,FALSE)</f>
        <v>2</v>
      </c>
      <c r="AG443">
        <f>VLOOKUP(A443,'Employee Engagement Survey'!A267:D1736,4,FALSE)</f>
        <v>2</v>
      </c>
      <c r="AH443">
        <f>VLOOKUP(A443,'Employee Engagement Survey'!A267:E1736,5,FALSE)</f>
        <v>3</v>
      </c>
      <c r="AI443">
        <f t="shared" si="37"/>
        <v>2</v>
      </c>
    </row>
    <row r="444" spans="1:35" hidden="1" x14ac:dyDescent="0.4">
      <c r="A444">
        <v>662</v>
      </c>
      <c r="B444" t="s">
        <v>34</v>
      </c>
      <c r="C444">
        <f t="shared" si="40"/>
        <v>1</v>
      </c>
      <c r="D444" t="s">
        <v>27</v>
      </c>
      <c r="E444">
        <f t="shared" si="36"/>
        <v>0</v>
      </c>
      <c r="F444" t="s">
        <v>28</v>
      </c>
      <c r="G444">
        <v>5</v>
      </c>
      <c r="H444" s="1">
        <v>55428</v>
      </c>
      <c r="I444" s="10">
        <v>0.17</v>
      </c>
      <c r="J444">
        <v>37.5</v>
      </c>
      <c r="K444" t="s">
        <v>34</v>
      </c>
      <c r="L444">
        <v>38</v>
      </c>
      <c r="M444" t="s">
        <v>61</v>
      </c>
      <c r="N444" t="s">
        <v>30</v>
      </c>
      <c r="O444" t="s">
        <v>31</v>
      </c>
      <c r="P444">
        <v>1</v>
      </c>
      <c r="Q444" t="s">
        <v>32</v>
      </c>
      <c r="R444" t="s">
        <v>37</v>
      </c>
      <c r="S444">
        <v>3</v>
      </c>
      <c r="T444">
        <v>0</v>
      </c>
      <c r="U444">
        <v>8</v>
      </c>
      <c r="V444">
        <v>3</v>
      </c>
      <c r="W444">
        <v>0</v>
      </c>
      <c r="X444">
        <v>0</v>
      </c>
      <c r="Y444">
        <v>0</v>
      </c>
      <c r="Z444">
        <v>0</v>
      </c>
      <c r="AA444" t="str">
        <f t="shared" si="38"/>
        <v>Early Tenure</v>
      </c>
      <c r="AB444" s="5">
        <v>45746</v>
      </c>
      <c r="AC444">
        <f t="shared" si="39"/>
        <v>1</v>
      </c>
      <c r="AD444" t="s">
        <v>49</v>
      </c>
      <c r="AE444">
        <f>VLOOKUP(A444,'Employee Engagement Survey'!A268:B1737,2,FALSE)</f>
        <v>3</v>
      </c>
      <c r="AF444">
        <f>VLOOKUP(A444,'Employee Engagement Survey'!A268:C1737,3,FALSE)</f>
        <v>1</v>
      </c>
      <c r="AG444">
        <f>VLOOKUP(A444,'Employee Engagement Survey'!A268:D1737,4,FALSE)</f>
        <v>4</v>
      </c>
      <c r="AH444">
        <f>VLOOKUP(A444,'Employee Engagement Survey'!A268:E1737,5,FALSE)</f>
        <v>2</v>
      </c>
      <c r="AI444">
        <f t="shared" si="37"/>
        <v>2.5</v>
      </c>
    </row>
    <row r="445" spans="1:35" hidden="1" x14ac:dyDescent="0.4">
      <c r="A445">
        <v>305</v>
      </c>
      <c r="B445" t="s">
        <v>34</v>
      </c>
      <c r="C445">
        <f t="shared" si="40"/>
        <v>1</v>
      </c>
      <c r="D445" t="s">
        <v>27</v>
      </c>
      <c r="E445">
        <f t="shared" si="36"/>
        <v>0</v>
      </c>
      <c r="F445" t="s">
        <v>28</v>
      </c>
      <c r="G445">
        <v>5</v>
      </c>
      <c r="H445" s="1">
        <v>55464</v>
      </c>
      <c r="I445" s="10">
        <v>0.21</v>
      </c>
      <c r="J445">
        <v>37.5</v>
      </c>
      <c r="K445" t="s">
        <v>34</v>
      </c>
      <c r="L445">
        <v>33</v>
      </c>
      <c r="M445" t="s">
        <v>47</v>
      </c>
      <c r="N445" t="s">
        <v>42</v>
      </c>
      <c r="O445" t="s">
        <v>31</v>
      </c>
      <c r="P445">
        <v>4</v>
      </c>
      <c r="Q445" t="s">
        <v>51</v>
      </c>
      <c r="R445" t="s">
        <v>33</v>
      </c>
      <c r="S445">
        <v>4</v>
      </c>
      <c r="T445">
        <v>0</v>
      </c>
      <c r="U445">
        <v>7</v>
      </c>
      <c r="V445">
        <v>3</v>
      </c>
      <c r="W445">
        <v>3</v>
      </c>
      <c r="X445">
        <v>2</v>
      </c>
      <c r="Y445">
        <v>1</v>
      </c>
      <c r="Z445">
        <v>1</v>
      </c>
      <c r="AA445" t="str">
        <f t="shared" si="38"/>
        <v>Mid Tenure</v>
      </c>
      <c r="AB445" s="5">
        <v>44942</v>
      </c>
      <c r="AC445">
        <f t="shared" si="39"/>
        <v>0</v>
      </c>
      <c r="AD445" t="s">
        <v>38</v>
      </c>
      <c r="AE445">
        <f>VLOOKUP(A445,'Employee Engagement Survey'!A269:B1738,2,FALSE)</f>
        <v>3</v>
      </c>
      <c r="AF445">
        <f>VLOOKUP(A445,'Employee Engagement Survey'!A269:C1738,3,FALSE)</f>
        <v>2</v>
      </c>
      <c r="AG445">
        <f>VLOOKUP(A445,'Employee Engagement Survey'!A269:D1738,4,FALSE)</f>
        <v>4</v>
      </c>
      <c r="AH445">
        <f>VLOOKUP(A445,'Employee Engagement Survey'!A269:E1738,5,FALSE)</f>
        <v>3</v>
      </c>
      <c r="AI445">
        <f t="shared" si="37"/>
        <v>3</v>
      </c>
    </row>
    <row r="446" spans="1:35" hidden="1" x14ac:dyDescent="0.4">
      <c r="A446">
        <v>194</v>
      </c>
      <c r="B446" t="s">
        <v>34</v>
      </c>
      <c r="C446">
        <f t="shared" si="40"/>
        <v>1</v>
      </c>
      <c r="D446" t="s">
        <v>27</v>
      </c>
      <c r="E446">
        <f t="shared" si="36"/>
        <v>0</v>
      </c>
      <c r="F446" t="s">
        <v>28</v>
      </c>
      <c r="G446">
        <v>5</v>
      </c>
      <c r="H446" s="1">
        <v>55584</v>
      </c>
      <c r="I446" s="10">
        <v>0.14000000000000001</v>
      </c>
      <c r="J446">
        <v>37.5</v>
      </c>
      <c r="K446" t="s">
        <v>34</v>
      </c>
      <c r="L446">
        <v>30</v>
      </c>
      <c r="M446" t="s">
        <v>47</v>
      </c>
      <c r="N446" t="s">
        <v>30</v>
      </c>
      <c r="O446" t="s">
        <v>31</v>
      </c>
      <c r="P446">
        <v>18</v>
      </c>
      <c r="Q446" t="s">
        <v>43</v>
      </c>
      <c r="R446" t="s">
        <v>37</v>
      </c>
      <c r="S446">
        <v>3</v>
      </c>
      <c r="T446">
        <v>0</v>
      </c>
      <c r="U446">
        <v>5</v>
      </c>
      <c r="V446">
        <v>4</v>
      </c>
      <c r="W446">
        <v>5</v>
      </c>
      <c r="X446">
        <v>4</v>
      </c>
      <c r="Y446">
        <v>0</v>
      </c>
      <c r="Z446">
        <v>4</v>
      </c>
      <c r="AA446" t="str">
        <f t="shared" si="38"/>
        <v>Mid Tenure</v>
      </c>
      <c r="AB446" s="5">
        <v>44808</v>
      </c>
      <c r="AC446">
        <f t="shared" si="39"/>
        <v>0</v>
      </c>
      <c r="AD446" t="s">
        <v>38</v>
      </c>
      <c r="AE446">
        <f>VLOOKUP(A446,'Employee Engagement Survey'!A271:B1740,2,FALSE)</f>
        <v>1</v>
      </c>
      <c r="AF446">
        <f>VLOOKUP(A446,'Employee Engagement Survey'!A271:C1740,3,FALSE)</f>
        <v>3</v>
      </c>
      <c r="AG446">
        <f>VLOOKUP(A446,'Employee Engagement Survey'!A271:D1740,4,FALSE)</f>
        <v>3</v>
      </c>
      <c r="AH446">
        <f>VLOOKUP(A446,'Employee Engagement Survey'!A271:E1740,5,FALSE)</f>
        <v>2</v>
      </c>
      <c r="AI446">
        <f t="shared" si="37"/>
        <v>2.25</v>
      </c>
    </row>
    <row r="447" spans="1:35" hidden="1" x14ac:dyDescent="0.4">
      <c r="A447">
        <v>367</v>
      </c>
      <c r="B447" t="s">
        <v>34</v>
      </c>
      <c r="C447">
        <f t="shared" si="40"/>
        <v>1</v>
      </c>
      <c r="D447" t="s">
        <v>55</v>
      </c>
      <c r="E447">
        <f t="shared" si="36"/>
        <v>0</v>
      </c>
      <c r="F447" t="s">
        <v>28</v>
      </c>
      <c r="G447">
        <v>7</v>
      </c>
      <c r="H447" s="1">
        <v>78984</v>
      </c>
      <c r="I447" s="10">
        <v>0.21</v>
      </c>
      <c r="J447">
        <v>37.5</v>
      </c>
      <c r="K447" t="s">
        <v>34</v>
      </c>
      <c r="L447">
        <v>31</v>
      </c>
      <c r="M447" t="s">
        <v>29</v>
      </c>
      <c r="N447" t="s">
        <v>42</v>
      </c>
      <c r="O447" t="s">
        <v>31</v>
      </c>
      <c r="P447">
        <v>23</v>
      </c>
      <c r="Q447" t="s">
        <v>43</v>
      </c>
      <c r="R447" t="s">
        <v>33</v>
      </c>
      <c r="S447">
        <v>4</v>
      </c>
      <c r="T447">
        <v>1</v>
      </c>
      <c r="U447">
        <v>10</v>
      </c>
      <c r="V447">
        <v>2</v>
      </c>
      <c r="W447">
        <v>9</v>
      </c>
      <c r="X447">
        <v>0</v>
      </c>
      <c r="Y447">
        <v>7</v>
      </c>
      <c r="Z447">
        <v>8</v>
      </c>
      <c r="AA447" t="str">
        <f t="shared" si="38"/>
        <v>Mid Tenure</v>
      </c>
      <c r="AB447" s="5">
        <v>45221</v>
      </c>
      <c r="AC447">
        <f t="shared" si="39"/>
        <v>0</v>
      </c>
      <c r="AD447" t="s">
        <v>38</v>
      </c>
      <c r="AE447">
        <f>VLOOKUP(A447,'Employee Engagement Survey'!A272:B1741,2,FALSE)</f>
        <v>2</v>
      </c>
      <c r="AF447">
        <f>VLOOKUP(A447,'Employee Engagement Survey'!A272:C1741,3,FALSE)</f>
        <v>4</v>
      </c>
      <c r="AG447">
        <f>VLOOKUP(A447,'Employee Engagement Survey'!A272:D1741,4,FALSE)</f>
        <v>2</v>
      </c>
      <c r="AH447">
        <f>VLOOKUP(A447,'Employee Engagement Survey'!A272:E1741,5,FALSE)</f>
        <v>3</v>
      </c>
      <c r="AI447">
        <f t="shared" si="37"/>
        <v>2.75</v>
      </c>
    </row>
    <row r="448" spans="1:35" hidden="1" x14ac:dyDescent="0.4">
      <c r="A448">
        <v>369</v>
      </c>
      <c r="B448" t="s">
        <v>34</v>
      </c>
      <c r="C448">
        <f t="shared" si="40"/>
        <v>1</v>
      </c>
      <c r="D448" t="s">
        <v>55</v>
      </c>
      <c r="E448">
        <f t="shared" si="36"/>
        <v>0</v>
      </c>
      <c r="F448" t="s">
        <v>28</v>
      </c>
      <c r="G448">
        <v>6</v>
      </c>
      <c r="H448" s="1">
        <v>60000</v>
      </c>
      <c r="I448" s="10">
        <v>0.12</v>
      </c>
      <c r="J448">
        <v>37.5</v>
      </c>
      <c r="K448" t="s">
        <v>34</v>
      </c>
      <c r="L448">
        <v>25</v>
      </c>
      <c r="M448" t="s">
        <v>29</v>
      </c>
      <c r="N448" t="s">
        <v>48</v>
      </c>
      <c r="O448" t="s">
        <v>35</v>
      </c>
      <c r="P448">
        <v>5</v>
      </c>
      <c r="Q448" t="s">
        <v>36</v>
      </c>
      <c r="R448" t="s">
        <v>37</v>
      </c>
      <c r="S448">
        <v>3</v>
      </c>
      <c r="T448">
        <v>2</v>
      </c>
      <c r="U448">
        <v>6</v>
      </c>
      <c r="V448">
        <v>2</v>
      </c>
      <c r="W448">
        <v>6</v>
      </c>
      <c r="X448">
        <v>3</v>
      </c>
      <c r="Y448">
        <v>1</v>
      </c>
      <c r="Z448">
        <v>5</v>
      </c>
      <c r="AA448" t="str">
        <f t="shared" si="38"/>
        <v>Mid Tenure</v>
      </c>
      <c r="AB448" s="5">
        <v>46019</v>
      </c>
      <c r="AC448">
        <f t="shared" si="39"/>
        <v>1</v>
      </c>
      <c r="AD448" t="s">
        <v>49</v>
      </c>
      <c r="AE448">
        <f>VLOOKUP(A448,'Employee Engagement Survey'!A273:B1742,2,FALSE)</f>
        <v>2</v>
      </c>
      <c r="AF448">
        <f>VLOOKUP(A448,'Employee Engagement Survey'!A273:C1742,3,FALSE)</f>
        <v>1</v>
      </c>
      <c r="AG448">
        <f>VLOOKUP(A448,'Employee Engagement Survey'!A273:D1742,4,FALSE)</f>
        <v>4</v>
      </c>
      <c r="AH448">
        <f>VLOOKUP(A448,'Employee Engagement Survey'!A273:E1742,5,FALSE)</f>
        <v>3</v>
      </c>
      <c r="AI448">
        <f t="shared" si="37"/>
        <v>2.5</v>
      </c>
    </row>
    <row r="449" spans="1:35" hidden="1" x14ac:dyDescent="0.4">
      <c r="A449">
        <v>46</v>
      </c>
      <c r="B449" t="s">
        <v>34</v>
      </c>
      <c r="C449">
        <f t="shared" si="40"/>
        <v>1</v>
      </c>
      <c r="D449" t="s">
        <v>27</v>
      </c>
      <c r="E449">
        <f t="shared" si="36"/>
        <v>0</v>
      </c>
      <c r="F449" t="s">
        <v>28</v>
      </c>
      <c r="G449">
        <v>5</v>
      </c>
      <c r="H449" s="1">
        <v>55740</v>
      </c>
      <c r="I449" s="10">
        <v>0.12</v>
      </c>
      <c r="J449">
        <v>37.5</v>
      </c>
      <c r="K449" t="s">
        <v>34</v>
      </c>
      <c r="L449">
        <v>43</v>
      </c>
      <c r="M449" t="s">
        <v>47</v>
      </c>
      <c r="N449" t="s">
        <v>48</v>
      </c>
      <c r="O449" t="s">
        <v>31</v>
      </c>
      <c r="P449">
        <v>2</v>
      </c>
      <c r="Q449" t="s">
        <v>36</v>
      </c>
      <c r="R449" t="s">
        <v>33</v>
      </c>
      <c r="S449">
        <v>3</v>
      </c>
      <c r="T449">
        <v>2</v>
      </c>
      <c r="U449">
        <v>6</v>
      </c>
      <c r="V449">
        <v>3</v>
      </c>
      <c r="W449">
        <v>5</v>
      </c>
      <c r="X449">
        <v>3</v>
      </c>
      <c r="Y449">
        <v>1</v>
      </c>
      <c r="Z449">
        <v>4</v>
      </c>
      <c r="AA449" t="str">
        <f t="shared" si="38"/>
        <v>Mid Tenure</v>
      </c>
      <c r="AB449" s="5">
        <v>44911</v>
      </c>
      <c r="AC449">
        <f t="shared" si="39"/>
        <v>0</v>
      </c>
      <c r="AD449" t="s">
        <v>49</v>
      </c>
      <c r="AE449">
        <f>VLOOKUP(A449,'Employee Engagement Survey'!A274:B1743,2,FALSE)</f>
        <v>4</v>
      </c>
      <c r="AF449">
        <f>VLOOKUP(A449,'Employee Engagement Survey'!A274:C1743,3,FALSE)</f>
        <v>3</v>
      </c>
      <c r="AG449">
        <f>VLOOKUP(A449,'Employee Engagement Survey'!A274:D1743,4,FALSE)</f>
        <v>4</v>
      </c>
      <c r="AH449">
        <f>VLOOKUP(A449,'Employee Engagement Survey'!A274:E1743,5,FALSE)</f>
        <v>2</v>
      </c>
      <c r="AI449">
        <f t="shared" si="37"/>
        <v>3.25</v>
      </c>
    </row>
    <row r="450" spans="1:35" hidden="1" x14ac:dyDescent="0.4">
      <c r="A450">
        <v>372</v>
      </c>
      <c r="B450" t="s">
        <v>34</v>
      </c>
      <c r="C450">
        <f t="shared" si="40"/>
        <v>1</v>
      </c>
      <c r="D450" t="s">
        <v>55</v>
      </c>
      <c r="E450">
        <f t="shared" ref="E450:E513" si="41">IF(OR(D450="Manager, HR", D450="Manager, Sales", D450="Manager, R&amp;D", D450="Manufacturing Director",D450="Research Director", D450="VP, HR", D450="CEO"),1,0)</f>
        <v>0</v>
      </c>
      <c r="F450" t="s">
        <v>28</v>
      </c>
      <c r="G450">
        <v>10</v>
      </c>
      <c r="H450" s="1">
        <v>173952</v>
      </c>
      <c r="I450" s="10">
        <v>0.14000000000000001</v>
      </c>
      <c r="J450">
        <v>37.5</v>
      </c>
      <c r="K450" t="s">
        <v>26</v>
      </c>
      <c r="L450">
        <v>45</v>
      </c>
      <c r="M450" t="s">
        <v>29</v>
      </c>
      <c r="N450" t="s">
        <v>42</v>
      </c>
      <c r="O450" t="s">
        <v>31</v>
      </c>
      <c r="P450">
        <v>20</v>
      </c>
      <c r="Q450" t="s">
        <v>36</v>
      </c>
      <c r="R450" t="s">
        <v>33</v>
      </c>
      <c r="S450">
        <v>3</v>
      </c>
      <c r="T450">
        <v>0</v>
      </c>
      <c r="U450">
        <v>21</v>
      </c>
      <c r="V450">
        <v>2</v>
      </c>
      <c r="W450">
        <v>20</v>
      </c>
      <c r="X450">
        <v>7</v>
      </c>
      <c r="Y450">
        <v>4</v>
      </c>
      <c r="Z450">
        <v>10</v>
      </c>
      <c r="AA450" t="str">
        <f t="shared" si="38"/>
        <v>Long Tenure</v>
      </c>
      <c r="AB450" s="5">
        <v>45563</v>
      </c>
      <c r="AC450">
        <f t="shared" si="39"/>
        <v>1</v>
      </c>
      <c r="AD450" t="s">
        <v>38</v>
      </c>
      <c r="AE450">
        <f>VLOOKUP(A450,'Employee Engagement Survey'!A275:B1744,2,FALSE)</f>
        <v>3</v>
      </c>
      <c r="AF450">
        <f>VLOOKUP(A450,'Employee Engagement Survey'!A275:C1744,3,FALSE)</f>
        <v>4</v>
      </c>
      <c r="AG450">
        <f>VLOOKUP(A450,'Employee Engagement Survey'!A275:D1744,4,FALSE)</f>
        <v>2</v>
      </c>
      <c r="AH450">
        <f>VLOOKUP(A450,'Employee Engagement Survey'!A275:E1744,5,FALSE)</f>
        <v>3</v>
      </c>
      <c r="AI450">
        <f t="shared" ref="AI450:AI513" si="42">AVERAGE(AE450:AH450)</f>
        <v>3</v>
      </c>
    </row>
    <row r="451" spans="1:35" hidden="1" x14ac:dyDescent="0.4">
      <c r="A451">
        <v>373</v>
      </c>
      <c r="B451" t="s">
        <v>34</v>
      </c>
      <c r="C451">
        <f t="shared" si="40"/>
        <v>1</v>
      </c>
      <c r="D451" t="s">
        <v>46</v>
      </c>
      <c r="E451">
        <f t="shared" si="41"/>
        <v>0</v>
      </c>
      <c r="F451" t="s">
        <v>28</v>
      </c>
      <c r="G451">
        <v>6</v>
      </c>
      <c r="H451" s="1">
        <v>62520</v>
      </c>
      <c r="I451" s="10">
        <v>0.11</v>
      </c>
      <c r="J451">
        <v>37.5</v>
      </c>
      <c r="K451" t="s">
        <v>34</v>
      </c>
      <c r="L451">
        <v>36</v>
      </c>
      <c r="M451" t="s">
        <v>29</v>
      </c>
      <c r="N451" t="s">
        <v>42</v>
      </c>
      <c r="O451" t="s">
        <v>31</v>
      </c>
      <c r="P451">
        <v>6</v>
      </c>
      <c r="Q451" t="s">
        <v>43</v>
      </c>
      <c r="R451" t="s">
        <v>37</v>
      </c>
      <c r="S451">
        <v>3</v>
      </c>
      <c r="T451">
        <v>1</v>
      </c>
      <c r="U451">
        <v>16</v>
      </c>
      <c r="V451">
        <v>4</v>
      </c>
      <c r="W451">
        <v>15</v>
      </c>
      <c r="X451">
        <v>13</v>
      </c>
      <c r="Y451">
        <v>10</v>
      </c>
      <c r="Z451">
        <v>11</v>
      </c>
      <c r="AA451" t="str">
        <f t="shared" ref="AA451:AA514" si="43">IF(W451&lt;=2,"Early Tenure",IF(W451&lt;=9,"Mid Tenure","Long Tenure"))</f>
        <v>Long Tenure</v>
      </c>
      <c r="AB451" s="5">
        <v>45273</v>
      </c>
      <c r="AC451">
        <f t="shared" ref="AC451:AC514" si="44">IF(AND(AB451&lt;&gt;"",AB451&gt;DATE(2024,1,1)),1,0)</f>
        <v>0</v>
      </c>
      <c r="AD451" t="s">
        <v>49</v>
      </c>
      <c r="AE451">
        <f>VLOOKUP(A451,'Employee Engagement Survey'!A276:B1745,2,FALSE)</f>
        <v>4</v>
      </c>
      <c r="AF451">
        <f>VLOOKUP(A451,'Employee Engagement Survey'!A276:C1745,3,FALSE)</f>
        <v>4</v>
      </c>
      <c r="AG451">
        <f>VLOOKUP(A451,'Employee Engagement Survey'!A276:D1745,4,FALSE)</f>
        <v>3</v>
      </c>
      <c r="AH451">
        <f>VLOOKUP(A451,'Employee Engagement Survey'!A276:E1745,5,FALSE)</f>
        <v>3</v>
      </c>
      <c r="AI451">
        <f t="shared" si="42"/>
        <v>3.5</v>
      </c>
    </row>
    <row r="452" spans="1:35" hidden="1" x14ac:dyDescent="0.4">
      <c r="A452">
        <v>374</v>
      </c>
      <c r="B452" t="s">
        <v>34</v>
      </c>
      <c r="C452">
        <f t="shared" si="40"/>
        <v>1</v>
      </c>
      <c r="D452" t="s">
        <v>109</v>
      </c>
      <c r="E452">
        <f t="shared" si="41"/>
        <v>1</v>
      </c>
      <c r="F452" t="s">
        <v>28</v>
      </c>
      <c r="G452">
        <v>5</v>
      </c>
      <c r="H452" s="1">
        <v>240540</v>
      </c>
      <c r="I452" s="10">
        <v>0.14000000000000001</v>
      </c>
      <c r="J452">
        <v>37.5</v>
      </c>
      <c r="K452" t="s">
        <v>26</v>
      </c>
      <c r="L452">
        <v>55</v>
      </c>
      <c r="M452" t="s">
        <v>29</v>
      </c>
      <c r="N452" t="s">
        <v>30</v>
      </c>
      <c r="O452" t="s">
        <v>31</v>
      </c>
      <c r="P452">
        <v>1</v>
      </c>
      <c r="Q452" t="s">
        <v>43</v>
      </c>
      <c r="R452" t="s">
        <v>33</v>
      </c>
      <c r="S452">
        <v>3</v>
      </c>
      <c r="T452">
        <v>0</v>
      </c>
      <c r="U452">
        <v>37</v>
      </c>
      <c r="V452">
        <v>2</v>
      </c>
      <c r="W452">
        <v>36</v>
      </c>
      <c r="X452">
        <v>10</v>
      </c>
      <c r="Y452">
        <v>4</v>
      </c>
      <c r="Z452">
        <v>13</v>
      </c>
      <c r="AA452" t="str">
        <f t="shared" si="43"/>
        <v>Long Tenure</v>
      </c>
      <c r="AB452" s="5">
        <v>45123</v>
      </c>
      <c r="AC452">
        <f t="shared" si="44"/>
        <v>0</v>
      </c>
      <c r="AD452" t="s">
        <v>49</v>
      </c>
      <c r="AE452">
        <f>VLOOKUP(A452,'Employee Engagement Survey'!A279:B1748,2,FALSE)</f>
        <v>4</v>
      </c>
      <c r="AF452">
        <f>VLOOKUP(A452,'Employee Engagement Survey'!A279:C1748,3,FALSE)</f>
        <v>1</v>
      </c>
      <c r="AG452">
        <f>VLOOKUP(A452,'Employee Engagement Survey'!A279:D1748,4,FALSE)</f>
        <v>3</v>
      </c>
      <c r="AH452">
        <f>VLOOKUP(A452,'Employee Engagement Survey'!A279:E1748,5,FALSE)</f>
        <v>3</v>
      </c>
      <c r="AI452">
        <f t="shared" si="42"/>
        <v>2.75</v>
      </c>
    </row>
    <row r="453" spans="1:35" hidden="1" x14ac:dyDescent="0.4">
      <c r="A453">
        <v>686</v>
      </c>
      <c r="B453" t="s">
        <v>34</v>
      </c>
      <c r="C453">
        <f t="shared" si="40"/>
        <v>1</v>
      </c>
      <c r="D453" t="s">
        <v>46</v>
      </c>
      <c r="E453">
        <f t="shared" si="41"/>
        <v>0</v>
      </c>
      <c r="F453" t="s">
        <v>28</v>
      </c>
      <c r="G453">
        <v>5</v>
      </c>
      <c r="H453" s="1">
        <v>55908</v>
      </c>
      <c r="I453" s="10">
        <v>0.13</v>
      </c>
      <c r="J453">
        <v>37.5</v>
      </c>
      <c r="K453" t="s">
        <v>26</v>
      </c>
      <c r="L453">
        <v>26</v>
      </c>
      <c r="M453" t="s">
        <v>47</v>
      </c>
      <c r="N453" t="s">
        <v>42</v>
      </c>
      <c r="O453" t="s">
        <v>31</v>
      </c>
      <c r="P453">
        <v>6</v>
      </c>
      <c r="Q453" t="s">
        <v>43</v>
      </c>
      <c r="R453" t="s">
        <v>37</v>
      </c>
      <c r="S453">
        <v>3</v>
      </c>
      <c r="T453">
        <v>1</v>
      </c>
      <c r="U453">
        <v>3</v>
      </c>
      <c r="V453">
        <v>2</v>
      </c>
      <c r="W453">
        <v>3</v>
      </c>
      <c r="X453">
        <v>2</v>
      </c>
      <c r="Y453">
        <v>0</v>
      </c>
      <c r="Z453">
        <v>2</v>
      </c>
      <c r="AA453" t="str">
        <f t="shared" si="43"/>
        <v>Mid Tenure</v>
      </c>
      <c r="AB453" s="5">
        <v>44840</v>
      </c>
      <c r="AC453">
        <f t="shared" si="44"/>
        <v>0</v>
      </c>
      <c r="AD453" t="s">
        <v>49</v>
      </c>
      <c r="AE453">
        <f>VLOOKUP(A453,'Employee Engagement Survey'!A280:B1749,2,FALSE)</f>
        <v>3</v>
      </c>
      <c r="AF453">
        <f>VLOOKUP(A453,'Employee Engagement Survey'!A280:C1749,3,FALSE)</f>
        <v>4</v>
      </c>
      <c r="AG453">
        <f>VLOOKUP(A453,'Employee Engagement Survey'!A280:D1749,4,FALSE)</f>
        <v>3</v>
      </c>
      <c r="AH453">
        <f>VLOOKUP(A453,'Employee Engagement Survey'!A280:E1749,5,FALSE)</f>
        <v>3</v>
      </c>
      <c r="AI453">
        <f t="shared" si="42"/>
        <v>3.25</v>
      </c>
    </row>
    <row r="454" spans="1:35" hidden="1" x14ac:dyDescent="0.4">
      <c r="A454">
        <v>377</v>
      </c>
      <c r="B454" t="s">
        <v>34</v>
      </c>
      <c r="C454">
        <f t="shared" si="40"/>
        <v>1</v>
      </c>
      <c r="D454" t="s">
        <v>27</v>
      </c>
      <c r="E454">
        <f t="shared" si="41"/>
        <v>0</v>
      </c>
      <c r="F454" t="s">
        <v>28</v>
      </c>
      <c r="G454">
        <v>3</v>
      </c>
      <c r="H454" s="1">
        <v>48840</v>
      </c>
      <c r="I454" s="10">
        <v>0.23</v>
      </c>
      <c r="J454">
        <v>37.5</v>
      </c>
      <c r="K454" t="s">
        <v>34</v>
      </c>
      <c r="L454">
        <v>28</v>
      </c>
      <c r="M454" t="s">
        <v>29</v>
      </c>
      <c r="N454" t="s">
        <v>42</v>
      </c>
      <c r="O454" t="s">
        <v>31</v>
      </c>
      <c r="P454">
        <v>9</v>
      </c>
      <c r="Q454" t="s">
        <v>43</v>
      </c>
      <c r="R454" t="s">
        <v>33</v>
      </c>
      <c r="S454">
        <v>4</v>
      </c>
      <c r="T454">
        <v>1</v>
      </c>
      <c r="U454">
        <v>5</v>
      </c>
      <c r="V454">
        <v>3</v>
      </c>
      <c r="W454">
        <v>5</v>
      </c>
      <c r="X454">
        <v>2</v>
      </c>
      <c r="Y454">
        <v>0</v>
      </c>
      <c r="Z454">
        <v>4</v>
      </c>
      <c r="AA454" t="str">
        <f t="shared" si="43"/>
        <v>Mid Tenure</v>
      </c>
      <c r="AB454" s="5">
        <v>45395</v>
      </c>
      <c r="AC454">
        <f t="shared" si="44"/>
        <v>1</v>
      </c>
      <c r="AD454" t="s">
        <v>38</v>
      </c>
      <c r="AE454">
        <f>VLOOKUP(A454,'Employee Engagement Survey'!A282:B1751,2,FALSE)</f>
        <v>4</v>
      </c>
      <c r="AF454">
        <f>VLOOKUP(A454,'Employee Engagement Survey'!A282:C1751,3,FALSE)</f>
        <v>4</v>
      </c>
      <c r="AG454">
        <f>VLOOKUP(A454,'Employee Engagement Survey'!A282:D1751,4,FALSE)</f>
        <v>4</v>
      </c>
      <c r="AH454">
        <f>VLOOKUP(A454,'Employee Engagement Survey'!A282:E1751,5,FALSE)</f>
        <v>2</v>
      </c>
      <c r="AI454">
        <f t="shared" si="42"/>
        <v>3.5</v>
      </c>
    </row>
    <row r="455" spans="1:35" hidden="1" x14ac:dyDescent="0.4">
      <c r="A455">
        <v>378</v>
      </c>
      <c r="B455" t="s">
        <v>34</v>
      </c>
      <c r="C455">
        <f t="shared" si="40"/>
        <v>1</v>
      </c>
      <c r="D455" t="s">
        <v>57</v>
      </c>
      <c r="E455">
        <f t="shared" si="41"/>
        <v>0</v>
      </c>
      <c r="F455" t="s">
        <v>40</v>
      </c>
      <c r="G455">
        <v>8</v>
      </c>
      <c r="H455" s="1">
        <v>90024</v>
      </c>
      <c r="I455" s="10">
        <v>0.14000000000000001</v>
      </c>
      <c r="J455">
        <v>37.5</v>
      </c>
      <c r="K455" t="s">
        <v>34</v>
      </c>
      <c r="L455">
        <v>37</v>
      </c>
      <c r="M455" t="s">
        <v>29</v>
      </c>
      <c r="N455" t="s">
        <v>42</v>
      </c>
      <c r="O455" t="s">
        <v>31</v>
      </c>
      <c r="P455">
        <v>6</v>
      </c>
      <c r="Q455" t="s">
        <v>51</v>
      </c>
      <c r="R455" t="s">
        <v>33</v>
      </c>
      <c r="S455">
        <v>3</v>
      </c>
      <c r="T455">
        <v>1</v>
      </c>
      <c r="U455">
        <v>7</v>
      </c>
      <c r="V455">
        <v>5</v>
      </c>
      <c r="W455">
        <v>5</v>
      </c>
      <c r="X455">
        <v>4</v>
      </c>
      <c r="Y455">
        <v>0</v>
      </c>
      <c r="Z455">
        <v>1</v>
      </c>
      <c r="AA455" t="str">
        <f t="shared" si="43"/>
        <v>Mid Tenure</v>
      </c>
      <c r="AB455" s="5">
        <v>45946</v>
      </c>
      <c r="AC455">
        <f t="shared" si="44"/>
        <v>1</v>
      </c>
      <c r="AD455" t="s">
        <v>38</v>
      </c>
      <c r="AE455">
        <f>VLOOKUP(A455,'Employee Engagement Survey'!A283:B1752,2,FALSE)</f>
        <v>3</v>
      </c>
      <c r="AF455">
        <f>VLOOKUP(A455,'Employee Engagement Survey'!A283:C1752,3,FALSE)</f>
        <v>4</v>
      </c>
      <c r="AG455">
        <f>VLOOKUP(A455,'Employee Engagement Survey'!A283:D1752,4,FALSE)</f>
        <v>2</v>
      </c>
      <c r="AH455">
        <f>VLOOKUP(A455,'Employee Engagement Survey'!A283:E1752,5,FALSE)</f>
        <v>4</v>
      </c>
      <c r="AI455">
        <f t="shared" si="42"/>
        <v>3.25</v>
      </c>
    </row>
    <row r="456" spans="1:35" hidden="1" x14ac:dyDescent="0.4">
      <c r="A456">
        <v>10</v>
      </c>
      <c r="B456" t="s">
        <v>34</v>
      </c>
      <c r="C456">
        <f t="shared" si="40"/>
        <v>1</v>
      </c>
      <c r="D456" t="s">
        <v>46</v>
      </c>
      <c r="E456">
        <f t="shared" si="41"/>
        <v>0</v>
      </c>
      <c r="F456" t="s">
        <v>28</v>
      </c>
      <c r="G456">
        <v>5</v>
      </c>
      <c r="H456" s="1">
        <v>56040</v>
      </c>
      <c r="I456" s="10">
        <v>0.2</v>
      </c>
      <c r="J456">
        <v>37.5</v>
      </c>
      <c r="K456" t="s">
        <v>26</v>
      </c>
      <c r="L456">
        <v>59</v>
      </c>
      <c r="M456" t="s">
        <v>47</v>
      </c>
      <c r="N456" t="s">
        <v>42</v>
      </c>
      <c r="O456" t="s">
        <v>31</v>
      </c>
      <c r="P456">
        <v>3</v>
      </c>
      <c r="Q456" t="s">
        <v>43</v>
      </c>
      <c r="R456" t="s">
        <v>33</v>
      </c>
      <c r="S456">
        <v>4</v>
      </c>
      <c r="T456">
        <v>3</v>
      </c>
      <c r="U456">
        <v>12</v>
      </c>
      <c r="V456">
        <v>3</v>
      </c>
      <c r="W456">
        <v>1</v>
      </c>
      <c r="X456">
        <v>0</v>
      </c>
      <c r="Y456">
        <v>0</v>
      </c>
      <c r="Z456">
        <v>0</v>
      </c>
      <c r="AA456" t="str">
        <f t="shared" si="43"/>
        <v>Early Tenure</v>
      </c>
      <c r="AB456" s="5">
        <v>45283</v>
      </c>
      <c r="AC456">
        <f t="shared" si="44"/>
        <v>0</v>
      </c>
      <c r="AD456" t="s">
        <v>38</v>
      </c>
      <c r="AE456">
        <f>VLOOKUP(A456,'Employee Engagement Survey'!A284:B1753,2,FALSE)</f>
        <v>3</v>
      </c>
      <c r="AF456">
        <f>VLOOKUP(A456,'Employee Engagement Survey'!A284:C1753,3,FALSE)</f>
        <v>1</v>
      </c>
      <c r="AG456">
        <f>VLOOKUP(A456,'Employee Engagement Survey'!A284:D1753,4,FALSE)</f>
        <v>1</v>
      </c>
      <c r="AH456">
        <f>VLOOKUP(A456,'Employee Engagement Survey'!A284:E1753,5,FALSE)</f>
        <v>2</v>
      </c>
      <c r="AI456">
        <f t="shared" si="42"/>
        <v>1.75</v>
      </c>
    </row>
    <row r="457" spans="1:35" hidden="1" x14ac:dyDescent="0.4">
      <c r="A457">
        <v>379</v>
      </c>
      <c r="B457" t="s">
        <v>34</v>
      </c>
      <c r="C457">
        <f t="shared" si="40"/>
        <v>1</v>
      </c>
      <c r="D457" t="s">
        <v>27</v>
      </c>
      <c r="E457">
        <f t="shared" si="41"/>
        <v>0</v>
      </c>
      <c r="F457" t="s">
        <v>28</v>
      </c>
      <c r="G457">
        <v>6</v>
      </c>
      <c r="H457" s="1">
        <v>62760</v>
      </c>
      <c r="I457" s="10">
        <v>0.17</v>
      </c>
      <c r="J457">
        <v>37.5</v>
      </c>
      <c r="K457" t="s">
        <v>34</v>
      </c>
      <c r="L457">
        <v>21</v>
      </c>
      <c r="M457" t="s">
        <v>29</v>
      </c>
      <c r="N457" t="s">
        <v>30</v>
      </c>
      <c r="O457" t="s">
        <v>31</v>
      </c>
      <c r="P457">
        <v>3</v>
      </c>
      <c r="Q457" t="s">
        <v>36</v>
      </c>
      <c r="R457" t="s">
        <v>33</v>
      </c>
      <c r="S457">
        <v>3</v>
      </c>
      <c r="T457">
        <v>0</v>
      </c>
      <c r="U457">
        <v>3</v>
      </c>
      <c r="V457">
        <v>4</v>
      </c>
      <c r="W457">
        <v>3</v>
      </c>
      <c r="X457">
        <v>2</v>
      </c>
      <c r="Y457">
        <v>1</v>
      </c>
      <c r="Z457">
        <v>0</v>
      </c>
      <c r="AA457" t="str">
        <f t="shared" si="43"/>
        <v>Mid Tenure</v>
      </c>
      <c r="AB457" s="5">
        <v>45792</v>
      </c>
      <c r="AC457">
        <f t="shared" si="44"/>
        <v>1</v>
      </c>
      <c r="AD457" t="s">
        <v>38</v>
      </c>
      <c r="AE457">
        <f>VLOOKUP(A457,'Employee Engagement Survey'!A285:B1754,2,FALSE)</f>
        <v>4</v>
      </c>
      <c r="AF457">
        <f>VLOOKUP(A457,'Employee Engagement Survey'!A285:C1754,3,FALSE)</f>
        <v>3</v>
      </c>
      <c r="AG457">
        <f>VLOOKUP(A457,'Employee Engagement Survey'!A285:D1754,4,FALSE)</f>
        <v>1</v>
      </c>
      <c r="AH457">
        <f>VLOOKUP(A457,'Employee Engagement Survey'!A285:E1754,5,FALSE)</f>
        <v>4</v>
      </c>
      <c r="AI457">
        <f t="shared" si="42"/>
        <v>3</v>
      </c>
    </row>
    <row r="458" spans="1:35" hidden="1" x14ac:dyDescent="0.4">
      <c r="A458">
        <v>385</v>
      </c>
      <c r="B458" t="s">
        <v>34</v>
      </c>
      <c r="C458">
        <f t="shared" si="40"/>
        <v>1</v>
      </c>
      <c r="D458" t="s">
        <v>60</v>
      </c>
      <c r="E458">
        <f t="shared" si="41"/>
        <v>1</v>
      </c>
      <c r="F458" t="s">
        <v>28</v>
      </c>
      <c r="G458">
        <v>5</v>
      </c>
      <c r="H458" s="1">
        <v>241728</v>
      </c>
      <c r="I458" s="10">
        <v>0.14000000000000001</v>
      </c>
      <c r="J458">
        <v>37.5</v>
      </c>
      <c r="K458" t="s">
        <v>34</v>
      </c>
      <c r="L458">
        <v>50</v>
      </c>
      <c r="M458" t="s">
        <v>29</v>
      </c>
      <c r="N458" t="s">
        <v>48</v>
      </c>
      <c r="O458" t="s">
        <v>31</v>
      </c>
      <c r="P458">
        <v>4</v>
      </c>
      <c r="Q458" t="s">
        <v>32</v>
      </c>
      <c r="R458" t="s">
        <v>37</v>
      </c>
      <c r="S458">
        <v>3</v>
      </c>
      <c r="T458">
        <v>2</v>
      </c>
      <c r="U458">
        <v>28</v>
      </c>
      <c r="V458">
        <v>4</v>
      </c>
      <c r="W458">
        <v>10</v>
      </c>
      <c r="X458">
        <v>4</v>
      </c>
      <c r="Y458">
        <v>1</v>
      </c>
      <c r="Z458">
        <v>6</v>
      </c>
      <c r="AA458" t="str">
        <f t="shared" si="43"/>
        <v>Long Tenure</v>
      </c>
      <c r="AB458" s="5">
        <v>45782</v>
      </c>
      <c r="AC458">
        <f t="shared" si="44"/>
        <v>1</v>
      </c>
      <c r="AD458" t="s">
        <v>38</v>
      </c>
      <c r="AE458">
        <f>VLOOKUP(A458,'Employee Engagement Survey'!A286:B1755,2,FALSE)</f>
        <v>1</v>
      </c>
      <c r="AF458">
        <f>VLOOKUP(A458,'Employee Engagement Survey'!A286:C1755,3,FALSE)</f>
        <v>2</v>
      </c>
      <c r="AG458">
        <f>VLOOKUP(A458,'Employee Engagement Survey'!A286:D1755,4,FALSE)</f>
        <v>1</v>
      </c>
      <c r="AH458">
        <f>VLOOKUP(A458,'Employee Engagement Survey'!A286:E1755,5,FALSE)</f>
        <v>2</v>
      </c>
      <c r="AI458">
        <f t="shared" si="42"/>
        <v>1.5</v>
      </c>
    </row>
    <row r="459" spans="1:35" hidden="1" x14ac:dyDescent="0.4">
      <c r="A459">
        <v>386</v>
      </c>
      <c r="B459" t="s">
        <v>34</v>
      </c>
      <c r="C459">
        <f t="shared" si="40"/>
        <v>1</v>
      </c>
      <c r="D459" t="s">
        <v>60</v>
      </c>
      <c r="E459">
        <f t="shared" si="41"/>
        <v>1</v>
      </c>
      <c r="F459" t="s">
        <v>28</v>
      </c>
      <c r="G459">
        <v>4</v>
      </c>
      <c r="H459" s="1">
        <v>223008</v>
      </c>
      <c r="I459" s="10">
        <v>0.16</v>
      </c>
      <c r="J459">
        <v>37.5</v>
      </c>
      <c r="K459" t="s">
        <v>26</v>
      </c>
      <c r="L459">
        <v>53</v>
      </c>
      <c r="M459" t="s">
        <v>29</v>
      </c>
      <c r="N459" t="s">
        <v>42</v>
      </c>
      <c r="O459" t="s">
        <v>31</v>
      </c>
      <c r="P459">
        <v>3</v>
      </c>
      <c r="Q459" t="s">
        <v>51</v>
      </c>
      <c r="R459" t="s">
        <v>33</v>
      </c>
      <c r="S459">
        <v>3</v>
      </c>
      <c r="T459">
        <v>3</v>
      </c>
      <c r="U459">
        <v>21</v>
      </c>
      <c r="V459">
        <v>5</v>
      </c>
      <c r="W459">
        <v>5</v>
      </c>
      <c r="X459">
        <v>3</v>
      </c>
      <c r="Y459">
        <v>1</v>
      </c>
      <c r="Z459">
        <v>3</v>
      </c>
      <c r="AA459" t="str">
        <f t="shared" si="43"/>
        <v>Mid Tenure</v>
      </c>
      <c r="AB459" s="5">
        <v>44988</v>
      </c>
      <c r="AC459">
        <f t="shared" si="44"/>
        <v>0</v>
      </c>
      <c r="AD459" t="s">
        <v>38</v>
      </c>
      <c r="AE459">
        <f>VLOOKUP(A459,'Employee Engagement Survey'!A287:B1756,2,FALSE)</f>
        <v>3</v>
      </c>
      <c r="AF459">
        <f>VLOOKUP(A459,'Employee Engagement Survey'!A287:C1756,3,FALSE)</f>
        <v>3</v>
      </c>
      <c r="AG459">
        <f>VLOOKUP(A459,'Employee Engagement Survey'!A287:D1756,4,FALSE)</f>
        <v>4</v>
      </c>
      <c r="AH459">
        <f>VLOOKUP(A459,'Employee Engagement Survey'!A287:E1756,5,FALSE)</f>
        <v>2</v>
      </c>
      <c r="AI459">
        <f t="shared" si="42"/>
        <v>3</v>
      </c>
    </row>
    <row r="460" spans="1:35" hidden="1" x14ac:dyDescent="0.4">
      <c r="A460">
        <v>387</v>
      </c>
      <c r="B460" t="s">
        <v>34</v>
      </c>
      <c r="C460">
        <f t="shared" si="40"/>
        <v>1</v>
      </c>
      <c r="D460" t="s">
        <v>57</v>
      </c>
      <c r="E460">
        <f t="shared" si="41"/>
        <v>0</v>
      </c>
      <c r="F460" t="s">
        <v>40</v>
      </c>
      <c r="G460">
        <v>7</v>
      </c>
      <c r="H460" s="1">
        <v>70884</v>
      </c>
      <c r="I460" s="10">
        <v>0.25</v>
      </c>
      <c r="J460">
        <v>37.5</v>
      </c>
      <c r="K460" t="s">
        <v>34</v>
      </c>
      <c r="L460">
        <v>42</v>
      </c>
      <c r="M460" t="s">
        <v>29</v>
      </c>
      <c r="N460" t="s">
        <v>42</v>
      </c>
      <c r="O460" t="s">
        <v>31</v>
      </c>
      <c r="P460">
        <v>1</v>
      </c>
      <c r="Q460" t="s">
        <v>32</v>
      </c>
      <c r="R460" t="s">
        <v>37</v>
      </c>
      <c r="S460">
        <v>4</v>
      </c>
      <c r="T460">
        <v>0</v>
      </c>
      <c r="U460">
        <v>20</v>
      </c>
      <c r="V460">
        <v>3</v>
      </c>
      <c r="W460">
        <v>20</v>
      </c>
      <c r="X460">
        <v>16</v>
      </c>
      <c r="Y460">
        <v>11</v>
      </c>
      <c r="Z460">
        <v>6</v>
      </c>
      <c r="AA460" t="str">
        <f t="shared" si="43"/>
        <v>Long Tenure</v>
      </c>
      <c r="AB460" s="5">
        <v>45875</v>
      </c>
      <c r="AC460">
        <f t="shared" si="44"/>
        <v>1</v>
      </c>
      <c r="AD460" t="s">
        <v>49</v>
      </c>
      <c r="AE460">
        <f>VLOOKUP(A460,'Employee Engagement Survey'!A288:B1757,2,FALSE)</f>
        <v>2</v>
      </c>
      <c r="AF460">
        <f>VLOOKUP(A460,'Employee Engagement Survey'!A288:C1757,3,FALSE)</f>
        <v>3</v>
      </c>
      <c r="AG460">
        <f>VLOOKUP(A460,'Employee Engagement Survey'!A288:D1757,4,FALSE)</f>
        <v>3</v>
      </c>
      <c r="AH460">
        <f>VLOOKUP(A460,'Employee Engagement Survey'!A288:E1757,5,FALSE)</f>
        <v>3</v>
      </c>
      <c r="AI460">
        <f t="shared" si="42"/>
        <v>2.75</v>
      </c>
    </row>
    <row r="461" spans="1:35" hidden="1" x14ac:dyDescent="0.4">
      <c r="A461">
        <v>388</v>
      </c>
      <c r="B461" t="s">
        <v>34</v>
      </c>
      <c r="C461">
        <f t="shared" si="40"/>
        <v>1</v>
      </c>
      <c r="D461" t="s">
        <v>57</v>
      </c>
      <c r="E461">
        <f t="shared" si="41"/>
        <v>0</v>
      </c>
      <c r="F461" t="s">
        <v>40</v>
      </c>
      <c r="G461">
        <v>6</v>
      </c>
      <c r="H461" s="1">
        <v>66648</v>
      </c>
      <c r="I461" s="10">
        <v>0.18</v>
      </c>
      <c r="J461">
        <v>37.5</v>
      </c>
      <c r="K461" t="s">
        <v>34</v>
      </c>
      <c r="L461">
        <v>29</v>
      </c>
      <c r="M461" t="s">
        <v>29</v>
      </c>
      <c r="N461" t="s">
        <v>30</v>
      </c>
      <c r="O461" t="s">
        <v>44</v>
      </c>
      <c r="P461">
        <v>2</v>
      </c>
      <c r="Q461" t="s">
        <v>36</v>
      </c>
      <c r="R461" t="s">
        <v>37</v>
      </c>
      <c r="S461">
        <v>3</v>
      </c>
      <c r="T461">
        <v>0</v>
      </c>
      <c r="U461">
        <v>10</v>
      </c>
      <c r="V461">
        <v>3</v>
      </c>
      <c r="W461">
        <v>10</v>
      </c>
      <c r="X461">
        <v>7</v>
      </c>
      <c r="Y461">
        <v>0</v>
      </c>
      <c r="Z461">
        <v>9</v>
      </c>
      <c r="AA461" t="str">
        <f t="shared" si="43"/>
        <v>Long Tenure</v>
      </c>
      <c r="AB461" s="5">
        <v>45165</v>
      </c>
      <c r="AC461">
        <f t="shared" si="44"/>
        <v>0</v>
      </c>
      <c r="AD461" t="s">
        <v>49</v>
      </c>
      <c r="AE461">
        <f>VLOOKUP(A461,'Employee Engagement Survey'!A289:B1758,2,FALSE)</f>
        <v>2</v>
      </c>
      <c r="AF461">
        <f>VLOOKUP(A461,'Employee Engagement Survey'!A289:C1758,3,FALSE)</f>
        <v>4</v>
      </c>
      <c r="AG461">
        <f>VLOOKUP(A461,'Employee Engagement Survey'!A289:D1758,4,FALSE)</f>
        <v>1</v>
      </c>
      <c r="AH461">
        <f>VLOOKUP(A461,'Employee Engagement Survey'!A289:E1758,5,FALSE)</f>
        <v>2</v>
      </c>
      <c r="AI461">
        <f t="shared" si="42"/>
        <v>2.25</v>
      </c>
    </row>
    <row r="462" spans="1:35" hidden="1" x14ac:dyDescent="0.4">
      <c r="A462">
        <v>389</v>
      </c>
      <c r="B462" t="s">
        <v>34</v>
      </c>
      <c r="C462">
        <f t="shared" si="40"/>
        <v>1</v>
      </c>
      <c r="D462" t="s">
        <v>46</v>
      </c>
      <c r="E462">
        <f t="shared" si="41"/>
        <v>0</v>
      </c>
      <c r="F462" t="s">
        <v>28</v>
      </c>
      <c r="G462">
        <v>7</v>
      </c>
      <c r="H462" s="1">
        <v>76980</v>
      </c>
      <c r="I462" s="10">
        <v>0.19</v>
      </c>
      <c r="J462">
        <v>37.5</v>
      </c>
      <c r="K462" t="s">
        <v>26</v>
      </c>
      <c r="L462">
        <v>55</v>
      </c>
      <c r="M462" t="s">
        <v>29</v>
      </c>
      <c r="N462" t="s">
        <v>42</v>
      </c>
      <c r="O462" t="s">
        <v>31</v>
      </c>
      <c r="P462">
        <v>20</v>
      </c>
      <c r="Q462" t="s">
        <v>36</v>
      </c>
      <c r="R462" t="s">
        <v>45</v>
      </c>
      <c r="S462">
        <v>3</v>
      </c>
      <c r="T462">
        <v>1</v>
      </c>
      <c r="U462">
        <v>12</v>
      </c>
      <c r="V462">
        <v>4</v>
      </c>
      <c r="W462">
        <v>10</v>
      </c>
      <c r="X462">
        <v>7</v>
      </c>
      <c r="Y462">
        <v>0</v>
      </c>
      <c r="Z462">
        <v>8</v>
      </c>
      <c r="AA462" t="str">
        <f t="shared" si="43"/>
        <v>Long Tenure</v>
      </c>
      <c r="AB462" s="5">
        <v>45322</v>
      </c>
      <c r="AC462">
        <f t="shared" si="44"/>
        <v>1</v>
      </c>
      <c r="AD462" t="s">
        <v>38</v>
      </c>
      <c r="AE462">
        <f>VLOOKUP(A462,'Employee Engagement Survey'!A290:B1759,2,FALSE)</f>
        <v>2</v>
      </c>
      <c r="AF462">
        <f>VLOOKUP(A462,'Employee Engagement Survey'!A290:C1759,3,FALSE)</f>
        <v>4</v>
      </c>
      <c r="AG462">
        <f>VLOOKUP(A462,'Employee Engagement Survey'!A290:D1759,4,FALSE)</f>
        <v>4</v>
      </c>
      <c r="AH462">
        <f>VLOOKUP(A462,'Employee Engagement Survey'!A290:E1759,5,FALSE)</f>
        <v>3</v>
      </c>
      <c r="AI462">
        <f t="shared" si="42"/>
        <v>3.25</v>
      </c>
    </row>
    <row r="463" spans="1:35" hidden="1" x14ac:dyDescent="0.4">
      <c r="A463">
        <v>390</v>
      </c>
      <c r="B463" t="s">
        <v>34</v>
      </c>
      <c r="C463">
        <f t="shared" si="40"/>
        <v>1</v>
      </c>
      <c r="D463" t="s">
        <v>55</v>
      </c>
      <c r="E463">
        <f t="shared" si="41"/>
        <v>0</v>
      </c>
      <c r="F463" t="s">
        <v>28</v>
      </c>
      <c r="G463">
        <v>6</v>
      </c>
      <c r="H463" s="1">
        <v>68892</v>
      </c>
      <c r="I463" s="10">
        <v>0.13</v>
      </c>
      <c r="J463">
        <v>37.5</v>
      </c>
      <c r="K463" t="s">
        <v>26</v>
      </c>
      <c r="L463">
        <v>26</v>
      </c>
      <c r="M463" t="s">
        <v>29</v>
      </c>
      <c r="N463" t="s">
        <v>42</v>
      </c>
      <c r="O463" t="s">
        <v>44</v>
      </c>
      <c r="P463">
        <v>11</v>
      </c>
      <c r="Q463" t="s">
        <v>36</v>
      </c>
      <c r="R463" t="s">
        <v>33</v>
      </c>
      <c r="S463">
        <v>3</v>
      </c>
      <c r="T463">
        <v>1</v>
      </c>
      <c r="U463">
        <v>5</v>
      </c>
      <c r="V463">
        <v>3</v>
      </c>
      <c r="W463">
        <v>5</v>
      </c>
      <c r="X463">
        <v>3</v>
      </c>
      <c r="Y463">
        <v>3</v>
      </c>
      <c r="Z463">
        <v>3</v>
      </c>
      <c r="AA463" t="str">
        <f t="shared" si="43"/>
        <v>Mid Tenure</v>
      </c>
      <c r="AB463" s="5">
        <v>45799</v>
      </c>
      <c r="AC463">
        <f t="shared" si="44"/>
        <v>1</v>
      </c>
      <c r="AD463" t="s">
        <v>49</v>
      </c>
      <c r="AE463">
        <f>VLOOKUP(A463,'Employee Engagement Survey'!A291:B1760,2,FALSE)</f>
        <v>1</v>
      </c>
      <c r="AF463">
        <f>VLOOKUP(A463,'Employee Engagement Survey'!A291:C1760,3,FALSE)</f>
        <v>1</v>
      </c>
      <c r="AG463">
        <f>VLOOKUP(A463,'Employee Engagement Survey'!A291:D1760,4,FALSE)</f>
        <v>3</v>
      </c>
      <c r="AH463">
        <f>VLOOKUP(A463,'Employee Engagement Survey'!A291:E1760,5,FALSE)</f>
        <v>3</v>
      </c>
      <c r="AI463">
        <f t="shared" si="42"/>
        <v>2</v>
      </c>
    </row>
    <row r="464" spans="1:35" hidden="1" x14ac:dyDescent="0.4">
      <c r="A464">
        <v>393</v>
      </c>
      <c r="B464" t="s">
        <v>34</v>
      </c>
      <c r="C464">
        <f t="shared" si="40"/>
        <v>1</v>
      </c>
      <c r="D464" t="s">
        <v>55</v>
      </c>
      <c r="E464">
        <f t="shared" si="41"/>
        <v>0</v>
      </c>
      <c r="F464" t="s">
        <v>28</v>
      </c>
      <c r="G464">
        <v>7</v>
      </c>
      <c r="H464" s="1">
        <v>80940</v>
      </c>
      <c r="I464" s="10">
        <v>0.14000000000000001</v>
      </c>
      <c r="J464">
        <v>37.5</v>
      </c>
      <c r="K464" t="s">
        <v>34</v>
      </c>
      <c r="L464">
        <v>38</v>
      </c>
      <c r="M464" t="s">
        <v>29</v>
      </c>
      <c r="N464" t="s">
        <v>48</v>
      </c>
      <c r="O464" t="s">
        <v>31</v>
      </c>
      <c r="P464">
        <v>23</v>
      </c>
      <c r="Q464" t="s">
        <v>51</v>
      </c>
      <c r="R464" t="s">
        <v>37</v>
      </c>
      <c r="S464">
        <v>3</v>
      </c>
      <c r="T464">
        <v>1</v>
      </c>
      <c r="U464">
        <v>10</v>
      </c>
      <c r="V464">
        <v>2</v>
      </c>
      <c r="W464">
        <v>2</v>
      </c>
      <c r="X464">
        <v>2</v>
      </c>
      <c r="Y464">
        <v>1</v>
      </c>
      <c r="Z464">
        <v>2</v>
      </c>
      <c r="AA464" t="str">
        <f t="shared" si="43"/>
        <v>Early Tenure</v>
      </c>
      <c r="AB464" s="5">
        <v>45778</v>
      </c>
      <c r="AC464">
        <f t="shared" si="44"/>
        <v>1</v>
      </c>
      <c r="AD464" t="s">
        <v>49</v>
      </c>
      <c r="AE464">
        <f>VLOOKUP(A464,'Employee Engagement Survey'!A294:B1763,2,FALSE)</f>
        <v>4</v>
      </c>
      <c r="AF464">
        <f>VLOOKUP(A464,'Employee Engagement Survey'!A294:C1763,3,FALSE)</f>
        <v>4</v>
      </c>
      <c r="AG464">
        <f>VLOOKUP(A464,'Employee Engagement Survey'!A294:D1763,4,FALSE)</f>
        <v>2</v>
      </c>
      <c r="AH464">
        <f>VLOOKUP(A464,'Employee Engagement Survey'!A294:E1763,5,FALSE)</f>
        <v>3</v>
      </c>
      <c r="AI464">
        <f t="shared" si="42"/>
        <v>3.25</v>
      </c>
    </row>
    <row r="465" spans="1:35" hidden="1" x14ac:dyDescent="0.4">
      <c r="A465">
        <v>397</v>
      </c>
      <c r="B465" t="s">
        <v>34</v>
      </c>
      <c r="C465">
        <f t="shared" si="40"/>
        <v>1</v>
      </c>
      <c r="D465" t="s">
        <v>27</v>
      </c>
      <c r="E465">
        <f t="shared" si="41"/>
        <v>0</v>
      </c>
      <c r="F465" t="s">
        <v>28</v>
      </c>
      <c r="G465">
        <v>6</v>
      </c>
      <c r="H465" s="1">
        <v>65820</v>
      </c>
      <c r="I465" s="10">
        <v>0.12</v>
      </c>
      <c r="J465">
        <v>37.5</v>
      </c>
      <c r="K465" t="s">
        <v>34</v>
      </c>
      <c r="L465">
        <v>36</v>
      </c>
      <c r="M465" t="s">
        <v>29</v>
      </c>
      <c r="N465" t="s">
        <v>30</v>
      </c>
      <c r="O465" t="s">
        <v>31</v>
      </c>
      <c r="P465">
        <v>3</v>
      </c>
      <c r="Q465" t="s">
        <v>43</v>
      </c>
      <c r="R465" t="s">
        <v>45</v>
      </c>
      <c r="S465">
        <v>3</v>
      </c>
      <c r="T465">
        <v>0</v>
      </c>
      <c r="U465">
        <v>10</v>
      </c>
      <c r="V465">
        <v>2</v>
      </c>
      <c r="W465">
        <v>8</v>
      </c>
      <c r="X465">
        <v>0</v>
      </c>
      <c r="Y465">
        <v>7</v>
      </c>
      <c r="Z465">
        <v>7</v>
      </c>
      <c r="AA465" t="str">
        <f t="shared" si="43"/>
        <v>Mid Tenure</v>
      </c>
      <c r="AB465" s="5">
        <v>45792</v>
      </c>
      <c r="AC465">
        <f t="shared" si="44"/>
        <v>1</v>
      </c>
      <c r="AD465" t="s">
        <v>49</v>
      </c>
      <c r="AE465">
        <f>VLOOKUP(A465,'Employee Engagement Survey'!A296:B1765,2,FALSE)</f>
        <v>3</v>
      </c>
      <c r="AF465">
        <f>VLOOKUP(A465,'Employee Engagement Survey'!A296:C1765,3,FALSE)</f>
        <v>2</v>
      </c>
      <c r="AG465">
        <f>VLOOKUP(A465,'Employee Engagement Survey'!A296:D1765,4,FALSE)</f>
        <v>4</v>
      </c>
      <c r="AH465">
        <f>VLOOKUP(A465,'Employee Engagement Survey'!A296:E1765,5,FALSE)</f>
        <v>3</v>
      </c>
      <c r="AI465">
        <f t="shared" si="42"/>
        <v>3</v>
      </c>
    </row>
    <row r="466" spans="1:35" hidden="1" x14ac:dyDescent="0.4">
      <c r="A466">
        <v>403</v>
      </c>
      <c r="B466" t="s">
        <v>34</v>
      </c>
      <c r="C466">
        <f t="shared" si="40"/>
        <v>1</v>
      </c>
      <c r="D466" t="s">
        <v>27</v>
      </c>
      <c r="E466">
        <f t="shared" si="41"/>
        <v>0</v>
      </c>
      <c r="F466" t="s">
        <v>28</v>
      </c>
      <c r="G466">
        <v>4</v>
      </c>
      <c r="H466" s="1">
        <v>51912</v>
      </c>
      <c r="I466" s="10">
        <v>0.12</v>
      </c>
      <c r="J466">
        <v>37.5</v>
      </c>
      <c r="K466" t="s">
        <v>26</v>
      </c>
      <c r="L466">
        <v>37</v>
      </c>
      <c r="M466" t="s">
        <v>29</v>
      </c>
      <c r="N466" t="s">
        <v>42</v>
      </c>
      <c r="O466" t="s">
        <v>44</v>
      </c>
      <c r="P466">
        <v>9</v>
      </c>
      <c r="Q466" t="s">
        <v>43</v>
      </c>
      <c r="R466" t="s">
        <v>33</v>
      </c>
      <c r="S466">
        <v>3</v>
      </c>
      <c r="T466">
        <v>3</v>
      </c>
      <c r="U466">
        <v>4</v>
      </c>
      <c r="V466">
        <v>3</v>
      </c>
      <c r="W466">
        <v>4</v>
      </c>
      <c r="X466">
        <v>2</v>
      </c>
      <c r="Y466">
        <v>1</v>
      </c>
      <c r="Z466">
        <v>2</v>
      </c>
      <c r="AA466" t="str">
        <f t="shared" si="43"/>
        <v>Mid Tenure</v>
      </c>
      <c r="AB466" s="5">
        <v>45633</v>
      </c>
      <c r="AC466">
        <f t="shared" si="44"/>
        <v>1</v>
      </c>
      <c r="AD466" t="s">
        <v>49</v>
      </c>
      <c r="AE466">
        <f>VLOOKUP(A466,'Employee Engagement Survey'!A298:B1767,2,FALSE)</f>
        <v>2</v>
      </c>
      <c r="AF466">
        <f>VLOOKUP(A466,'Employee Engagement Survey'!A298:C1767,3,FALSE)</f>
        <v>4</v>
      </c>
      <c r="AG466">
        <f>VLOOKUP(A466,'Employee Engagement Survey'!A298:D1767,4,FALSE)</f>
        <v>3</v>
      </c>
      <c r="AH466">
        <f>VLOOKUP(A466,'Employee Engagement Survey'!A298:E1767,5,FALSE)</f>
        <v>2</v>
      </c>
      <c r="AI466">
        <f t="shared" si="42"/>
        <v>2.75</v>
      </c>
    </row>
    <row r="467" spans="1:35" hidden="1" x14ac:dyDescent="0.4">
      <c r="A467">
        <v>406</v>
      </c>
      <c r="B467" t="s">
        <v>34</v>
      </c>
      <c r="C467">
        <f t="shared" si="40"/>
        <v>1</v>
      </c>
      <c r="D467" t="s">
        <v>57</v>
      </c>
      <c r="E467">
        <f t="shared" si="41"/>
        <v>0</v>
      </c>
      <c r="F467" t="s">
        <v>40</v>
      </c>
      <c r="G467">
        <v>9</v>
      </c>
      <c r="H467" s="1">
        <v>108240</v>
      </c>
      <c r="I467" s="10">
        <v>0.15</v>
      </c>
      <c r="J467">
        <v>37.5</v>
      </c>
      <c r="K467" t="s">
        <v>34</v>
      </c>
      <c r="L467">
        <v>35</v>
      </c>
      <c r="M467" t="s">
        <v>29</v>
      </c>
      <c r="N467" t="s">
        <v>42</v>
      </c>
      <c r="O467" t="s">
        <v>31</v>
      </c>
      <c r="P467">
        <v>16</v>
      </c>
      <c r="Q467" t="s">
        <v>43</v>
      </c>
      <c r="R467" t="s">
        <v>56</v>
      </c>
      <c r="S467">
        <v>3</v>
      </c>
      <c r="T467">
        <v>2</v>
      </c>
      <c r="U467">
        <v>12</v>
      </c>
      <c r="V467">
        <v>3</v>
      </c>
      <c r="W467">
        <v>11</v>
      </c>
      <c r="X467">
        <v>9</v>
      </c>
      <c r="Y467">
        <v>6</v>
      </c>
      <c r="Z467">
        <v>9</v>
      </c>
      <c r="AA467" t="str">
        <f t="shared" si="43"/>
        <v>Long Tenure</v>
      </c>
      <c r="AB467" s="5">
        <v>45229</v>
      </c>
      <c r="AC467">
        <f t="shared" si="44"/>
        <v>0</v>
      </c>
      <c r="AD467" t="s">
        <v>49</v>
      </c>
      <c r="AE467">
        <f>VLOOKUP(A467,'Employee Engagement Survey'!A299:B1768,2,FALSE)</f>
        <v>3</v>
      </c>
      <c r="AF467">
        <f>VLOOKUP(A467,'Employee Engagement Survey'!A299:C1768,3,FALSE)</f>
        <v>2</v>
      </c>
      <c r="AG467">
        <f>VLOOKUP(A467,'Employee Engagement Survey'!A299:D1768,4,FALSE)</f>
        <v>3</v>
      </c>
      <c r="AH467">
        <f>VLOOKUP(A467,'Employee Engagement Survey'!A299:E1768,5,FALSE)</f>
        <v>2</v>
      </c>
      <c r="AI467">
        <f t="shared" si="42"/>
        <v>2.5</v>
      </c>
    </row>
    <row r="468" spans="1:35" hidden="1" x14ac:dyDescent="0.4">
      <c r="A468">
        <v>407</v>
      </c>
      <c r="B468" t="s">
        <v>34</v>
      </c>
      <c r="C468">
        <f t="shared" si="40"/>
        <v>1</v>
      </c>
      <c r="D468" t="s">
        <v>46</v>
      </c>
      <c r="E468">
        <f t="shared" si="41"/>
        <v>0</v>
      </c>
      <c r="F468" t="s">
        <v>28</v>
      </c>
      <c r="G468">
        <v>6</v>
      </c>
      <c r="H468" s="1">
        <v>68256</v>
      </c>
      <c r="I468" s="10">
        <v>0.18</v>
      </c>
      <c r="J468">
        <v>37.5</v>
      </c>
      <c r="K468" t="s">
        <v>34</v>
      </c>
      <c r="L468">
        <v>36</v>
      </c>
      <c r="M468" t="s">
        <v>29</v>
      </c>
      <c r="N468" t="s">
        <v>42</v>
      </c>
      <c r="O468" t="s">
        <v>44</v>
      </c>
      <c r="P468">
        <v>18</v>
      </c>
      <c r="Q468" t="s">
        <v>51</v>
      </c>
      <c r="R468" t="s">
        <v>37</v>
      </c>
      <c r="S468">
        <v>3</v>
      </c>
      <c r="T468">
        <v>2</v>
      </c>
      <c r="U468">
        <v>4</v>
      </c>
      <c r="V468">
        <v>2</v>
      </c>
      <c r="W468">
        <v>1</v>
      </c>
      <c r="X468">
        <v>0</v>
      </c>
      <c r="Y468">
        <v>0</v>
      </c>
      <c r="Z468">
        <v>0</v>
      </c>
      <c r="AA468" t="str">
        <f t="shared" si="43"/>
        <v>Early Tenure</v>
      </c>
      <c r="AB468" s="5">
        <v>46011</v>
      </c>
      <c r="AC468">
        <f t="shared" si="44"/>
        <v>1</v>
      </c>
      <c r="AD468" t="s">
        <v>49</v>
      </c>
      <c r="AE468">
        <f>VLOOKUP(A468,'Employee Engagement Survey'!A300:B1769,2,FALSE)</f>
        <v>3</v>
      </c>
      <c r="AF468">
        <f>VLOOKUP(A468,'Employee Engagement Survey'!A300:C1769,3,FALSE)</f>
        <v>4</v>
      </c>
      <c r="AG468">
        <f>VLOOKUP(A468,'Employee Engagement Survey'!A300:D1769,4,FALSE)</f>
        <v>4</v>
      </c>
      <c r="AH468">
        <f>VLOOKUP(A468,'Employee Engagement Survey'!A300:E1769,5,FALSE)</f>
        <v>3</v>
      </c>
      <c r="AI468">
        <f t="shared" si="42"/>
        <v>3.5</v>
      </c>
    </row>
    <row r="469" spans="1:35" hidden="1" x14ac:dyDescent="0.4">
      <c r="A469">
        <v>408</v>
      </c>
      <c r="B469" t="s">
        <v>34</v>
      </c>
      <c r="C469">
        <f t="shared" si="40"/>
        <v>1</v>
      </c>
      <c r="D469" t="s">
        <v>54</v>
      </c>
      <c r="E469">
        <f t="shared" si="41"/>
        <v>1</v>
      </c>
      <c r="F469" t="s">
        <v>28</v>
      </c>
      <c r="G469">
        <v>7</v>
      </c>
      <c r="H469" s="1">
        <v>77784</v>
      </c>
      <c r="I469" s="10">
        <v>0.18</v>
      </c>
      <c r="J469">
        <v>37.5</v>
      </c>
      <c r="K469" t="s">
        <v>34</v>
      </c>
      <c r="L469">
        <v>51</v>
      </c>
      <c r="M469" t="s">
        <v>29</v>
      </c>
      <c r="N469" t="s">
        <v>48</v>
      </c>
      <c r="O469" t="s">
        <v>31</v>
      </c>
      <c r="P469">
        <v>2</v>
      </c>
      <c r="Q469" t="s">
        <v>43</v>
      </c>
      <c r="R469" t="s">
        <v>33</v>
      </c>
      <c r="S469">
        <v>3</v>
      </c>
      <c r="T469">
        <v>1</v>
      </c>
      <c r="U469">
        <v>13</v>
      </c>
      <c r="V469">
        <v>3</v>
      </c>
      <c r="W469">
        <v>4</v>
      </c>
      <c r="X469">
        <v>1</v>
      </c>
      <c r="Y469">
        <v>1</v>
      </c>
      <c r="Z469">
        <v>2</v>
      </c>
      <c r="AA469" t="str">
        <f t="shared" si="43"/>
        <v>Mid Tenure</v>
      </c>
      <c r="AB469" s="5">
        <v>45208</v>
      </c>
      <c r="AC469">
        <f t="shared" si="44"/>
        <v>0</v>
      </c>
      <c r="AD469" t="s">
        <v>49</v>
      </c>
      <c r="AE469">
        <f>VLOOKUP(A469,'Employee Engagement Survey'!A301:B1770,2,FALSE)</f>
        <v>4</v>
      </c>
      <c r="AF469">
        <f>VLOOKUP(A469,'Employee Engagement Survey'!A301:C1770,3,FALSE)</f>
        <v>2</v>
      </c>
      <c r="AG469">
        <f>VLOOKUP(A469,'Employee Engagement Survey'!A301:D1770,4,FALSE)</f>
        <v>4</v>
      </c>
      <c r="AH469">
        <f>VLOOKUP(A469,'Employee Engagement Survey'!A301:E1770,5,FALSE)</f>
        <v>3</v>
      </c>
      <c r="AI469">
        <f t="shared" si="42"/>
        <v>3.25</v>
      </c>
    </row>
    <row r="470" spans="1:35" hidden="1" x14ac:dyDescent="0.4">
      <c r="A470">
        <v>410</v>
      </c>
      <c r="B470" t="s">
        <v>34</v>
      </c>
      <c r="C470">
        <f t="shared" si="40"/>
        <v>1</v>
      </c>
      <c r="D470" t="s">
        <v>110</v>
      </c>
      <c r="E470">
        <f t="shared" si="41"/>
        <v>1</v>
      </c>
      <c r="F470" t="s">
        <v>40</v>
      </c>
      <c r="G470">
        <v>4</v>
      </c>
      <c r="H470" s="1">
        <v>204180</v>
      </c>
      <c r="I470" s="10">
        <v>0.19</v>
      </c>
      <c r="J470">
        <v>37.5</v>
      </c>
      <c r="K470" t="s">
        <v>34</v>
      </c>
      <c r="L470">
        <v>41</v>
      </c>
      <c r="M470" t="s">
        <v>29</v>
      </c>
      <c r="N470" t="s">
        <v>30</v>
      </c>
      <c r="O470" t="s">
        <v>31</v>
      </c>
      <c r="P470">
        <v>2</v>
      </c>
      <c r="Q470" t="s">
        <v>51</v>
      </c>
      <c r="R470" t="s">
        <v>37</v>
      </c>
      <c r="S470">
        <v>3</v>
      </c>
      <c r="T470">
        <v>0</v>
      </c>
      <c r="U470">
        <v>22</v>
      </c>
      <c r="V470">
        <v>2</v>
      </c>
      <c r="W470">
        <v>22</v>
      </c>
      <c r="X470">
        <v>10</v>
      </c>
      <c r="Y470">
        <v>0</v>
      </c>
      <c r="Z470">
        <v>4</v>
      </c>
      <c r="AA470" t="str">
        <f t="shared" si="43"/>
        <v>Long Tenure</v>
      </c>
      <c r="AB470" s="5">
        <v>45244</v>
      </c>
      <c r="AC470">
        <f t="shared" si="44"/>
        <v>0</v>
      </c>
      <c r="AD470" t="s">
        <v>38</v>
      </c>
      <c r="AE470">
        <f>VLOOKUP(A470,'Employee Engagement Survey'!A303:B1772,2,FALSE)</f>
        <v>4</v>
      </c>
      <c r="AF470">
        <f>VLOOKUP(A470,'Employee Engagement Survey'!A303:C1772,3,FALSE)</f>
        <v>2</v>
      </c>
      <c r="AG470">
        <f>VLOOKUP(A470,'Employee Engagement Survey'!A303:D1772,4,FALSE)</f>
        <v>2</v>
      </c>
      <c r="AH470">
        <f>VLOOKUP(A470,'Employee Engagement Survey'!A303:E1772,5,FALSE)</f>
        <v>3</v>
      </c>
      <c r="AI470">
        <f t="shared" si="42"/>
        <v>2.75</v>
      </c>
    </row>
    <row r="471" spans="1:35" hidden="1" x14ac:dyDescent="0.4">
      <c r="A471">
        <v>412</v>
      </c>
      <c r="B471" t="s">
        <v>34</v>
      </c>
      <c r="C471">
        <f t="shared" si="40"/>
        <v>1</v>
      </c>
      <c r="D471" t="s">
        <v>55</v>
      </c>
      <c r="E471">
        <f t="shared" si="41"/>
        <v>0</v>
      </c>
      <c r="F471" t="s">
        <v>28</v>
      </c>
      <c r="G471">
        <v>7</v>
      </c>
      <c r="H471" s="1">
        <v>79932</v>
      </c>
      <c r="I471" s="10">
        <v>0.19</v>
      </c>
      <c r="J471">
        <v>37.5</v>
      </c>
      <c r="K471" t="s">
        <v>34</v>
      </c>
      <c r="L471">
        <v>28</v>
      </c>
      <c r="M471" t="s">
        <v>29</v>
      </c>
      <c r="N471" t="s">
        <v>30</v>
      </c>
      <c r="O471" t="s">
        <v>31</v>
      </c>
      <c r="P471">
        <v>16</v>
      </c>
      <c r="Q471" t="s">
        <v>36</v>
      </c>
      <c r="R471" t="s">
        <v>33</v>
      </c>
      <c r="S471">
        <v>3</v>
      </c>
      <c r="T471">
        <v>0</v>
      </c>
      <c r="U471">
        <v>9</v>
      </c>
      <c r="V471">
        <v>2</v>
      </c>
      <c r="W471">
        <v>8</v>
      </c>
      <c r="X471">
        <v>3</v>
      </c>
      <c r="Y471">
        <v>0</v>
      </c>
      <c r="Z471">
        <v>7</v>
      </c>
      <c r="AA471" t="str">
        <f t="shared" si="43"/>
        <v>Mid Tenure</v>
      </c>
      <c r="AB471" s="5">
        <v>45091</v>
      </c>
      <c r="AC471">
        <f t="shared" si="44"/>
        <v>0</v>
      </c>
      <c r="AD471" t="s">
        <v>38</v>
      </c>
      <c r="AE471">
        <f>VLOOKUP(A471,'Employee Engagement Survey'!A305:B1774,2,FALSE)</f>
        <v>2</v>
      </c>
      <c r="AF471">
        <f>VLOOKUP(A471,'Employee Engagement Survey'!A305:C1774,3,FALSE)</f>
        <v>1</v>
      </c>
      <c r="AG471">
        <f>VLOOKUP(A471,'Employee Engagement Survey'!A305:D1774,4,FALSE)</f>
        <v>3</v>
      </c>
      <c r="AH471">
        <f>VLOOKUP(A471,'Employee Engagement Survey'!A305:E1774,5,FALSE)</f>
        <v>3</v>
      </c>
      <c r="AI471">
        <f t="shared" si="42"/>
        <v>2.25</v>
      </c>
    </row>
    <row r="472" spans="1:35" hidden="1" x14ac:dyDescent="0.4">
      <c r="A472">
        <v>416</v>
      </c>
      <c r="B472" t="s">
        <v>34</v>
      </c>
      <c r="C472">
        <f t="shared" si="40"/>
        <v>1</v>
      </c>
      <c r="D472" t="s">
        <v>57</v>
      </c>
      <c r="E472">
        <f t="shared" si="41"/>
        <v>0</v>
      </c>
      <c r="F472" t="s">
        <v>40</v>
      </c>
      <c r="G472">
        <v>8</v>
      </c>
      <c r="H472" s="1">
        <v>95148</v>
      </c>
      <c r="I472" s="10">
        <v>0.11</v>
      </c>
      <c r="J472">
        <v>37.5</v>
      </c>
      <c r="K472" t="s">
        <v>34</v>
      </c>
      <c r="L472">
        <v>31</v>
      </c>
      <c r="M472" t="s">
        <v>29</v>
      </c>
      <c r="N472" t="s">
        <v>42</v>
      </c>
      <c r="O472" t="s">
        <v>31</v>
      </c>
      <c r="P472">
        <v>7</v>
      </c>
      <c r="Q472" t="s">
        <v>43</v>
      </c>
      <c r="R472" t="s">
        <v>45</v>
      </c>
      <c r="S472">
        <v>3</v>
      </c>
      <c r="T472">
        <v>1</v>
      </c>
      <c r="U472">
        <v>10</v>
      </c>
      <c r="V472">
        <v>3</v>
      </c>
      <c r="W472">
        <v>8</v>
      </c>
      <c r="X472">
        <v>7</v>
      </c>
      <c r="Y472">
        <v>7</v>
      </c>
      <c r="Z472">
        <v>7</v>
      </c>
      <c r="AA472" t="str">
        <f t="shared" si="43"/>
        <v>Mid Tenure</v>
      </c>
      <c r="AB472" s="5">
        <v>45865</v>
      </c>
      <c r="AC472">
        <f t="shared" si="44"/>
        <v>1</v>
      </c>
      <c r="AD472" t="s">
        <v>38</v>
      </c>
      <c r="AE472">
        <f>VLOOKUP(A472,'Employee Engagement Survey'!A306:B1775,2,FALSE)</f>
        <v>2</v>
      </c>
      <c r="AF472">
        <f>VLOOKUP(A472,'Employee Engagement Survey'!A306:C1775,3,FALSE)</f>
        <v>4</v>
      </c>
      <c r="AG472">
        <f>VLOOKUP(A472,'Employee Engagement Survey'!A306:D1775,4,FALSE)</f>
        <v>2</v>
      </c>
      <c r="AH472">
        <f>VLOOKUP(A472,'Employee Engagement Survey'!A306:E1775,5,FALSE)</f>
        <v>2</v>
      </c>
      <c r="AI472">
        <f t="shared" si="42"/>
        <v>2.5</v>
      </c>
    </row>
    <row r="473" spans="1:35" hidden="1" x14ac:dyDescent="0.4">
      <c r="A473">
        <v>417</v>
      </c>
      <c r="B473" t="s">
        <v>34</v>
      </c>
      <c r="C473">
        <f t="shared" si="40"/>
        <v>1</v>
      </c>
      <c r="D473" t="s">
        <v>55</v>
      </c>
      <c r="E473">
        <f t="shared" si="41"/>
        <v>0</v>
      </c>
      <c r="F473" t="s">
        <v>28</v>
      </c>
      <c r="G473">
        <v>9</v>
      </c>
      <c r="H473" s="1">
        <v>127356</v>
      </c>
      <c r="I473" s="10">
        <v>0.17</v>
      </c>
      <c r="J473">
        <v>37.5</v>
      </c>
      <c r="K473" t="s">
        <v>34</v>
      </c>
      <c r="L473">
        <v>39</v>
      </c>
      <c r="M473" t="s">
        <v>29</v>
      </c>
      <c r="N473" t="s">
        <v>48</v>
      </c>
      <c r="O473" t="s">
        <v>31</v>
      </c>
      <c r="P473">
        <v>1</v>
      </c>
      <c r="Q473" t="s">
        <v>43</v>
      </c>
      <c r="R473" t="s">
        <v>33</v>
      </c>
      <c r="S473">
        <v>3</v>
      </c>
      <c r="T473">
        <v>3</v>
      </c>
      <c r="U473">
        <v>19</v>
      </c>
      <c r="V473">
        <v>5</v>
      </c>
      <c r="W473">
        <v>18</v>
      </c>
      <c r="X473">
        <v>10</v>
      </c>
      <c r="Y473">
        <v>3</v>
      </c>
      <c r="Z473">
        <v>7</v>
      </c>
      <c r="AA473" t="str">
        <f t="shared" si="43"/>
        <v>Long Tenure</v>
      </c>
      <c r="AB473" s="5">
        <v>45966</v>
      </c>
      <c r="AC473">
        <f t="shared" si="44"/>
        <v>1</v>
      </c>
      <c r="AD473" t="s">
        <v>38</v>
      </c>
      <c r="AE473">
        <f>VLOOKUP(A473,'Employee Engagement Survey'!A307:B1776,2,FALSE)</f>
        <v>3</v>
      </c>
      <c r="AF473">
        <f>VLOOKUP(A473,'Employee Engagement Survey'!A307:C1776,3,FALSE)</f>
        <v>4</v>
      </c>
      <c r="AG473">
        <f>VLOOKUP(A473,'Employee Engagement Survey'!A307:D1776,4,FALSE)</f>
        <v>1</v>
      </c>
      <c r="AH473">
        <f>VLOOKUP(A473,'Employee Engagement Survey'!A307:E1776,5,FALSE)</f>
        <v>2</v>
      </c>
      <c r="AI473">
        <f t="shared" si="42"/>
        <v>2.5</v>
      </c>
    </row>
    <row r="474" spans="1:35" hidden="1" x14ac:dyDescent="0.4">
      <c r="A474">
        <v>420</v>
      </c>
      <c r="B474" t="s">
        <v>34</v>
      </c>
      <c r="C474">
        <f t="shared" si="40"/>
        <v>1</v>
      </c>
      <c r="D474" t="s">
        <v>57</v>
      </c>
      <c r="E474">
        <f t="shared" si="41"/>
        <v>0</v>
      </c>
      <c r="F474" t="s">
        <v>40</v>
      </c>
      <c r="G474">
        <v>7</v>
      </c>
      <c r="H474" s="1">
        <v>77808</v>
      </c>
      <c r="I474" s="10">
        <v>0.14000000000000001</v>
      </c>
      <c r="J474">
        <v>37.5</v>
      </c>
      <c r="K474" t="s">
        <v>34</v>
      </c>
      <c r="L474">
        <v>32</v>
      </c>
      <c r="M474" t="s">
        <v>29</v>
      </c>
      <c r="N474" t="s">
        <v>42</v>
      </c>
      <c r="O474" t="s">
        <v>31</v>
      </c>
      <c r="P474">
        <v>7</v>
      </c>
      <c r="Q474" t="s">
        <v>43</v>
      </c>
      <c r="R474" t="s">
        <v>37</v>
      </c>
      <c r="S474">
        <v>3</v>
      </c>
      <c r="T474">
        <v>1</v>
      </c>
      <c r="U474">
        <v>13</v>
      </c>
      <c r="V474">
        <v>3</v>
      </c>
      <c r="W474">
        <v>13</v>
      </c>
      <c r="X474">
        <v>8</v>
      </c>
      <c r="Y474">
        <v>4</v>
      </c>
      <c r="Z474">
        <v>8</v>
      </c>
      <c r="AA474" t="str">
        <f t="shared" si="43"/>
        <v>Long Tenure</v>
      </c>
      <c r="AB474" s="5">
        <v>45900</v>
      </c>
      <c r="AC474">
        <f t="shared" si="44"/>
        <v>1</v>
      </c>
      <c r="AD474" t="s">
        <v>49</v>
      </c>
      <c r="AE474">
        <f>VLOOKUP(A474,'Employee Engagement Survey'!A308:B1777,2,FALSE)</f>
        <v>4</v>
      </c>
      <c r="AF474">
        <f>VLOOKUP(A474,'Employee Engagement Survey'!A308:C1777,3,FALSE)</f>
        <v>3</v>
      </c>
      <c r="AG474">
        <f>VLOOKUP(A474,'Employee Engagement Survey'!A308:D1777,4,FALSE)</f>
        <v>3</v>
      </c>
      <c r="AH474">
        <f>VLOOKUP(A474,'Employee Engagement Survey'!A308:E1777,5,FALSE)</f>
        <v>2</v>
      </c>
      <c r="AI474">
        <f t="shared" si="42"/>
        <v>3</v>
      </c>
    </row>
    <row r="475" spans="1:35" hidden="1" x14ac:dyDescent="0.4">
      <c r="A475">
        <v>422</v>
      </c>
      <c r="B475" t="s">
        <v>34</v>
      </c>
      <c r="C475">
        <f t="shared" si="40"/>
        <v>1</v>
      </c>
      <c r="D475" t="s">
        <v>55</v>
      </c>
      <c r="E475">
        <f t="shared" si="41"/>
        <v>0</v>
      </c>
      <c r="F475" t="s">
        <v>28</v>
      </c>
      <c r="G475">
        <v>7</v>
      </c>
      <c r="H475" s="1">
        <v>79920</v>
      </c>
      <c r="I475" s="10">
        <v>0.13</v>
      </c>
      <c r="J475">
        <v>37.5</v>
      </c>
      <c r="K475" t="s">
        <v>26</v>
      </c>
      <c r="L475">
        <v>58</v>
      </c>
      <c r="M475" t="s">
        <v>29</v>
      </c>
      <c r="N475" t="s">
        <v>48</v>
      </c>
      <c r="O475" t="s">
        <v>35</v>
      </c>
      <c r="P475">
        <v>1</v>
      </c>
      <c r="Q475" t="s">
        <v>51</v>
      </c>
      <c r="R475" t="s">
        <v>37</v>
      </c>
      <c r="S475">
        <v>3</v>
      </c>
      <c r="T475">
        <v>1</v>
      </c>
      <c r="U475">
        <v>12</v>
      </c>
      <c r="V475">
        <v>2</v>
      </c>
      <c r="W475">
        <v>5</v>
      </c>
      <c r="X475">
        <v>3</v>
      </c>
      <c r="Y475">
        <v>1</v>
      </c>
      <c r="Z475">
        <v>2</v>
      </c>
      <c r="AA475" t="str">
        <f t="shared" si="43"/>
        <v>Mid Tenure</v>
      </c>
      <c r="AB475" s="5">
        <v>45286</v>
      </c>
      <c r="AC475">
        <f t="shared" si="44"/>
        <v>0</v>
      </c>
      <c r="AD475" t="s">
        <v>38</v>
      </c>
      <c r="AE475">
        <f>VLOOKUP(A475,'Employee Engagement Survey'!A309:B1778,2,FALSE)</f>
        <v>4</v>
      </c>
      <c r="AF475">
        <f>VLOOKUP(A475,'Employee Engagement Survey'!A309:C1778,3,FALSE)</f>
        <v>3</v>
      </c>
      <c r="AG475">
        <f>VLOOKUP(A475,'Employee Engagement Survey'!A309:D1778,4,FALSE)</f>
        <v>4</v>
      </c>
      <c r="AH475">
        <f>VLOOKUP(A475,'Employee Engagement Survey'!A309:E1778,5,FALSE)</f>
        <v>3</v>
      </c>
      <c r="AI475">
        <f t="shared" si="42"/>
        <v>3.5</v>
      </c>
    </row>
    <row r="476" spans="1:35" hidden="1" x14ac:dyDescent="0.4">
      <c r="A476">
        <v>423</v>
      </c>
      <c r="B476" t="s">
        <v>34</v>
      </c>
      <c r="C476">
        <f t="shared" si="40"/>
        <v>1</v>
      </c>
      <c r="D476" t="s">
        <v>27</v>
      </c>
      <c r="E476">
        <f t="shared" si="41"/>
        <v>0</v>
      </c>
      <c r="F476" t="s">
        <v>28</v>
      </c>
      <c r="G476">
        <v>6</v>
      </c>
      <c r="H476" s="1">
        <v>69852</v>
      </c>
      <c r="I476" s="10">
        <v>0.12</v>
      </c>
      <c r="J476">
        <v>37.5</v>
      </c>
      <c r="K476" t="s">
        <v>26</v>
      </c>
      <c r="L476">
        <v>31</v>
      </c>
      <c r="M476" t="s">
        <v>29</v>
      </c>
      <c r="N476" t="s">
        <v>42</v>
      </c>
      <c r="O476" t="s">
        <v>31</v>
      </c>
      <c r="P476">
        <v>5</v>
      </c>
      <c r="Q476" t="s">
        <v>51</v>
      </c>
      <c r="R476" t="s">
        <v>45</v>
      </c>
      <c r="S476">
        <v>3</v>
      </c>
      <c r="T476">
        <v>1</v>
      </c>
      <c r="U476">
        <v>6</v>
      </c>
      <c r="V476">
        <v>4</v>
      </c>
      <c r="W476">
        <v>5</v>
      </c>
      <c r="X476">
        <v>2</v>
      </c>
      <c r="Y476">
        <v>0</v>
      </c>
      <c r="Z476">
        <v>3</v>
      </c>
      <c r="AA476" t="str">
        <f t="shared" si="43"/>
        <v>Mid Tenure</v>
      </c>
      <c r="AB476" s="5">
        <v>44905</v>
      </c>
      <c r="AC476">
        <f t="shared" si="44"/>
        <v>0</v>
      </c>
      <c r="AD476" t="s">
        <v>38</v>
      </c>
      <c r="AE476">
        <f>VLOOKUP(A476,'Employee Engagement Survey'!A310:B1779,2,FALSE)</f>
        <v>3</v>
      </c>
      <c r="AF476">
        <f>VLOOKUP(A476,'Employee Engagement Survey'!A310:C1779,3,FALSE)</f>
        <v>4</v>
      </c>
      <c r="AG476">
        <f>VLOOKUP(A476,'Employee Engagement Survey'!A310:D1779,4,FALSE)</f>
        <v>3</v>
      </c>
      <c r="AH476">
        <f>VLOOKUP(A476,'Employee Engagement Survey'!A310:E1779,5,FALSE)</f>
        <v>3</v>
      </c>
      <c r="AI476">
        <f t="shared" si="42"/>
        <v>3.25</v>
      </c>
    </row>
    <row r="477" spans="1:35" hidden="1" x14ac:dyDescent="0.4">
      <c r="A477">
        <v>424</v>
      </c>
      <c r="B477" t="s">
        <v>34</v>
      </c>
      <c r="C477">
        <f t="shared" si="40"/>
        <v>1</v>
      </c>
      <c r="D477" t="s">
        <v>105</v>
      </c>
      <c r="E477">
        <f t="shared" si="41"/>
        <v>0</v>
      </c>
      <c r="F477" t="s">
        <v>59</v>
      </c>
      <c r="G477">
        <v>8</v>
      </c>
      <c r="H477" s="1">
        <v>88920</v>
      </c>
      <c r="I477" s="10">
        <v>0.12</v>
      </c>
      <c r="J477">
        <v>37.5</v>
      </c>
      <c r="K477" t="s">
        <v>34</v>
      </c>
      <c r="L477">
        <v>31</v>
      </c>
      <c r="M477" t="s">
        <v>29</v>
      </c>
      <c r="N477" t="s">
        <v>42</v>
      </c>
      <c r="O477" t="s">
        <v>31</v>
      </c>
      <c r="P477">
        <v>2</v>
      </c>
      <c r="Q477" t="s">
        <v>43</v>
      </c>
      <c r="R477" t="s">
        <v>59</v>
      </c>
      <c r="S477">
        <v>3</v>
      </c>
      <c r="T477">
        <v>0</v>
      </c>
      <c r="U477">
        <v>9</v>
      </c>
      <c r="V477">
        <v>1</v>
      </c>
      <c r="W477">
        <v>2</v>
      </c>
      <c r="X477">
        <v>2</v>
      </c>
      <c r="Y477">
        <v>1</v>
      </c>
      <c r="Z477">
        <v>0</v>
      </c>
      <c r="AA477" t="str">
        <f t="shared" si="43"/>
        <v>Early Tenure</v>
      </c>
      <c r="AB477" s="5">
        <v>45051</v>
      </c>
      <c r="AC477">
        <f t="shared" si="44"/>
        <v>0</v>
      </c>
      <c r="AD477" t="s">
        <v>38</v>
      </c>
      <c r="AE477">
        <f>VLOOKUP(A477,'Employee Engagement Survey'!A311:B1780,2,FALSE)</f>
        <v>1</v>
      </c>
      <c r="AF477">
        <f>VLOOKUP(A477,'Employee Engagement Survey'!A311:C1780,3,FALSE)</f>
        <v>1</v>
      </c>
      <c r="AG477">
        <f>VLOOKUP(A477,'Employee Engagement Survey'!A311:D1780,4,FALSE)</f>
        <v>4</v>
      </c>
      <c r="AH477">
        <f>VLOOKUP(A477,'Employee Engagement Survey'!A311:E1780,5,FALSE)</f>
        <v>3</v>
      </c>
      <c r="AI477">
        <f t="shared" si="42"/>
        <v>2.25</v>
      </c>
    </row>
    <row r="478" spans="1:35" hidden="1" x14ac:dyDescent="0.4">
      <c r="A478">
        <v>425</v>
      </c>
      <c r="B478" t="s">
        <v>34</v>
      </c>
      <c r="C478">
        <f t="shared" si="40"/>
        <v>1</v>
      </c>
      <c r="D478" t="s">
        <v>46</v>
      </c>
      <c r="E478">
        <f t="shared" si="41"/>
        <v>0</v>
      </c>
      <c r="F478" t="s">
        <v>28</v>
      </c>
      <c r="G478">
        <v>7</v>
      </c>
      <c r="H478" s="1">
        <v>74520</v>
      </c>
      <c r="I478" s="10">
        <v>0.18</v>
      </c>
      <c r="J478">
        <v>37.5</v>
      </c>
      <c r="K478" t="s">
        <v>34</v>
      </c>
      <c r="L478">
        <v>45</v>
      </c>
      <c r="M478" t="s">
        <v>29</v>
      </c>
      <c r="N478" t="s">
        <v>48</v>
      </c>
      <c r="O478" t="s">
        <v>44</v>
      </c>
      <c r="P478">
        <v>7</v>
      </c>
      <c r="Q478" t="s">
        <v>43</v>
      </c>
      <c r="R478" t="s">
        <v>37</v>
      </c>
      <c r="S478">
        <v>3</v>
      </c>
      <c r="T478">
        <v>1</v>
      </c>
      <c r="U478">
        <v>24</v>
      </c>
      <c r="V478">
        <v>2</v>
      </c>
      <c r="W478">
        <v>24</v>
      </c>
      <c r="X478">
        <v>9</v>
      </c>
      <c r="Y478">
        <v>9</v>
      </c>
      <c r="Z478">
        <v>11</v>
      </c>
      <c r="AA478" t="str">
        <f t="shared" si="43"/>
        <v>Long Tenure</v>
      </c>
      <c r="AB478" s="5">
        <v>45557</v>
      </c>
      <c r="AC478">
        <f t="shared" si="44"/>
        <v>1</v>
      </c>
      <c r="AD478" t="s">
        <v>38</v>
      </c>
      <c r="AE478">
        <f>VLOOKUP(A478,'Employee Engagement Survey'!A313:B1782,2,FALSE)</f>
        <v>1</v>
      </c>
      <c r="AF478">
        <f>VLOOKUP(A478,'Employee Engagement Survey'!A313:C1782,3,FALSE)</f>
        <v>1</v>
      </c>
      <c r="AG478">
        <f>VLOOKUP(A478,'Employee Engagement Survey'!A313:D1782,4,FALSE)</f>
        <v>1</v>
      </c>
      <c r="AH478">
        <f>VLOOKUP(A478,'Employee Engagement Survey'!A313:E1782,5,FALSE)</f>
        <v>3</v>
      </c>
      <c r="AI478">
        <f t="shared" si="42"/>
        <v>1.5</v>
      </c>
    </row>
    <row r="479" spans="1:35" hidden="1" x14ac:dyDescent="0.4">
      <c r="A479">
        <v>1234</v>
      </c>
      <c r="B479" t="s">
        <v>34</v>
      </c>
      <c r="C479">
        <f t="shared" si="40"/>
        <v>1</v>
      </c>
      <c r="D479" t="s">
        <v>46</v>
      </c>
      <c r="E479">
        <f t="shared" si="41"/>
        <v>0</v>
      </c>
      <c r="F479" t="s">
        <v>28</v>
      </c>
      <c r="G479">
        <v>5</v>
      </c>
      <c r="H479" s="1">
        <v>56916</v>
      </c>
      <c r="I479" s="10">
        <v>0.2</v>
      </c>
      <c r="J479">
        <v>37.5</v>
      </c>
      <c r="K479" t="s">
        <v>34</v>
      </c>
      <c r="L479">
        <v>32</v>
      </c>
      <c r="M479" t="s">
        <v>47</v>
      </c>
      <c r="N479" t="s">
        <v>42</v>
      </c>
      <c r="O479" t="s">
        <v>44</v>
      </c>
      <c r="P479">
        <v>13</v>
      </c>
      <c r="Q479" t="s">
        <v>43</v>
      </c>
      <c r="R479" t="s">
        <v>53</v>
      </c>
      <c r="S479">
        <v>4</v>
      </c>
      <c r="T479">
        <v>1</v>
      </c>
      <c r="U479">
        <v>2</v>
      </c>
      <c r="V479">
        <v>2</v>
      </c>
      <c r="W479">
        <v>2</v>
      </c>
      <c r="X479">
        <v>2</v>
      </c>
      <c r="Y479">
        <v>2</v>
      </c>
      <c r="Z479">
        <v>2</v>
      </c>
      <c r="AA479" t="str">
        <f t="shared" si="43"/>
        <v>Early Tenure</v>
      </c>
      <c r="AB479" s="5">
        <v>45928</v>
      </c>
      <c r="AC479">
        <f t="shared" si="44"/>
        <v>1</v>
      </c>
      <c r="AD479" t="s">
        <v>38</v>
      </c>
      <c r="AE479">
        <f>VLOOKUP(A479,'Employee Engagement Survey'!A316:B1785,2,FALSE)</f>
        <v>3</v>
      </c>
      <c r="AF479">
        <f>VLOOKUP(A479,'Employee Engagement Survey'!A316:C1785,3,FALSE)</f>
        <v>2</v>
      </c>
      <c r="AG479">
        <f>VLOOKUP(A479,'Employee Engagement Survey'!A316:D1785,4,FALSE)</f>
        <v>3</v>
      </c>
      <c r="AH479">
        <f>VLOOKUP(A479,'Employee Engagement Survey'!A316:E1785,5,FALSE)</f>
        <v>3</v>
      </c>
      <c r="AI479">
        <f t="shared" si="42"/>
        <v>2.75</v>
      </c>
    </row>
    <row r="480" spans="1:35" hidden="1" x14ac:dyDescent="0.4">
      <c r="A480">
        <v>252</v>
      </c>
      <c r="B480" t="s">
        <v>34</v>
      </c>
      <c r="C480">
        <f t="shared" si="40"/>
        <v>1</v>
      </c>
      <c r="D480" t="s">
        <v>27</v>
      </c>
      <c r="E480">
        <f t="shared" si="41"/>
        <v>0</v>
      </c>
      <c r="F480" t="s">
        <v>28</v>
      </c>
      <c r="G480">
        <v>5</v>
      </c>
      <c r="H480" s="1">
        <v>57072</v>
      </c>
      <c r="I480" s="10">
        <v>0.13</v>
      </c>
      <c r="J480">
        <v>37.5</v>
      </c>
      <c r="K480" t="s">
        <v>34</v>
      </c>
      <c r="L480">
        <v>33</v>
      </c>
      <c r="M480" t="s">
        <v>47</v>
      </c>
      <c r="N480" t="s">
        <v>42</v>
      </c>
      <c r="O480" t="s">
        <v>31</v>
      </c>
      <c r="P480">
        <v>14</v>
      </c>
      <c r="Q480" t="s">
        <v>43</v>
      </c>
      <c r="R480" t="s">
        <v>33</v>
      </c>
      <c r="S480">
        <v>3</v>
      </c>
      <c r="T480">
        <v>1</v>
      </c>
      <c r="U480">
        <v>8</v>
      </c>
      <c r="V480">
        <v>5</v>
      </c>
      <c r="W480">
        <v>8</v>
      </c>
      <c r="X480">
        <v>7</v>
      </c>
      <c r="Y480">
        <v>1</v>
      </c>
      <c r="Z480">
        <v>6</v>
      </c>
      <c r="AA480" t="str">
        <f t="shared" si="43"/>
        <v>Mid Tenure</v>
      </c>
      <c r="AB480" s="5">
        <v>44603</v>
      </c>
      <c r="AC480">
        <f t="shared" si="44"/>
        <v>0</v>
      </c>
      <c r="AD480" t="s">
        <v>49</v>
      </c>
      <c r="AE480">
        <f>VLOOKUP(A480,'Employee Engagement Survey'!A317:B1786,2,FALSE)</f>
        <v>4</v>
      </c>
      <c r="AF480">
        <f>VLOOKUP(A480,'Employee Engagement Survey'!A317:C1786,3,FALSE)</f>
        <v>2</v>
      </c>
      <c r="AG480">
        <f>VLOOKUP(A480,'Employee Engagement Survey'!A317:D1786,4,FALSE)</f>
        <v>4</v>
      </c>
      <c r="AH480">
        <f>VLOOKUP(A480,'Employee Engagement Survey'!A317:E1786,5,FALSE)</f>
        <v>3</v>
      </c>
      <c r="AI480">
        <f t="shared" si="42"/>
        <v>3.25</v>
      </c>
    </row>
    <row r="481" spans="1:35" hidden="1" x14ac:dyDescent="0.4">
      <c r="A481">
        <v>426</v>
      </c>
      <c r="B481" t="s">
        <v>34</v>
      </c>
      <c r="C481">
        <f t="shared" si="40"/>
        <v>1</v>
      </c>
      <c r="D481" t="s">
        <v>27</v>
      </c>
      <c r="E481">
        <f t="shared" si="41"/>
        <v>0</v>
      </c>
      <c r="F481" t="s">
        <v>28</v>
      </c>
      <c r="G481">
        <v>5</v>
      </c>
      <c r="H481" s="1">
        <v>56340</v>
      </c>
      <c r="I481" s="10">
        <v>0.18</v>
      </c>
      <c r="J481">
        <v>37.5</v>
      </c>
      <c r="K481" t="s">
        <v>26</v>
      </c>
      <c r="L481">
        <v>31</v>
      </c>
      <c r="M481" t="s">
        <v>29</v>
      </c>
      <c r="N481" t="s">
        <v>48</v>
      </c>
      <c r="O481" t="s">
        <v>31</v>
      </c>
      <c r="P481">
        <v>2</v>
      </c>
      <c r="Q481" t="s">
        <v>51</v>
      </c>
      <c r="R481" t="s">
        <v>37</v>
      </c>
      <c r="S481">
        <v>3</v>
      </c>
      <c r="T481">
        <v>1</v>
      </c>
      <c r="U481">
        <v>3</v>
      </c>
      <c r="V481">
        <v>2</v>
      </c>
      <c r="W481">
        <v>2</v>
      </c>
      <c r="X481">
        <v>2</v>
      </c>
      <c r="Y481">
        <v>2</v>
      </c>
      <c r="Z481">
        <v>2</v>
      </c>
      <c r="AA481" t="str">
        <f t="shared" si="43"/>
        <v>Early Tenure</v>
      </c>
      <c r="AB481" s="5">
        <v>45226</v>
      </c>
      <c r="AC481">
        <f t="shared" si="44"/>
        <v>0</v>
      </c>
      <c r="AD481" t="s">
        <v>38</v>
      </c>
      <c r="AE481">
        <f>VLOOKUP(A481,'Employee Engagement Survey'!A318:B1787,2,FALSE)</f>
        <v>3</v>
      </c>
      <c r="AF481">
        <f>VLOOKUP(A481,'Employee Engagement Survey'!A318:C1787,3,FALSE)</f>
        <v>4</v>
      </c>
      <c r="AG481">
        <f>VLOOKUP(A481,'Employee Engagement Survey'!A318:D1787,4,FALSE)</f>
        <v>2</v>
      </c>
      <c r="AH481">
        <f>VLOOKUP(A481,'Employee Engagement Survey'!A318:E1787,5,FALSE)</f>
        <v>1</v>
      </c>
      <c r="AI481">
        <f t="shared" si="42"/>
        <v>2.5</v>
      </c>
    </row>
    <row r="482" spans="1:35" hidden="1" x14ac:dyDescent="0.4">
      <c r="A482">
        <v>429</v>
      </c>
      <c r="B482" t="s">
        <v>34</v>
      </c>
      <c r="C482">
        <f t="shared" si="40"/>
        <v>1</v>
      </c>
      <c r="D482" t="s">
        <v>109</v>
      </c>
      <c r="E482">
        <f t="shared" si="41"/>
        <v>1</v>
      </c>
      <c r="F482" t="s">
        <v>28</v>
      </c>
      <c r="G482">
        <v>4</v>
      </c>
      <c r="H482" s="1">
        <v>216816</v>
      </c>
      <c r="I482" s="10">
        <v>0.14000000000000001</v>
      </c>
      <c r="J482">
        <v>37.5</v>
      </c>
      <c r="K482" t="s">
        <v>26</v>
      </c>
      <c r="L482">
        <v>39</v>
      </c>
      <c r="M482" t="s">
        <v>29</v>
      </c>
      <c r="N482" t="s">
        <v>42</v>
      </c>
      <c r="O482" t="s">
        <v>31</v>
      </c>
      <c r="P482">
        <v>10</v>
      </c>
      <c r="Q482" t="s">
        <v>32</v>
      </c>
      <c r="R482" t="s">
        <v>33</v>
      </c>
      <c r="S482">
        <v>3</v>
      </c>
      <c r="T482">
        <v>0</v>
      </c>
      <c r="U482">
        <v>21</v>
      </c>
      <c r="V482">
        <v>3</v>
      </c>
      <c r="W482">
        <v>21</v>
      </c>
      <c r="X482">
        <v>9</v>
      </c>
      <c r="Y482">
        <v>11</v>
      </c>
      <c r="Z482">
        <v>10</v>
      </c>
      <c r="AA482" t="str">
        <f t="shared" si="43"/>
        <v>Long Tenure</v>
      </c>
      <c r="AB482" s="5">
        <v>44587</v>
      </c>
      <c r="AC482">
        <f t="shared" si="44"/>
        <v>0</v>
      </c>
      <c r="AD482" t="s">
        <v>49</v>
      </c>
      <c r="AE482">
        <f>VLOOKUP(A482,'Employee Engagement Survey'!A320:B1789,2,FALSE)</f>
        <v>3</v>
      </c>
      <c r="AF482">
        <f>VLOOKUP(A482,'Employee Engagement Survey'!A320:C1789,3,FALSE)</f>
        <v>1</v>
      </c>
      <c r="AG482">
        <f>VLOOKUP(A482,'Employee Engagement Survey'!A320:D1789,4,FALSE)</f>
        <v>4</v>
      </c>
      <c r="AH482">
        <f>VLOOKUP(A482,'Employee Engagement Survey'!A320:E1789,5,FALSE)</f>
        <v>3</v>
      </c>
      <c r="AI482">
        <f t="shared" si="42"/>
        <v>2.75</v>
      </c>
    </row>
    <row r="483" spans="1:35" hidden="1" x14ac:dyDescent="0.4">
      <c r="A483">
        <v>437</v>
      </c>
      <c r="B483" t="s">
        <v>34</v>
      </c>
      <c r="C483">
        <f t="shared" si="40"/>
        <v>1</v>
      </c>
      <c r="D483" t="s">
        <v>57</v>
      </c>
      <c r="E483">
        <f t="shared" si="41"/>
        <v>0</v>
      </c>
      <c r="F483" t="s">
        <v>40</v>
      </c>
      <c r="G483">
        <v>6</v>
      </c>
      <c r="H483" s="1">
        <v>65736</v>
      </c>
      <c r="I483" s="10">
        <v>0.11</v>
      </c>
      <c r="J483">
        <v>37.5</v>
      </c>
      <c r="K483" t="s">
        <v>26</v>
      </c>
      <c r="L483">
        <v>27</v>
      </c>
      <c r="M483" t="s">
        <v>29</v>
      </c>
      <c r="N483" t="s">
        <v>30</v>
      </c>
      <c r="O483" t="s">
        <v>31</v>
      </c>
      <c r="P483">
        <v>2</v>
      </c>
      <c r="Q483" t="s">
        <v>43</v>
      </c>
      <c r="R483" t="s">
        <v>37</v>
      </c>
      <c r="S483">
        <v>3</v>
      </c>
      <c r="T483">
        <v>0</v>
      </c>
      <c r="U483">
        <v>5</v>
      </c>
      <c r="V483">
        <v>3</v>
      </c>
      <c r="W483">
        <v>5</v>
      </c>
      <c r="X483">
        <v>4</v>
      </c>
      <c r="Y483">
        <v>0</v>
      </c>
      <c r="Z483">
        <v>4</v>
      </c>
      <c r="AA483" t="str">
        <f t="shared" si="43"/>
        <v>Mid Tenure</v>
      </c>
      <c r="AB483" s="5">
        <v>45188</v>
      </c>
      <c r="AC483">
        <f t="shared" si="44"/>
        <v>0</v>
      </c>
      <c r="AD483" t="s">
        <v>49</v>
      </c>
      <c r="AE483">
        <f>VLOOKUP(A483,'Employee Engagement Survey'!A322:B1791,2,FALSE)</f>
        <v>4</v>
      </c>
      <c r="AF483">
        <f>VLOOKUP(A483,'Employee Engagement Survey'!A322:C1791,3,FALSE)</f>
        <v>3</v>
      </c>
      <c r="AG483">
        <f>VLOOKUP(A483,'Employee Engagement Survey'!A322:D1791,4,FALSE)</f>
        <v>1</v>
      </c>
      <c r="AH483">
        <f>VLOOKUP(A483,'Employee Engagement Survey'!A322:E1791,5,FALSE)</f>
        <v>3</v>
      </c>
      <c r="AI483">
        <f t="shared" si="42"/>
        <v>2.75</v>
      </c>
    </row>
    <row r="484" spans="1:35" hidden="1" x14ac:dyDescent="0.4">
      <c r="A484">
        <v>438</v>
      </c>
      <c r="B484" t="s">
        <v>34</v>
      </c>
      <c r="C484">
        <f t="shared" si="40"/>
        <v>1</v>
      </c>
      <c r="D484" t="s">
        <v>57</v>
      </c>
      <c r="E484">
        <f t="shared" si="41"/>
        <v>0</v>
      </c>
      <c r="F484" t="s">
        <v>40</v>
      </c>
      <c r="G484">
        <v>9</v>
      </c>
      <c r="H484" s="1">
        <v>102564</v>
      </c>
      <c r="I484" s="10">
        <v>0.12</v>
      </c>
      <c r="J484">
        <v>37.5</v>
      </c>
      <c r="K484" t="s">
        <v>34</v>
      </c>
      <c r="L484">
        <v>31</v>
      </c>
      <c r="M484" t="s">
        <v>29</v>
      </c>
      <c r="N484" t="s">
        <v>48</v>
      </c>
      <c r="O484" t="s">
        <v>31</v>
      </c>
      <c r="P484">
        <v>7</v>
      </c>
      <c r="Q484" t="s">
        <v>43</v>
      </c>
      <c r="R484" t="s">
        <v>56</v>
      </c>
      <c r="S484">
        <v>3</v>
      </c>
      <c r="T484">
        <v>3</v>
      </c>
      <c r="U484">
        <v>13</v>
      </c>
      <c r="V484">
        <v>3</v>
      </c>
      <c r="W484">
        <v>7</v>
      </c>
      <c r="X484">
        <v>7</v>
      </c>
      <c r="Y484">
        <v>1</v>
      </c>
      <c r="Z484">
        <v>7</v>
      </c>
      <c r="AA484" t="str">
        <f t="shared" si="43"/>
        <v>Mid Tenure</v>
      </c>
      <c r="AB484" s="5">
        <v>45723</v>
      </c>
      <c r="AC484">
        <f t="shared" si="44"/>
        <v>1</v>
      </c>
      <c r="AD484" t="s">
        <v>49</v>
      </c>
      <c r="AE484">
        <f>VLOOKUP(A484,'Employee Engagement Survey'!A323:B1792,2,FALSE)</f>
        <v>4</v>
      </c>
      <c r="AF484">
        <f>VLOOKUP(A484,'Employee Engagement Survey'!A323:C1792,3,FALSE)</f>
        <v>4</v>
      </c>
      <c r="AG484">
        <f>VLOOKUP(A484,'Employee Engagement Survey'!A323:D1792,4,FALSE)</f>
        <v>4</v>
      </c>
      <c r="AH484">
        <f>VLOOKUP(A484,'Employee Engagement Survey'!A323:E1792,5,FALSE)</f>
        <v>3</v>
      </c>
      <c r="AI484">
        <f t="shared" si="42"/>
        <v>3.75</v>
      </c>
    </row>
    <row r="485" spans="1:35" hidden="1" x14ac:dyDescent="0.4">
      <c r="A485">
        <v>802</v>
      </c>
      <c r="B485" t="s">
        <v>34</v>
      </c>
      <c r="C485">
        <f t="shared" si="40"/>
        <v>1</v>
      </c>
      <c r="D485" t="s">
        <v>27</v>
      </c>
      <c r="E485">
        <f t="shared" si="41"/>
        <v>0</v>
      </c>
      <c r="F485" t="s">
        <v>28</v>
      </c>
      <c r="G485">
        <v>5</v>
      </c>
      <c r="H485" s="1">
        <v>57384</v>
      </c>
      <c r="I485" s="10">
        <v>0.13</v>
      </c>
      <c r="J485">
        <v>37.5</v>
      </c>
      <c r="K485" t="s">
        <v>26</v>
      </c>
      <c r="L485">
        <v>37</v>
      </c>
      <c r="M485" t="s">
        <v>47</v>
      </c>
      <c r="N485" t="s">
        <v>48</v>
      </c>
      <c r="O485" t="s">
        <v>31</v>
      </c>
      <c r="P485">
        <v>10</v>
      </c>
      <c r="Q485" t="s">
        <v>32</v>
      </c>
      <c r="R485" t="s">
        <v>37</v>
      </c>
      <c r="S485">
        <v>3</v>
      </c>
      <c r="T485">
        <v>2</v>
      </c>
      <c r="U485">
        <v>6</v>
      </c>
      <c r="V485">
        <v>3</v>
      </c>
      <c r="W485">
        <v>5</v>
      </c>
      <c r="X485">
        <v>3</v>
      </c>
      <c r="Y485">
        <v>4</v>
      </c>
      <c r="Z485">
        <v>3</v>
      </c>
      <c r="AA485" t="str">
        <f t="shared" si="43"/>
        <v>Mid Tenure</v>
      </c>
      <c r="AB485" s="5">
        <v>45428</v>
      </c>
      <c r="AC485">
        <f t="shared" si="44"/>
        <v>1</v>
      </c>
      <c r="AD485" t="s">
        <v>49</v>
      </c>
      <c r="AE485">
        <f>VLOOKUP(A485,'Employee Engagement Survey'!A326:B1795,2,FALSE)</f>
        <v>4</v>
      </c>
      <c r="AF485">
        <f>VLOOKUP(A485,'Employee Engagement Survey'!A326:C1795,3,FALSE)</f>
        <v>1</v>
      </c>
      <c r="AG485">
        <f>VLOOKUP(A485,'Employee Engagement Survey'!A326:D1795,4,FALSE)</f>
        <v>2</v>
      </c>
      <c r="AH485">
        <f>VLOOKUP(A485,'Employee Engagement Survey'!A326:E1795,5,FALSE)</f>
        <v>2</v>
      </c>
      <c r="AI485">
        <f t="shared" si="42"/>
        <v>2.25</v>
      </c>
    </row>
    <row r="486" spans="1:35" hidden="1" x14ac:dyDescent="0.4">
      <c r="A486">
        <v>444</v>
      </c>
      <c r="B486" t="s">
        <v>34</v>
      </c>
      <c r="C486">
        <f t="shared" si="40"/>
        <v>1</v>
      </c>
      <c r="D486" t="s">
        <v>109</v>
      </c>
      <c r="E486">
        <f t="shared" si="41"/>
        <v>1</v>
      </c>
      <c r="F486" t="s">
        <v>28</v>
      </c>
      <c r="G486">
        <v>5</v>
      </c>
      <c r="H486" s="1">
        <v>243264</v>
      </c>
      <c r="I486" s="10">
        <v>0.15</v>
      </c>
      <c r="J486">
        <v>37.5</v>
      </c>
      <c r="K486" t="s">
        <v>34</v>
      </c>
      <c r="L486">
        <v>39</v>
      </c>
      <c r="M486" t="s">
        <v>29</v>
      </c>
      <c r="N486" t="s">
        <v>42</v>
      </c>
      <c r="O486" t="s">
        <v>44</v>
      </c>
      <c r="P486">
        <v>7</v>
      </c>
      <c r="Q486" t="s">
        <v>36</v>
      </c>
      <c r="R486" t="s">
        <v>33</v>
      </c>
      <c r="S486">
        <v>3</v>
      </c>
      <c r="T486">
        <v>1</v>
      </c>
      <c r="U486">
        <v>21</v>
      </c>
      <c r="V486">
        <v>2</v>
      </c>
      <c r="W486">
        <v>21</v>
      </c>
      <c r="X486">
        <v>9</v>
      </c>
      <c r="Y486">
        <v>13</v>
      </c>
      <c r="Z486">
        <v>3</v>
      </c>
      <c r="AA486" t="str">
        <f t="shared" si="43"/>
        <v>Long Tenure</v>
      </c>
      <c r="AB486" s="5">
        <v>45699</v>
      </c>
      <c r="AC486">
        <f t="shared" si="44"/>
        <v>1</v>
      </c>
      <c r="AD486" t="s">
        <v>38</v>
      </c>
      <c r="AE486">
        <f>VLOOKUP(A486,'Employee Engagement Survey'!A327:B1796,2,FALSE)</f>
        <v>3</v>
      </c>
      <c r="AF486">
        <f>VLOOKUP(A486,'Employee Engagement Survey'!A327:C1796,3,FALSE)</f>
        <v>4</v>
      </c>
      <c r="AG486">
        <f>VLOOKUP(A486,'Employee Engagement Survey'!A327:D1796,4,FALSE)</f>
        <v>1</v>
      </c>
      <c r="AH486">
        <f>VLOOKUP(A486,'Employee Engagement Survey'!A327:E1796,5,FALSE)</f>
        <v>3</v>
      </c>
      <c r="AI486">
        <f t="shared" si="42"/>
        <v>2.75</v>
      </c>
    </row>
    <row r="487" spans="1:35" hidden="1" x14ac:dyDescent="0.4">
      <c r="A487">
        <v>1657</v>
      </c>
      <c r="B487" t="s">
        <v>34</v>
      </c>
      <c r="C487">
        <f t="shared" si="40"/>
        <v>1</v>
      </c>
      <c r="D487" t="s">
        <v>39</v>
      </c>
      <c r="E487">
        <f t="shared" si="41"/>
        <v>0</v>
      </c>
      <c r="F487" t="s">
        <v>40</v>
      </c>
      <c r="G487">
        <v>5</v>
      </c>
      <c r="H487" s="1">
        <v>57396</v>
      </c>
      <c r="I487" s="10">
        <v>0.19</v>
      </c>
      <c r="J487">
        <v>37.5</v>
      </c>
      <c r="K487" t="s">
        <v>34</v>
      </c>
      <c r="L487">
        <v>20</v>
      </c>
      <c r="M487" t="s">
        <v>47</v>
      </c>
      <c r="N487" t="s">
        <v>30</v>
      </c>
      <c r="O487" t="s">
        <v>31</v>
      </c>
      <c r="P487">
        <v>2</v>
      </c>
      <c r="Q487" t="s">
        <v>43</v>
      </c>
      <c r="R487" t="s">
        <v>33</v>
      </c>
      <c r="S487">
        <v>3</v>
      </c>
      <c r="T487">
        <v>0</v>
      </c>
      <c r="U487">
        <v>2</v>
      </c>
      <c r="V487">
        <v>3</v>
      </c>
      <c r="W487">
        <v>2</v>
      </c>
      <c r="X487">
        <v>2</v>
      </c>
      <c r="Y487">
        <v>2</v>
      </c>
      <c r="Z487">
        <v>2</v>
      </c>
      <c r="AA487" t="str">
        <f t="shared" si="43"/>
        <v>Early Tenure</v>
      </c>
      <c r="AB487" s="5">
        <v>45136</v>
      </c>
      <c r="AC487">
        <f t="shared" si="44"/>
        <v>0</v>
      </c>
      <c r="AD487" t="s">
        <v>49</v>
      </c>
      <c r="AE487">
        <f>VLOOKUP(A487,'Employee Engagement Survey'!A328:B1797,2,FALSE)</f>
        <v>3</v>
      </c>
      <c r="AF487">
        <f>VLOOKUP(A487,'Employee Engagement Survey'!A328:C1797,3,FALSE)</f>
        <v>3</v>
      </c>
      <c r="AG487">
        <f>VLOOKUP(A487,'Employee Engagement Survey'!A328:D1797,4,FALSE)</f>
        <v>1</v>
      </c>
      <c r="AH487">
        <f>VLOOKUP(A487,'Employee Engagement Survey'!A328:E1797,5,FALSE)</f>
        <v>3</v>
      </c>
      <c r="AI487">
        <f t="shared" si="42"/>
        <v>2.5</v>
      </c>
    </row>
    <row r="488" spans="1:35" hidden="1" x14ac:dyDescent="0.4">
      <c r="A488">
        <v>399</v>
      </c>
      <c r="B488" t="s">
        <v>34</v>
      </c>
      <c r="C488">
        <f t="shared" si="40"/>
        <v>1</v>
      </c>
      <c r="D488" t="s">
        <v>39</v>
      </c>
      <c r="E488">
        <f t="shared" si="41"/>
        <v>0</v>
      </c>
      <c r="F488" t="s">
        <v>40</v>
      </c>
      <c r="G488">
        <v>5</v>
      </c>
      <c r="H488" s="1">
        <v>57468</v>
      </c>
      <c r="I488" s="10">
        <v>0.11</v>
      </c>
      <c r="J488">
        <v>37.5</v>
      </c>
      <c r="K488" t="s">
        <v>34</v>
      </c>
      <c r="L488">
        <v>31</v>
      </c>
      <c r="M488" t="s">
        <v>47</v>
      </c>
      <c r="N488" t="s">
        <v>48</v>
      </c>
      <c r="O488" t="s">
        <v>44</v>
      </c>
      <c r="P488">
        <v>5</v>
      </c>
      <c r="Q488" t="s">
        <v>43</v>
      </c>
      <c r="R488" t="s">
        <v>56</v>
      </c>
      <c r="S488">
        <v>3</v>
      </c>
      <c r="T488">
        <v>1</v>
      </c>
      <c r="U488">
        <v>2</v>
      </c>
      <c r="V488">
        <v>5</v>
      </c>
      <c r="W488">
        <v>2</v>
      </c>
      <c r="X488">
        <v>2</v>
      </c>
      <c r="Y488">
        <v>2</v>
      </c>
      <c r="Z488">
        <v>2</v>
      </c>
      <c r="AA488" t="str">
        <f t="shared" si="43"/>
        <v>Early Tenure</v>
      </c>
      <c r="AB488" s="5">
        <v>45436</v>
      </c>
      <c r="AC488">
        <f t="shared" si="44"/>
        <v>1</v>
      </c>
      <c r="AD488" t="s">
        <v>38</v>
      </c>
      <c r="AE488">
        <f>VLOOKUP(A488,'Employee Engagement Survey'!A330:B1799,2,FALSE)</f>
        <v>4</v>
      </c>
      <c r="AF488">
        <f>VLOOKUP(A488,'Employee Engagement Survey'!A330:C1799,3,FALSE)</f>
        <v>2</v>
      </c>
      <c r="AG488">
        <f>VLOOKUP(A488,'Employee Engagement Survey'!A330:D1799,4,FALSE)</f>
        <v>3</v>
      </c>
      <c r="AH488">
        <f>VLOOKUP(A488,'Employee Engagement Survey'!A330:E1799,5,FALSE)</f>
        <v>2</v>
      </c>
      <c r="AI488">
        <f t="shared" si="42"/>
        <v>2.75</v>
      </c>
    </row>
    <row r="489" spans="1:35" hidden="1" x14ac:dyDescent="0.4">
      <c r="A489">
        <v>446</v>
      </c>
      <c r="B489" t="s">
        <v>34</v>
      </c>
      <c r="C489">
        <f t="shared" si="40"/>
        <v>1</v>
      </c>
      <c r="D489" t="s">
        <v>57</v>
      </c>
      <c r="E489">
        <f t="shared" si="41"/>
        <v>0</v>
      </c>
      <c r="F489" t="s">
        <v>40</v>
      </c>
      <c r="G489">
        <v>6</v>
      </c>
      <c r="H489" s="1">
        <v>68184</v>
      </c>
      <c r="I489" s="10">
        <v>0.14000000000000001</v>
      </c>
      <c r="J489">
        <v>37.5</v>
      </c>
      <c r="K489" t="s">
        <v>34</v>
      </c>
      <c r="L489">
        <v>33</v>
      </c>
      <c r="M489" t="s">
        <v>29</v>
      </c>
      <c r="N489" t="s">
        <v>30</v>
      </c>
      <c r="O489" t="s">
        <v>44</v>
      </c>
      <c r="P489">
        <v>10</v>
      </c>
      <c r="Q489" t="s">
        <v>43</v>
      </c>
      <c r="R489" t="s">
        <v>56</v>
      </c>
      <c r="S489">
        <v>3</v>
      </c>
      <c r="T489">
        <v>0</v>
      </c>
      <c r="U489">
        <v>9</v>
      </c>
      <c r="V489">
        <v>6</v>
      </c>
      <c r="W489">
        <v>7</v>
      </c>
      <c r="X489">
        <v>7</v>
      </c>
      <c r="Y489">
        <v>0</v>
      </c>
      <c r="Z489">
        <v>1</v>
      </c>
      <c r="AA489" t="str">
        <f t="shared" si="43"/>
        <v>Mid Tenure</v>
      </c>
      <c r="AB489" s="5">
        <v>44899</v>
      </c>
      <c r="AC489">
        <f t="shared" si="44"/>
        <v>0</v>
      </c>
      <c r="AD489" t="s">
        <v>38</v>
      </c>
      <c r="AE489">
        <f>VLOOKUP(A489,'Employee Engagement Survey'!A331:B1800,2,FALSE)</f>
        <v>2</v>
      </c>
      <c r="AF489">
        <f>VLOOKUP(A489,'Employee Engagement Survey'!A331:C1800,3,FALSE)</f>
        <v>4</v>
      </c>
      <c r="AG489">
        <f>VLOOKUP(A489,'Employee Engagement Survey'!A331:D1800,4,FALSE)</f>
        <v>3</v>
      </c>
      <c r="AH489">
        <f>VLOOKUP(A489,'Employee Engagement Survey'!A331:E1800,5,FALSE)</f>
        <v>2</v>
      </c>
      <c r="AI489">
        <f t="shared" si="42"/>
        <v>2.75</v>
      </c>
    </row>
    <row r="490" spans="1:35" hidden="1" x14ac:dyDescent="0.4">
      <c r="A490">
        <v>447</v>
      </c>
      <c r="B490" t="s">
        <v>34</v>
      </c>
      <c r="C490">
        <f t="shared" si="40"/>
        <v>1</v>
      </c>
      <c r="D490" t="s">
        <v>60</v>
      </c>
      <c r="E490">
        <f t="shared" si="41"/>
        <v>1</v>
      </c>
      <c r="F490" t="s">
        <v>28</v>
      </c>
      <c r="G490">
        <v>5</v>
      </c>
      <c r="H490" s="1">
        <v>231600</v>
      </c>
      <c r="I490" s="10">
        <v>0.11</v>
      </c>
      <c r="J490">
        <v>37.5</v>
      </c>
      <c r="K490" t="s">
        <v>34</v>
      </c>
      <c r="L490">
        <v>47</v>
      </c>
      <c r="M490" t="s">
        <v>29</v>
      </c>
      <c r="N490" t="s">
        <v>42</v>
      </c>
      <c r="O490" t="s">
        <v>31</v>
      </c>
      <c r="P490">
        <v>5</v>
      </c>
      <c r="Q490" t="s">
        <v>58</v>
      </c>
      <c r="R490" t="s">
        <v>37</v>
      </c>
      <c r="S490">
        <v>3</v>
      </c>
      <c r="T490">
        <v>1</v>
      </c>
      <c r="U490">
        <v>21</v>
      </c>
      <c r="V490">
        <v>2</v>
      </c>
      <c r="W490">
        <v>3</v>
      </c>
      <c r="X490">
        <v>2</v>
      </c>
      <c r="Y490">
        <v>1</v>
      </c>
      <c r="Z490">
        <v>1</v>
      </c>
      <c r="AA490" t="str">
        <f t="shared" si="43"/>
        <v>Mid Tenure</v>
      </c>
      <c r="AB490" s="5">
        <v>45667</v>
      </c>
      <c r="AC490">
        <f t="shared" si="44"/>
        <v>1</v>
      </c>
      <c r="AD490" t="s">
        <v>38</v>
      </c>
      <c r="AE490">
        <f>VLOOKUP(A490,'Employee Engagement Survey'!A332:B1801,2,FALSE)</f>
        <v>4</v>
      </c>
      <c r="AF490">
        <f>VLOOKUP(A490,'Employee Engagement Survey'!A332:C1801,3,FALSE)</f>
        <v>3</v>
      </c>
      <c r="AG490">
        <f>VLOOKUP(A490,'Employee Engagement Survey'!A332:D1801,4,FALSE)</f>
        <v>2</v>
      </c>
      <c r="AH490">
        <f>VLOOKUP(A490,'Employee Engagement Survey'!A332:E1801,5,FALSE)</f>
        <v>3</v>
      </c>
      <c r="AI490">
        <f t="shared" si="42"/>
        <v>3</v>
      </c>
    </row>
    <row r="491" spans="1:35" hidden="1" x14ac:dyDescent="0.4">
      <c r="A491">
        <v>449</v>
      </c>
      <c r="B491" t="s">
        <v>34</v>
      </c>
      <c r="C491">
        <f t="shared" si="40"/>
        <v>1</v>
      </c>
      <c r="D491" t="s">
        <v>57</v>
      </c>
      <c r="E491">
        <f t="shared" si="41"/>
        <v>0</v>
      </c>
      <c r="F491" t="s">
        <v>40</v>
      </c>
      <c r="G491">
        <v>8</v>
      </c>
      <c r="H491" s="1">
        <v>88188</v>
      </c>
      <c r="I491" s="10">
        <v>0.13</v>
      </c>
      <c r="J491">
        <v>37.5</v>
      </c>
      <c r="K491" t="s">
        <v>26</v>
      </c>
      <c r="L491">
        <v>27</v>
      </c>
      <c r="M491" t="s">
        <v>29</v>
      </c>
      <c r="N491" t="s">
        <v>42</v>
      </c>
      <c r="O491" t="s">
        <v>35</v>
      </c>
      <c r="P491">
        <v>1</v>
      </c>
      <c r="Q491" t="s">
        <v>32</v>
      </c>
      <c r="R491" t="s">
        <v>56</v>
      </c>
      <c r="S491">
        <v>3</v>
      </c>
      <c r="T491">
        <v>1</v>
      </c>
      <c r="U491">
        <v>6</v>
      </c>
      <c r="V491">
        <v>0</v>
      </c>
      <c r="W491">
        <v>5</v>
      </c>
      <c r="X491">
        <v>4</v>
      </c>
      <c r="Y491">
        <v>1</v>
      </c>
      <c r="Z491">
        <v>4</v>
      </c>
      <c r="AA491" t="str">
        <f t="shared" si="43"/>
        <v>Mid Tenure</v>
      </c>
      <c r="AB491" s="5">
        <v>45630</v>
      </c>
      <c r="AC491">
        <f t="shared" si="44"/>
        <v>1</v>
      </c>
      <c r="AD491" t="s">
        <v>38</v>
      </c>
      <c r="AE491">
        <f>VLOOKUP(A491,'Employee Engagement Survey'!A333:B1802,2,FALSE)</f>
        <v>3</v>
      </c>
      <c r="AF491">
        <f>VLOOKUP(A491,'Employee Engagement Survey'!A333:C1802,3,FALSE)</f>
        <v>2</v>
      </c>
      <c r="AG491">
        <f>VLOOKUP(A491,'Employee Engagement Survey'!A333:D1802,4,FALSE)</f>
        <v>4</v>
      </c>
      <c r="AH491">
        <f>VLOOKUP(A491,'Employee Engagement Survey'!A333:E1802,5,FALSE)</f>
        <v>3</v>
      </c>
      <c r="AI491">
        <f t="shared" si="42"/>
        <v>3</v>
      </c>
    </row>
    <row r="492" spans="1:35" hidden="1" x14ac:dyDescent="0.4">
      <c r="A492">
        <v>452</v>
      </c>
      <c r="B492" t="s">
        <v>34</v>
      </c>
      <c r="C492">
        <f t="shared" si="40"/>
        <v>1</v>
      </c>
      <c r="D492" t="s">
        <v>27</v>
      </c>
      <c r="E492">
        <f t="shared" si="41"/>
        <v>0</v>
      </c>
      <c r="F492" t="s">
        <v>28</v>
      </c>
      <c r="G492">
        <v>6</v>
      </c>
      <c r="H492" s="1">
        <v>68364</v>
      </c>
      <c r="I492" s="10">
        <v>0.14000000000000001</v>
      </c>
      <c r="J492">
        <v>37.5</v>
      </c>
      <c r="K492" t="s">
        <v>34</v>
      </c>
      <c r="L492">
        <v>45</v>
      </c>
      <c r="M492" t="s">
        <v>29</v>
      </c>
      <c r="N492" t="s">
        <v>42</v>
      </c>
      <c r="O492" t="s">
        <v>31</v>
      </c>
      <c r="P492">
        <v>8</v>
      </c>
      <c r="Q492" t="s">
        <v>51</v>
      </c>
      <c r="R492" t="s">
        <v>53</v>
      </c>
      <c r="S492">
        <v>3</v>
      </c>
      <c r="T492">
        <v>2</v>
      </c>
      <c r="U492">
        <v>12</v>
      </c>
      <c r="V492">
        <v>3</v>
      </c>
      <c r="W492">
        <v>10</v>
      </c>
      <c r="X492">
        <v>9</v>
      </c>
      <c r="Y492">
        <v>9</v>
      </c>
      <c r="Z492">
        <v>8</v>
      </c>
      <c r="AA492" t="str">
        <f t="shared" si="43"/>
        <v>Long Tenure</v>
      </c>
      <c r="AB492" s="5">
        <v>45338</v>
      </c>
      <c r="AC492">
        <f t="shared" si="44"/>
        <v>1</v>
      </c>
      <c r="AD492" t="s">
        <v>38</v>
      </c>
      <c r="AE492">
        <f>VLOOKUP(A492,'Employee Engagement Survey'!A334:B1803,2,FALSE)</f>
        <v>4</v>
      </c>
      <c r="AF492">
        <f>VLOOKUP(A492,'Employee Engagement Survey'!A334:C1803,3,FALSE)</f>
        <v>4</v>
      </c>
      <c r="AG492">
        <f>VLOOKUP(A492,'Employee Engagement Survey'!A334:D1803,4,FALSE)</f>
        <v>1</v>
      </c>
      <c r="AH492">
        <f>VLOOKUP(A492,'Employee Engagement Survey'!A334:E1803,5,FALSE)</f>
        <v>3</v>
      </c>
      <c r="AI492">
        <f t="shared" si="42"/>
        <v>3</v>
      </c>
    </row>
    <row r="493" spans="1:35" hidden="1" x14ac:dyDescent="0.4">
      <c r="A493">
        <v>453</v>
      </c>
      <c r="B493" t="s">
        <v>34</v>
      </c>
      <c r="C493">
        <f t="shared" si="40"/>
        <v>1</v>
      </c>
      <c r="D493" t="s">
        <v>57</v>
      </c>
      <c r="E493">
        <f t="shared" si="41"/>
        <v>0</v>
      </c>
      <c r="F493" t="s">
        <v>40</v>
      </c>
      <c r="G493">
        <v>9</v>
      </c>
      <c r="H493" s="1">
        <v>101484</v>
      </c>
      <c r="I493" s="10">
        <v>0.22</v>
      </c>
      <c r="J493">
        <v>37.5</v>
      </c>
      <c r="K493" t="s">
        <v>26</v>
      </c>
      <c r="L493">
        <v>40</v>
      </c>
      <c r="M493" t="s">
        <v>29</v>
      </c>
      <c r="N493" t="s">
        <v>42</v>
      </c>
      <c r="O493" t="s">
        <v>31</v>
      </c>
      <c r="P493">
        <v>1</v>
      </c>
      <c r="Q493" t="s">
        <v>36</v>
      </c>
      <c r="R493" t="s">
        <v>33</v>
      </c>
      <c r="S493">
        <v>4</v>
      </c>
      <c r="T493">
        <v>3</v>
      </c>
      <c r="U493">
        <v>6</v>
      </c>
      <c r="V493">
        <v>2</v>
      </c>
      <c r="W493">
        <v>4</v>
      </c>
      <c r="X493">
        <v>3</v>
      </c>
      <c r="Y493">
        <v>0</v>
      </c>
      <c r="Z493">
        <v>2</v>
      </c>
      <c r="AA493" t="str">
        <f t="shared" si="43"/>
        <v>Mid Tenure</v>
      </c>
      <c r="AB493" s="5">
        <v>45142</v>
      </c>
      <c r="AC493">
        <f t="shared" si="44"/>
        <v>0</v>
      </c>
      <c r="AD493" t="s">
        <v>49</v>
      </c>
      <c r="AE493">
        <f>VLOOKUP(A493,'Employee Engagement Survey'!A335:B1804,2,FALSE)</f>
        <v>2</v>
      </c>
      <c r="AF493">
        <f>VLOOKUP(A493,'Employee Engagement Survey'!A335:C1804,3,FALSE)</f>
        <v>4</v>
      </c>
      <c r="AG493">
        <f>VLOOKUP(A493,'Employee Engagement Survey'!A335:D1804,4,FALSE)</f>
        <v>3</v>
      </c>
      <c r="AH493">
        <f>VLOOKUP(A493,'Employee Engagement Survey'!A335:E1804,5,FALSE)</f>
        <v>2</v>
      </c>
      <c r="AI493">
        <f t="shared" si="42"/>
        <v>2.75</v>
      </c>
    </row>
    <row r="494" spans="1:35" hidden="1" x14ac:dyDescent="0.4">
      <c r="A494">
        <v>455</v>
      </c>
      <c r="B494" t="s">
        <v>34</v>
      </c>
      <c r="C494">
        <f t="shared" si="40"/>
        <v>1</v>
      </c>
      <c r="D494" t="s">
        <v>46</v>
      </c>
      <c r="E494">
        <f t="shared" si="41"/>
        <v>0</v>
      </c>
      <c r="F494" t="s">
        <v>28</v>
      </c>
      <c r="G494">
        <v>7</v>
      </c>
      <c r="H494" s="1">
        <v>71796</v>
      </c>
      <c r="I494" s="10">
        <v>0.17</v>
      </c>
      <c r="J494">
        <v>37.5</v>
      </c>
      <c r="K494" t="s">
        <v>34</v>
      </c>
      <c r="L494">
        <v>29</v>
      </c>
      <c r="M494" t="s">
        <v>29</v>
      </c>
      <c r="N494" t="s">
        <v>30</v>
      </c>
      <c r="O494" t="s">
        <v>31</v>
      </c>
      <c r="P494">
        <v>9</v>
      </c>
      <c r="Q494" t="s">
        <v>58</v>
      </c>
      <c r="R494" t="s">
        <v>53</v>
      </c>
      <c r="S494">
        <v>3</v>
      </c>
      <c r="T494">
        <v>0</v>
      </c>
      <c r="U494">
        <v>4</v>
      </c>
      <c r="V494">
        <v>2</v>
      </c>
      <c r="W494">
        <v>3</v>
      </c>
      <c r="X494">
        <v>2</v>
      </c>
      <c r="Y494">
        <v>2</v>
      </c>
      <c r="Z494">
        <v>2</v>
      </c>
      <c r="AA494" t="str">
        <f t="shared" si="43"/>
        <v>Mid Tenure</v>
      </c>
      <c r="AB494" s="5">
        <v>45837</v>
      </c>
      <c r="AC494">
        <f t="shared" si="44"/>
        <v>1</v>
      </c>
      <c r="AD494" t="s">
        <v>49</v>
      </c>
      <c r="AE494">
        <f>VLOOKUP(A494,'Employee Engagement Survey'!A338:B1807,2,FALSE)</f>
        <v>2</v>
      </c>
      <c r="AF494">
        <f>VLOOKUP(A494,'Employee Engagement Survey'!A338:C1807,3,FALSE)</f>
        <v>4</v>
      </c>
      <c r="AG494">
        <f>VLOOKUP(A494,'Employee Engagement Survey'!A338:D1807,4,FALSE)</f>
        <v>3</v>
      </c>
      <c r="AH494">
        <f>VLOOKUP(A494,'Employee Engagement Survey'!A338:E1807,5,FALSE)</f>
        <v>3</v>
      </c>
      <c r="AI494">
        <f t="shared" si="42"/>
        <v>3</v>
      </c>
    </row>
    <row r="495" spans="1:35" hidden="1" x14ac:dyDescent="0.4">
      <c r="A495">
        <v>460</v>
      </c>
      <c r="B495" t="s">
        <v>34</v>
      </c>
      <c r="C495">
        <f t="shared" si="40"/>
        <v>1</v>
      </c>
      <c r="D495" t="s">
        <v>54</v>
      </c>
      <c r="E495">
        <f t="shared" si="41"/>
        <v>1</v>
      </c>
      <c r="F495" t="s">
        <v>28</v>
      </c>
      <c r="G495">
        <v>8</v>
      </c>
      <c r="H495" s="1">
        <v>88164</v>
      </c>
      <c r="I495" s="10">
        <v>0.16</v>
      </c>
      <c r="J495">
        <v>37.5</v>
      </c>
      <c r="K495" t="s">
        <v>34</v>
      </c>
      <c r="L495">
        <v>37</v>
      </c>
      <c r="M495" t="s">
        <v>29</v>
      </c>
      <c r="N495" t="s">
        <v>48</v>
      </c>
      <c r="O495" t="s">
        <v>31</v>
      </c>
      <c r="P495">
        <v>5</v>
      </c>
      <c r="Q495" t="s">
        <v>36</v>
      </c>
      <c r="R495" t="s">
        <v>33</v>
      </c>
      <c r="S495">
        <v>3</v>
      </c>
      <c r="T495">
        <v>2</v>
      </c>
      <c r="U495">
        <v>8</v>
      </c>
      <c r="V495">
        <v>2</v>
      </c>
      <c r="W495">
        <v>6</v>
      </c>
      <c r="X495">
        <v>2</v>
      </c>
      <c r="Y495">
        <v>0</v>
      </c>
      <c r="Z495">
        <v>4</v>
      </c>
      <c r="AA495" t="str">
        <f t="shared" si="43"/>
        <v>Mid Tenure</v>
      </c>
      <c r="AB495" s="5">
        <v>45463</v>
      </c>
      <c r="AC495">
        <f t="shared" si="44"/>
        <v>1</v>
      </c>
      <c r="AD495" t="s">
        <v>49</v>
      </c>
      <c r="AE495">
        <f>VLOOKUP(A495,'Employee Engagement Survey'!A339:B1808,2,FALSE)</f>
        <v>4</v>
      </c>
      <c r="AF495">
        <f>VLOOKUP(A495,'Employee Engagement Survey'!A339:C1808,3,FALSE)</f>
        <v>4</v>
      </c>
      <c r="AG495">
        <f>VLOOKUP(A495,'Employee Engagement Survey'!A339:D1808,4,FALSE)</f>
        <v>3</v>
      </c>
      <c r="AH495">
        <f>VLOOKUP(A495,'Employee Engagement Survey'!A339:E1808,5,FALSE)</f>
        <v>2</v>
      </c>
      <c r="AI495">
        <f t="shared" si="42"/>
        <v>3.25</v>
      </c>
    </row>
    <row r="496" spans="1:35" hidden="1" x14ac:dyDescent="0.4">
      <c r="A496">
        <v>1001</v>
      </c>
      <c r="B496" t="s">
        <v>34</v>
      </c>
      <c r="C496">
        <f t="shared" si="40"/>
        <v>1</v>
      </c>
      <c r="D496" t="s">
        <v>46</v>
      </c>
      <c r="E496">
        <f t="shared" si="41"/>
        <v>0</v>
      </c>
      <c r="F496" t="s">
        <v>28</v>
      </c>
      <c r="G496">
        <v>5</v>
      </c>
      <c r="H496" s="1">
        <v>57732</v>
      </c>
      <c r="I496" s="10">
        <v>0.14000000000000001</v>
      </c>
      <c r="J496">
        <v>37.5</v>
      </c>
      <c r="K496" t="s">
        <v>34</v>
      </c>
      <c r="L496">
        <v>27</v>
      </c>
      <c r="M496" t="s">
        <v>47</v>
      </c>
      <c r="N496" t="s">
        <v>42</v>
      </c>
      <c r="O496" t="s">
        <v>31</v>
      </c>
      <c r="P496">
        <v>16</v>
      </c>
      <c r="Q496" t="s">
        <v>51</v>
      </c>
      <c r="R496" t="s">
        <v>45</v>
      </c>
      <c r="S496">
        <v>3</v>
      </c>
      <c r="T496">
        <v>1</v>
      </c>
      <c r="U496">
        <v>4</v>
      </c>
      <c r="V496">
        <v>2</v>
      </c>
      <c r="W496">
        <v>2</v>
      </c>
      <c r="X496">
        <v>2</v>
      </c>
      <c r="Y496">
        <v>2</v>
      </c>
      <c r="Z496">
        <v>2</v>
      </c>
      <c r="AA496" t="str">
        <f t="shared" si="43"/>
        <v>Early Tenure</v>
      </c>
      <c r="AB496" s="5">
        <v>45853</v>
      </c>
      <c r="AC496">
        <f t="shared" si="44"/>
        <v>1</v>
      </c>
      <c r="AD496" t="s">
        <v>38</v>
      </c>
      <c r="AE496">
        <f>VLOOKUP(A496,'Employee Engagement Survey'!A340:B1809,2,FALSE)</f>
        <v>3</v>
      </c>
      <c r="AF496">
        <f>VLOOKUP(A496,'Employee Engagement Survey'!A340:C1809,3,FALSE)</f>
        <v>2</v>
      </c>
      <c r="AG496">
        <f>VLOOKUP(A496,'Employee Engagement Survey'!A340:D1809,4,FALSE)</f>
        <v>2</v>
      </c>
      <c r="AH496">
        <f>VLOOKUP(A496,'Employee Engagement Survey'!A340:E1809,5,FALSE)</f>
        <v>3</v>
      </c>
      <c r="AI496">
        <f t="shared" si="42"/>
        <v>2.5</v>
      </c>
    </row>
    <row r="497" spans="1:35" hidden="1" x14ac:dyDescent="0.4">
      <c r="A497">
        <v>1605</v>
      </c>
      <c r="B497" t="s">
        <v>34</v>
      </c>
      <c r="C497">
        <f t="shared" si="40"/>
        <v>1</v>
      </c>
      <c r="D497" t="s">
        <v>27</v>
      </c>
      <c r="E497">
        <f t="shared" si="41"/>
        <v>0</v>
      </c>
      <c r="F497" t="s">
        <v>28</v>
      </c>
      <c r="G497">
        <v>5</v>
      </c>
      <c r="H497" s="1">
        <v>57768</v>
      </c>
      <c r="I497" s="10">
        <v>0.14000000000000001</v>
      </c>
      <c r="J497">
        <v>37.5</v>
      </c>
      <c r="K497" t="s">
        <v>26</v>
      </c>
      <c r="L497">
        <v>22</v>
      </c>
      <c r="M497" t="s">
        <v>47</v>
      </c>
      <c r="N497" t="s">
        <v>42</v>
      </c>
      <c r="O497" t="s">
        <v>35</v>
      </c>
      <c r="P497">
        <v>26</v>
      </c>
      <c r="Q497" t="s">
        <v>36</v>
      </c>
      <c r="R497" t="s">
        <v>53</v>
      </c>
      <c r="S497">
        <v>3</v>
      </c>
      <c r="T497">
        <v>0</v>
      </c>
      <c r="U497">
        <v>4</v>
      </c>
      <c r="V497">
        <v>2</v>
      </c>
      <c r="W497">
        <v>4</v>
      </c>
      <c r="X497">
        <v>2</v>
      </c>
      <c r="Y497">
        <v>1</v>
      </c>
      <c r="Z497">
        <v>3</v>
      </c>
      <c r="AA497" t="str">
        <f t="shared" si="43"/>
        <v>Mid Tenure</v>
      </c>
      <c r="AB497" s="5">
        <v>45165</v>
      </c>
      <c r="AC497">
        <f t="shared" si="44"/>
        <v>0</v>
      </c>
      <c r="AD497" t="s">
        <v>38</v>
      </c>
      <c r="AE497">
        <f>VLOOKUP(A497,'Employee Engagement Survey'!A341:B1810,2,FALSE)</f>
        <v>2</v>
      </c>
      <c r="AF497">
        <f>VLOOKUP(A497,'Employee Engagement Survey'!A341:C1810,3,FALSE)</f>
        <v>3</v>
      </c>
      <c r="AG497">
        <f>VLOOKUP(A497,'Employee Engagement Survey'!A341:D1810,4,FALSE)</f>
        <v>2</v>
      </c>
      <c r="AH497">
        <f>VLOOKUP(A497,'Employee Engagement Survey'!A341:E1810,5,FALSE)</f>
        <v>2</v>
      </c>
      <c r="AI497">
        <f t="shared" si="42"/>
        <v>2.25</v>
      </c>
    </row>
    <row r="498" spans="1:35" hidden="1" x14ac:dyDescent="0.4">
      <c r="A498">
        <v>461</v>
      </c>
      <c r="B498" t="s">
        <v>34</v>
      </c>
      <c r="C498">
        <f t="shared" ref="C498:C561" si="45">IF(B498="No",1,0)</f>
        <v>1</v>
      </c>
      <c r="D498" t="s">
        <v>60</v>
      </c>
      <c r="E498">
        <f t="shared" si="41"/>
        <v>1</v>
      </c>
      <c r="F498" t="s">
        <v>28</v>
      </c>
      <c r="G498">
        <v>10</v>
      </c>
      <c r="H498" s="1">
        <v>150120</v>
      </c>
      <c r="I498" s="10">
        <v>0.14000000000000001</v>
      </c>
      <c r="J498">
        <v>37.5</v>
      </c>
      <c r="K498" t="s">
        <v>26</v>
      </c>
      <c r="L498">
        <v>38</v>
      </c>
      <c r="M498" t="s">
        <v>29</v>
      </c>
      <c r="N498" t="s">
        <v>48</v>
      </c>
      <c r="O498" t="s">
        <v>31</v>
      </c>
      <c r="P498">
        <v>15</v>
      </c>
      <c r="Q498" t="s">
        <v>36</v>
      </c>
      <c r="R498" t="s">
        <v>37</v>
      </c>
      <c r="S498">
        <v>3</v>
      </c>
      <c r="T498">
        <v>1</v>
      </c>
      <c r="U498">
        <v>12</v>
      </c>
      <c r="V498">
        <v>3</v>
      </c>
      <c r="W498">
        <v>11</v>
      </c>
      <c r="X498">
        <v>10</v>
      </c>
      <c r="Y498">
        <v>2</v>
      </c>
      <c r="Z498">
        <v>9</v>
      </c>
      <c r="AA498" t="str">
        <f t="shared" si="43"/>
        <v>Long Tenure</v>
      </c>
      <c r="AB498" s="5">
        <v>44596</v>
      </c>
      <c r="AC498">
        <f t="shared" si="44"/>
        <v>0</v>
      </c>
      <c r="AD498" t="s">
        <v>49</v>
      </c>
      <c r="AE498">
        <f>VLOOKUP(A498,'Employee Engagement Survey'!A342:B1811,2,FALSE)</f>
        <v>3</v>
      </c>
      <c r="AF498">
        <f>VLOOKUP(A498,'Employee Engagement Survey'!A342:C1811,3,FALSE)</f>
        <v>4</v>
      </c>
      <c r="AG498">
        <f>VLOOKUP(A498,'Employee Engagement Survey'!A342:D1811,4,FALSE)</f>
        <v>2</v>
      </c>
      <c r="AH498">
        <f>VLOOKUP(A498,'Employee Engagement Survey'!A342:E1811,5,FALSE)</f>
        <v>3</v>
      </c>
      <c r="AI498">
        <f t="shared" si="42"/>
        <v>3</v>
      </c>
    </row>
    <row r="499" spans="1:35" hidden="1" x14ac:dyDescent="0.4">
      <c r="A499">
        <v>464</v>
      </c>
      <c r="B499" t="s">
        <v>34</v>
      </c>
      <c r="C499">
        <f t="shared" si="45"/>
        <v>1</v>
      </c>
      <c r="D499" t="s">
        <v>54</v>
      </c>
      <c r="E499">
        <f t="shared" si="41"/>
        <v>1</v>
      </c>
      <c r="F499" t="s">
        <v>28</v>
      </c>
      <c r="G499">
        <v>9</v>
      </c>
      <c r="H499" s="1">
        <v>109140</v>
      </c>
      <c r="I499" s="10">
        <v>0.13</v>
      </c>
      <c r="J499">
        <v>37.5</v>
      </c>
      <c r="K499" t="s">
        <v>34</v>
      </c>
      <c r="L499">
        <v>35</v>
      </c>
      <c r="M499" t="s">
        <v>29</v>
      </c>
      <c r="N499" t="s">
        <v>30</v>
      </c>
      <c r="O499" t="s">
        <v>31</v>
      </c>
      <c r="P499">
        <v>5</v>
      </c>
      <c r="Q499" t="s">
        <v>51</v>
      </c>
      <c r="R499" t="s">
        <v>45</v>
      </c>
      <c r="S499">
        <v>3</v>
      </c>
      <c r="T499">
        <v>0</v>
      </c>
      <c r="U499">
        <v>17</v>
      </c>
      <c r="V499">
        <v>5</v>
      </c>
      <c r="W499">
        <v>16</v>
      </c>
      <c r="X499">
        <v>6</v>
      </c>
      <c r="Y499">
        <v>0</v>
      </c>
      <c r="Z499">
        <v>13</v>
      </c>
      <c r="AA499" t="str">
        <f t="shared" si="43"/>
        <v>Long Tenure</v>
      </c>
      <c r="AB499" s="5">
        <v>45248</v>
      </c>
      <c r="AC499">
        <f t="shared" si="44"/>
        <v>0</v>
      </c>
      <c r="AD499" t="s">
        <v>49</v>
      </c>
      <c r="AE499">
        <f>VLOOKUP(A499,'Employee Engagement Survey'!A343:B1812,2,FALSE)</f>
        <v>3</v>
      </c>
      <c r="AF499">
        <f>VLOOKUP(A499,'Employee Engagement Survey'!A343:C1812,3,FALSE)</f>
        <v>2</v>
      </c>
      <c r="AG499">
        <f>VLOOKUP(A499,'Employee Engagement Survey'!A343:D1812,4,FALSE)</f>
        <v>4</v>
      </c>
      <c r="AH499">
        <f>VLOOKUP(A499,'Employee Engagement Survey'!A343:E1812,5,FALSE)</f>
        <v>3</v>
      </c>
      <c r="AI499">
        <f t="shared" si="42"/>
        <v>3</v>
      </c>
    </row>
    <row r="500" spans="1:35" hidden="1" x14ac:dyDescent="0.4">
      <c r="A500">
        <v>465</v>
      </c>
      <c r="B500" t="s">
        <v>34</v>
      </c>
      <c r="C500">
        <f t="shared" si="45"/>
        <v>1</v>
      </c>
      <c r="D500" t="s">
        <v>27</v>
      </c>
      <c r="E500">
        <f t="shared" si="41"/>
        <v>0</v>
      </c>
      <c r="F500" t="s">
        <v>28</v>
      </c>
      <c r="G500">
        <v>5</v>
      </c>
      <c r="H500" s="1">
        <v>58848</v>
      </c>
      <c r="I500" s="10">
        <v>0.12</v>
      </c>
      <c r="J500">
        <v>37.5</v>
      </c>
      <c r="K500" t="s">
        <v>34</v>
      </c>
      <c r="L500">
        <v>23</v>
      </c>
      <c r="M500" t="s">
        <v>29</v>
      </c>
      <c r="N500" t="s">
        <v>48</v>
      </c>
      <c r="O500" t="s">
        <v>31</v>
      </c>
      <c r="P500">
        <v>26</v>
      </c>
      <c r="Q500" t="s">
        <v>32</v>
      </c>
      <c r="R500" t="s">
        <v>37</v>
      </c>
      <c r="S500">
        <v>3</v>
      </c>
      <c r="T500">
        <v>2</v>
      </c>
      <c r="U500">
        <v>4</v>
      </c>
      <c r="V500">
        <v>2</v>
      </c>
      <c r="W500">
        <v>4</v>
      </c>
      <c r="X500">
        <v>2</v>
      </c>
      <c r="Y500">
        <v>0</v>
      </c>
      <c r="Z500">
        <v>2</v>
      </c>
      <c r="AA500" t="str">
        <f t="shared" si="43"/>
        <v>Mid Tenure</v>
      </c>
      <c r="AB500" s="5">
        <v>45121</v>
      </c>
      <c r="AC500">
        <f t="shared" si="44"/>
        <v>0</v>
      </c>
      <c r="AD500" t="s">
        <v>38</v>
      </c>
      <c r="AE500">
        <f>VLOOKUP(A500,'Employee Engagement Survey'!A344:B1813,2,FALSE)</f>
        <v>3</v>
      </c>
      <c r="AF500">
        <f>VLOOKUP(A500,'Employee Engagement Survey'!A344:C1813,3,FALSE)</f>
        <v>4</v>
      </c>
      <c r="AG500">
        <f>VLOOKUP(A500,'Employee Engagement Survey'!A344:D1813,4,FALSE)</f>
        <v>3</v>
      </c>
      <c r="AH500">
        <f>VLOOKUP(A500,'Employee Engagement Survey'!A344:E1813,5,FALSE)</f>
        <v>2</v>
      </c>
      <c r="AI500">
        <f t="shared" si="42"/>
        <v>3</v>
      </c>
    </row>
    <row r="501" spans="1:35" hidden="1" x14ac:dyDescent="0.4">
      <c r="A501">
        <v>1190</v>
      </c>
      <c r="B501" t="s">
        <v>34</v>
      </c>
      <c r="C501">
        <f t="shared" si="45"/>
        <v>1</v>
      </c>
      <c r="D501" t="s">
        <v>39</v>
      </c>
      <c r="E501">
        <f t="shared" si="41"/>
        <v>0</v>
      </c>
      <c r="F501" t="s">
        <v>40</v>
      </c>
      <c r="G501">
        <v>5</v>
      </c>
      <c r="H501" s="1">
        <v>57924</v>
      </c>
      <c r="I501" s="10">
        <v>0.12</v>
      </c>
      <c r="J501">
        <v>37.5</v>
      </c>
      <c r="K501" t="s">
        <v>34</v>
      </c>
      <c r="L501">
        <v>32</v>
      </c>
      <c r="M501" t="s">
        <v>47</v>
      </c>
      <c r="N501" t="s">
        <v>48</v>
      </c>
      <c r="O501" t="s">
        <v>35</v>
      </c>
      <c r="P501">
        <v>2</v>
      </c>
      <c r="Q501" t="s">
        <v>32</v>
      </c>
      <c r="R501" t="s">
        <v>37</v>
      </c>
      <c r="S501">
        <v>3</v>
      </c>
      <c r="T501">
        <v>3</v>
      </c>
      <c r="U501">
        <v>1</v>
      </c>
      <c r="V501">
        <v>3</v>
      </c>
      <c r="W501">
        <v>1</v>
      </c>
      <c r="X501">
        <v>0</v>
      </c>
      <c r="Y501">
        <v>0</v>
      </c>
      <c r="Z501">
        <v>0</v>
      </c>
      <c r="AA501" t="str">
        <f t="shared" si="43"/>
        <v>Early Tenure</v>
      </c>
      <c r="AB501" s="5">
        <v>44787</v>
      </c>
      <c r="AC501">
        <f t="shared" si="44"/>
        <v>0</v>
      </c>
      <c r="AD501" t="s">
        <v>49</v>
      </c>
      <c r="AE501">
        <f>VLOOKUP(A501,'Employee Engagement Survey'!A345:B1814,2,FALSE)</f>
        <v>3</v>
      </c>
      <c r="AF501">
        <f>VLOOKUP(A501,'Employee Engagement Survey'!A345:C1814,3,FALSE)</f>
        <v>1</v>
      </c>
      <c r="AG501">
        <f>VLOOKUP(A501,'Employee Engagement Survey'!A345:D1814,4,FALSE)</f>
        <v>3</v>
      </c>
      <c r="AH501">
        <f>VLOOKUP(A501,'Employee Engagement Survey'!A345:E1814,5,FALSE)</f>
        <v>3</v>
      </c>
      <c r="AI501">
        <f t="shared" si="42"/>
        <v>2.5</v>
      </c>
    </row>
    <row r="502" spans="1:35" hidden="1" x14ac:dyDescent="0.4">
      <c r="A502">
        <v>155</v>
      </c>
      <c r="B502" t="s">
        <v>34</v>
      </c>
      <c r="C502">
        <f t="shared" si="45"/>
        <v>1</v>
      </c>
      <c r="D502" t="s">
        <v>46</v>
      </c>
      <c r="E502">
        <f t="shared" si="41"/>
        <v>0</v>
      </c>
      <c r="F502" t="s">
        <v>28</v>
      </c>
      <c r="G502">
        <v>5</v>
      </c>
      <c r="H502" s="1">
        <v>58020</v>
      </c>
      <c r="I502" s="10">
        <v>0.22</v>
      </c>
      <c r="J502">
        <v>37.5</v>
      </c>
      <c r="K502" t="s">
        <v>34</v>
      </c>
      <c r="L502">
        <v>36</v>
      </c>
      <c r="M502" t="s">
        <v>47</v>
      </c>
      <c r="N502" t="s">
        <v>48</v>
      </c>
      <c r="O502" t="s">
        <v>31</v>
      </c>
      <c r="P502">
        <v>3</v>
      </c>
      <c r="Q502" t="s">
        <v>36</v>
      </c>
      <c r="R502" t="s">
        <v>37</v>
      </c>
      <c r="S502">
        <v>4</v>
      </c>
      <c r="T502">
        <v>1</v>
      </c>
      <c r="U502">
        <v>7</v>
      </c>
      <c r="V502">
        <v>2</v>
      </c>
      <c r="W502">
        <v>1</v>
      </c>
      <c r="X502">
        <v>0</v>
      </c>
      <c r="Y502">
        <v>0</v>
      </c>
      <c r="Z502">
        <v>0</v>
      </c>
      <c r="AA502" t="str">
        <f t="shared" si="43"/>
        <v>Early Tenure</v>
      </c>
      <c r="AB502" s="5">
        <v>45912</v>
      </c>
      <c r="AC502">
        <f t="shared" si="44"/>
        <v>1</v>
      </c>
      <c r="AD502" t="s">
        <v>38</v>
      </c>
      <c r="AE502">
        <f>VLOOKUP(A502,'Employee Engagement Survey'!A346:B1815,2,FALSE)</f>
        <v>1</v>
      </c>
      <c r="AF502">
        <f>VLOOKUP(A502,'Employee Engagement Survey'!A346:C1815,3,FALSE)</f>
        <v>4</v>
      </c>
      <c r="AG502">
        <f>VLOOKUP(A502,'Employee Engagement Survey'!A346:D1815,4,FALSE)</f>
        <v>1</v>
      </c>
      <c r="AH502">
        <f>VLOOKUP(A502,'Employee Engagement Survey'!A346:E1815,5,FALSE)</f>
        <v>3</v>
      </c>
      <c r="AI502">
        <f t="shared" si="42"/>
        <v>2.25</v>
      </c>
    </row>
    <row r="503" spans="1:35" hidden="1" x14ac:dyDescent="0.4">
      <c r="A503">
        <v>657</v>
      </c>
      <c r="B503" t="s">
        <v>34</v>
      </c>
      <c r="C503">
        <f t="shared" si="45"/>
        <v>1</v>
      </c>
      <c r="D503" t="s">
        <v>27</v>
      </c>
      <c r="E503">
        <f t="shared" si="41"/>
        <v>0</v>
      </c>
      <c r="F503" t="s">
        <v>28</v>
      </c>
      <c r="G503">
        <v>5</v>
      </c>
      <c r="H503" s="1">
        <v>58032</v>
      </c>
      <c r="I503" s="10">
        <v>0.13</v>
      </c>
      <c r="J503">
        <v>37.5</v>
      </c>
      <c r="K503" t="s">
        <v>34</v>
      </c>
      <c r="L503">
        <v>20</v>
      </c>
      <c r="M503" t="s">
        <v>47</v>
      </c>
      <c r="N503" t="s">
        <v>30</v>
      </c>
      <c r="O503" t="s">
        <v>31</v>
      </c>
      <c r="P503">
        <v>1</v>
      </c>
      <c r="Q503" t="s">
        <v>43</v>
      </c>
      <c r="R503" t="s">
        <v>37</v>
      </c>
      <c r="S503">
        <v>3</v>
      </c>
      <c r="T503">
        <v>0</v>
      </c>
      <c r="U503">
        <v>1</v>
      </c>
      <c r="V503">
        <v>0</v>
      </c>
      <c r="W503">
        <v>1</v>
      </c>
      <c r="X503">
        <v>0</v>
      </c>
      <c r="Y503">
        <v>0</v>
      </c>
      <c r="Z503">
        <v>0</v>
      </c>
      <c r="AA503" t="str">
        <f t="shared" si="43"/>
        <v>Early Tenure</v>
      </c>
      <c r="AB503" s="5">
        <v>45888</v>
      </c>
      <c r="AC503">
        <f t="shared" si="44"/>
        <v>1</v>
      </c>
      <c r="AD503" t="s">
        <v>38</v>
      </c>
      <c r="AE503">
        <f>VLOOKUP(A503,'Employee Engagement Survey'!A347:B1816,2,FALSE)</f>
        <v>4</v>
      </c>
      <c r="AF503">
        <f>VLOOKUP(A503,'Employee Engagement Survey'!A347:C1816,3,FALSE)</f>
        <v>2</v>
      </c>
      <c r="AG503">
        <f>VLOOKUP(A503,'Employee Engagement Survey'!A347:D1816,4,FALSE)</f>
        <v>4</v>
      </c>
      <c r="AH503">
        <f>VLOOKUP(A503,'Employee Engagement Survey'!A347:E1816,5,FALSE)</f>
        <v>4</v>
      </c>
      <c r="AI503">
        <f t="shared" si="42"/>
        <v>3.5</v>
      </c>
    </row>
    <row r="504" spans="1:35" hidden="1" x14ac:dyDescent="0.4">
      <c r="A504">
        <v>2010</v>
      </c>
      <c r="B504" t="s">
        <v>34</v>
      </c>
      <c r="C504">
        <f t="shared" si="45"/>
        <v>1</v>
      </c>
      <c r="D504" t="s">
        <v>46</v>
      </c>
      <c r="E504">
        <f t="shared" si="41"/>
        <v>0</v>
      </c>
      <c r="F504" t="s">
        <v>28</v>
      </c>
      <c r="G504">
        <v>5</v>
      </c>
      <c r="H504" s="1">
        <v>58044</v>
      </c>
      <c r="I504" s="10">
        <v>0.13</v>
      </c>
      <c r="J504">
        <v>37.5</v>
      </c>
      <c r="K504" t="s">
        <v>34</v>
      </c>
      <c r="L504">
        <v>32</v>
      </c>
      <c r="M504" t="s">
        <v>47</v>
      </c>
      <c r="N504" t="s">
        <v>30</v>
      </c>
      <c r="O504" t="s">
        <v>31</v>
      </c>
      <c r="P504">
        <v>29</v>
      </c>
      <c r="Q504" t="s">
        <v>51</v>
      </c>
      <c r="R504" t="s">
        <v>37</v>
      </c>
      <c r="S504">
        <v>3</v>
      </c>
      <c r="T504">
        <v>0</v>
      </c>
      <c r="U504">
        <v>6</v>
      </c>
      <c r="V504">
        <v>3</v>
      </c>
      <c r="W504">
        <v>6</v>
      </c>
      <c r="X504">
        <v>2</v>
      </c>
      <c r="Y504">
        <v>4</v>
      </c>
      <c r="Z504">
        <v>1</v>
      </c>
      <c r="AA504" t="str">
        <f t="shared" si="43"/>
        <v>Mid Tenure</v>
      </c>
      <c r="AB504" s="5">
        <v>45822</v>
      </c>
      <c r="AC504">
        <f t="shared" si="44"/>
        <v>1</v>
      </c>
      <c r="AD504" t="s">
        <v>49</v>
      </c>
      <c r="AE504">
        <f>VLOOKUP(A504,'Employee Engagement Survey'!A348:B1817,2,FALSE)</f>
        <v>3</v>
      </c>
      <c r="AF504">
        <f>VLOOKUP(A504,'Employee Engagement Survey'!A348:C1817,3,FALSE)</f>
        <v>2</v>
      </c>
      <c r="AG504">
        <f>VLOOKUP(A504,'Employee Engagement Survey'!A348:D1817,4,FALSE)</f>
        <v>3</v>
      </c>
      <c r="AH504">
        <f>VLOOKUP(A504,'Employee Engagement Survey'!A348:E1817,5,FALSE)</f>
        <v>3</v>
      </c>
      <c r="AI504">
        <f t="shared" si="42"/>
        <v>2.75</v>
      </c>
    </row>
    <row r="505" spans="1:35" hidden="1" x14ac:dyDescent="0.4">
      <c r="A505">
        <v>1297</v>
      </c>
      <c r="B505" t="s">
        <v>34</v>
      </c>
      <c r="C505">
        <f t="shared" si="45"/>
        <v>1</v>
      </c>
      <c r="D505" t="s">
        <v>46</v>
      </c>
      <c r="E505">
        <f t="shared" si="41"/>
        <v>0</v>
      </c>
      <c r="F505" t="s">
        <v>28</v>
      </c>
      <c r="G505">
        <v>5</v>
      </c>
      <c r="H505" s="1">
        <v>58056</v>
      </c>
      <c r="I505" s="10">
        <v>0.14000000000000001</v>
      </c>
      <c r="J505">
        <v>37.5</v>
      </c>
      <c r="K505" t="s">
        <v>34</v>
      </c>
      <c r="L505">
        <v>51</v>
      </c>
      <c r="M505" t="s">
        <v>47</v>
      </c>
      <c r="N505" t="s">
        <v>30</v>
      </c>
      <c r="O505" t="s">
        <v>44</v>
      </c>
      <c r="P505">
        <v>6</v>
      </c>
      <c r="Q505" t="s">
        <v>36</v>
      </c>
      <c r="R505" t="s">
        <v>33</v>
      </c>
      <c r="S505">
        <v>3</v>
      </c>
      <c r="T505">
        <v>0</v>
      </c>
      <c r="U505">
        <v>8</v>
      </c>
      <c r="V505">
        <v>6</v>
      </c>
      <c r="W505">
        <v>7</v>
      </c>
      <c r="X505">
        <v>0</v>
      </c>
      <c r="Y505">
        <v>7</v>
      </c>
      <c r="Z505">
        <v>7</v>
      </c>
      <c r="AA505" t="str">
        <f t="shared" si="43"/>
        <v>Mid Tenure</v>
      </c>
      <c r="AB505" s="5">
        <v>44698</v>
      </c>
      <c r="AC505">
        <f t="shared" si="44"/>
        <v>0</v>
      </c>
      <c r="AD505" t="s">
        <v>49</v>
      </c>
      <c r="AE505">
        <f>VLOOKUP(A505,'Employee Engagement Survey'!A349:B1818,2,FALSE)</f>
        <v>2</v>
      </c>
      <c r="AF505">
        <f>VLOOKUP(A505,'Employee Engagement Survey'!A349:C1818,3,FALSE)</f>
        <v>3</v>
      </c>
      <c r="AG505">
        <f>VLOOKUP(A505,'Employee Engagement Survey'!A349:D1818,4,FALSE)</f>
        <v>2</v>
      </c>
      <c r="AH505">
        <f>VLOOKUP(A505,'Employee Engagement Survey'!A349:E1818,5,FALSE)</f>
        <v>2</v>
      </c>
      <c r="AI505">
        <f t="shared" si="42"/>
        <v>2.25</v>
      </c>
    </row>
    <row r="506" spans="1:35" hidden="1" x14ac:dyDescent="0.4">
      <c r="A506">
        <v>466</v>
      </c>
      <c r="B506" t="s">
        <v>34</v>
      </c>
      <c r="C506">
        <f t="shared" si="45"/>
        <v>1</v>
      </c>
      <c r="D506" t="s">
        <v>54</v>
      </c>
      <c r="E506">
        <f t="shared" si="41"/>
        <v>1</v>
      </c>
      <c r="F506" t="s">
        <v>28</v>
      </c>
      <c r="G506">
        <v>7</v>
      </c>
      <c r="H506" s="1">
        <v>84384</v>
      </c>
      <c r="I506" s="10">
        <v>0.15</v>
      </c>
      <c r="J506">
        <v>37.5</v>
      </c>
      <c r="K506" t="s">
        <v>26</v>
      </c>
      <c r="L506">
        <v>41</v>
      </c>
      <c r="M506" t="s">
        <v>29</v>
      </c>
      <c r="N506" t="s">
        <v>30</v>
      </c>
      <c r="O506" t="s">
        <v>31</v>
      </c>
      <c r="P506">
        <v>6</v>
      </c>
      <c r="Q506" t="s">
        <v>43</v>
      </c>
      <c r="R506" t="s">
        <v>33</v>
      </c>
      <c r="S506">
        <v>3</v>
      </c>
      <c r="T506">
        <v>0</v>
      </c>
      <c r="U506">
        <v>8</v>
      </c>
      <c r="V506">
        <v>3</v>
      </c>
      <c r="W506">
        <v>5</v>
      </c>
      <c r="X506">
        <v>4</v>
      </c>
      <c r="Y506">
        <v>1</v>
      </c>
      <c r="Z506">
        <v>2</v>
      </c>
      <c r="AA506" t="str">
        <f t="shared" si="43"/>
        <v>Mid Tenure</v>
      </c>
      <c r="AB506" s="5">
        <v>45454</v>
      </c>
      <c r="AC506">
        <f t="shared" si="44"/>
        <v>1</v>
      </c>
      <c r="AD506" t="s">
        <v>38</v>
      </c>
      <c r="AE506">
        <f>VLOOKUP(A506,'Employee Engagement Survey'!A350:B1819,2,FALSE)</f>
        <v>4</v>
      </c>
      <c r="AF506">
        <f>VLOOKUP(A506,'Employee Engagement Survey'!A350:C1819,3,FALSE)</f>
        <v>2</v>
      </c>
      <c r="AG506">
        <f>VLOOKUP(A506,'Employee Engagement Survey'!A350:D1819,4,FALSE)</f>
        <v>4</v>
      </c>
      <c r="AH506">
        <f>VLOOKUP(A506,'Employee Engagement Survey'!A350:E1819,5,FALSE)</f>
        <v>3</v>
      </c>
      <c r="AI506">
        <f t="shared" si="42"/>
        <v>3.25</v>
      </c>
    </row>
    <row r="507" spans="1:35" hidden="1" x14ac:dyDescent="0.4">
      <c r="A507">
        <v>467</v>
      </c>
      <c r="B507" t="s">
        <v>34</v>
      </c>
      <c r="C507">
        <f t="shared" si="45"/>
        <v>1</v>
      </c>
      <c r="D507" t="s">
        <v>39</v>
      </c>
      <c r="E507">
        <f t="shared" si="41"/>
        <v>0</v>
      </c>
      <c r="F507" t="s">
        <v>40</v>
      </c>
      <c r="G507">
        <v>5</v>
      </c>
      <c r="H507" s="1">
        <v>59712</v>
      </c>
      <c r="I507" s="10">
        <v>0.19</v>
      </c>
      <c r="J507">
        <v>37.5</v>
      </c>
      <c r="K507" t="s">
        <v>34</v>
      </c>
      <c r="L507">
        <v>47</v>
      </c>
      <c r="M507" t="s">
        <v>29</v>
      </c>
      <c r="N507" t="s">
        <v>30</v>
      </c>
      <c r="O507" t="s">
        <v>44</v>
      </c>
      <c r="P507">
        <v>4</v>
      </c>
      <c r="Q507" t="s">
        <v>32</v>
      </c>
      <c r="R507" t="s">
        <v>33</v>
      </c>
      <c r="S507">
        <v>3</v>
      </c>
      <c r="T507">
        <v>0</v>
      </c>
      <c r="U507">
        <v>5</v>
      </c>
      <c r="V507">
        <v>3</v>
      </c>
      <c r="W507">
        <v>0</v>
      </c>
      <c r="X507">
        <v>0</v>
      </c>
      <c r="Y507">
        <v>0</v>
      </c>
      <c r="Z507">
        <v>0</v>
      </c>
      <c r="AA507" t="str">
        <f t="shared" si="43"/>
        <v>Early Tenure</v>
      </c>
      <c r="AB507" s="5">
        <v>45355</v>
      </c>
      <c r="AC507">
        <f t="shared" si="44"/>
        <v>1</v>
      </c>
      <c r="AD507" t="s">
        <v>49</v>
      </c>
      <c r="AE507">
        <f>VLOOKUP(A507,'Employee Engagement Survey'!A352:B1821,2,FALSE)</f>
        <v>2</v>
      </c>
      <c r="AF507">
        <f>VLOOKUP(A507,'Employee Engagement Survey'!A352:C1821,3,FALSE)</f>
        <v>3</v>
      </c>
      <c r="AG507">
        <f>VLOOKUP(A507,'Employee Engagement Survey'!A352:D1821,4,FALSE)</f>
        <v>1</v>
      </c>
      <c r="AH507">
        <f>VLOOKUP(A507,'Employee Engagement Survey'!A352:E1821,5,FALSE)</f>
        <v>3</v>
      </c>
      <c r="AI507">
        <f t="shared" si="42"/>
        <v>2.25</v>
      </c>
    </row>
    <row r="508" spans="1:35" hidden="1" x14ac:dyDescent="0.4">
      <c r="A508">
        <v>1875</v>
      </c>
      <c r="B508" t="s">
        <v>34</v>
      </c>
      <c r="C508">
        <f t="shared" si="45"/>
        <v>1</v>
      </c>
      <c r="D508" t="s">
        <v>39</v>
      </c>
      <c r="E508">
        <f t="shared" si="41"/>
        <v>0</v>
      </c>
      <c r="F508" t="s">
        <v>40</v>
      </c>
      <c r="G508">
        <v>5</v>
      </c>
      <c r="H508" s="1">
        <v>58272</v>
      </c>
      <c r="I508" s="10">
        <v>0.19</v>
      </c>
      <c r="J508">
        <v>37.5</v>
      </c>
      <c r="K508" t="s">
        <v>34</v>
      </c>
      <c r="L508">
        <v>28</v>
      </c>
      <c r="M508" t="s">
        <v>47</v>
      </c>
      <c r="N508" t="s">
        <v>42</v>
      </c>
      <c r="O508" t="s">
        <v>31</v>
      </c>
      <c r="P508">
        <v>3</v>
      </c>
      <c r="Q508" t="s">
        <v>43</v>
      </c>
      <c r="R508" t="s">
        <v>33</v>
      </c>
      <c r="S508">
        <v>3</v>
      </c>
      <c r="T508">
        <v>1</v>
      </c>
      <c r="U508">
        <v>1</v>
      </c>
      <c r="V508">
        <v>3</v>
      </c>
      <c r="W508">
        <v>1</v>
      </c>
      <c r="X508">
        <v>0</v>
      </c>
      <c r="Y508">
        <v>0</v>
      </c>
      <c r="Z508">
        <v>0</v>
      </c>
      <c r="AA508" t="str">
        <f t="shared" si="43"/>
        <v>Early Tenure</v>
      </c>
      <c r="AB508" s="5">
        <v>45034</v>
      </c>
      <c r="AC508">
        <f t="shared" si="44"/>
        <v>0</v>
      </c>
      <c r="AD508" t="s">
        <v>38</v>
      </c>
      <c r="AE508">
        <f>VLOOKUP(A508,'Employee Engagement Survey'!A353:B1822,2,FALSE)</f>
        <v>2</v>
      </c>
      <c r="AF508">
        <f>VLOOKUP(A508,'Employee Engagement Survey'!A353:C1822,3,FALSE)</f>
        <v>2</v>
      </c>
      <c r="AG508">
        <f>VLOOKUP(A508,'Employee Engagement Survey'!A353:D1822,4,FALSE)</f>
        <v>4</v>
      </c>
      <c r="AH508">
        <f>VLOOKUP(A508,'Employee Engagement Survey'!A353:E1822,5,FALSE)</f>
        <v>3</v>
      </c>
      <c r="AI508">
        <f t="shared" si="42"/>
        <v>2.75</v>
      </c>
    </row>
    <row r="509" spans="1:35" hidden="1" x14ac:dyDescent="0.4">
      <c r="A509">
        <v>469</v>
      </c>
      <c r="B509" t="s">
        <v>34</v>
      </c>
      <c r="C509">
        <f t="shared" si="45"/>
        <v>1</v>
      </c>
      <c r="D509" t="s">
        <v>57</v>
      </c>
      <c r="E509">
        <f t="shared" si="41"/>
        <v>0</v>
      </c>
      <c r="F509" t="s">
        <v>40</v>
      </c>
      <c r="G509">
        <v>6</v>
      </c>
      <c r="H509" s="1">
        <v>67788</v>
      </c>
      <c r="I509" s="10">
        <v>0.14000000000000001</v>
      </c>
      <c r="J509">
        <v>37.5</v>
      </c>
      <c r="K509" t="s">
        <v>34</v>
      </c>
      <c r="L509">
        <v>29</v>
      </c>
      <c r="M509" t="s">
        <v>29</v>
      </c>
      <c r="N509" t="s">
        <v>42</v>
      </c>
      <c r="O509" t="s">
        <v>35</v>
      </c>
      <c r="P509">
        <v>2</v>
      </c>
      <c r="Q509" t="s">
        <v>43</v>
      </c>
      <c r="R509" t="s">
        <v>37</v>
      </c>
      <c r="S509">
        <v>3</v>
      </c>
      <c r="T509">
        <v>1</v>
      </c>
      <c r="U509">
        <v>4</v>
      </c>
      <c r="V509">
        <v>3</v>
      </c>
      <c r="W509">
        <v>4</v>
      </c>
      <c r="X509">
        <v>3</v>
      </c>
      <c r="Y509">
        <v>0</v>
      </c>
      <c r="Z509">
        <v>2</v>
      </c>
      <c r="AA509" t="str">
        <f t="shared" si="43"/>
        <v>Mid Tenure</v>
      </c>
      <c r="AB509" s="5">
        <v>45038</v>
      </c>
      <c r="AC509">
        <f t="shared" si="44"/>
        <v>0</v>
      </c>
      <c r="AD509" t="s">
        <v>49</v>
      </c>
      <c r="AE509">
        <f>VLOOKUP(A509,'Employee Engagement Survey'!A354:B1823,2,FALSE)</f>
        <v>4</v>
      </c>
      <c r="AF509">
        <f>VLOOKUP(A509,'Employee Engagement Survey'!A354:C1823,3,FALSE)</f>
        <v>3</v>
      </c>
      <c r="AG509">
        <f>VLOOKUP(A509,'Employee Engagement Survey'!A354:D1823,4,FALSE)</f>
        <v>1</v>
      </c>
      <c r="AH509">
        <f>VLOOKUP(A509,'Employee Engagement Survey'!A354:E1823,5,FALSE)</f>
        <v>2</v>
      </c>
      <c r="AI509">
        <f t="shared" si="42"/>
        <v>2.5</v>
      </c>
    </row>
    <row r="510" spans="1:35" hidden="1" x14ac:dyDescent="0.4">
      <c r="A510">
        <v>470</v>
      </c>
      <c r="B510" t="s">
        <v>34</v>
      </c>
      <c r="C510">
        <f t="shared" si="45"/>
        <v>1</v>
      </c>
      <c r="D510" t="s">
        <v>104</v>
      </c>
      <c r="E510">
        <f t="shared" si="41"/>
        <v>0</v>
      </c>
      <c r="F510" t="s">
        <v>59</v>
      </c>
      <c r="G510">
        <v>5</v>
      </c>
      <c r="H510" s="1">
        <v>56352</v>
      </c>
      <c r="I510" s="10">
        <v>0.11</v>
      </c>
      <c r="J510">
        <v>37.5</v>
      </c>
      <c r="K510" t="s">
        <v>26</v>
      </c>
      <c r="L510">
        <v>42</v>
      </c>
      <c r="M510" t="s">
        <v>29</v>
      </c>
      <c r="N510" t="s">
        <v>48</v>
      </c>
      <c r="O510" t="s">
        <v>31</v>
      </c>
      <c r="P510">
        <v>2</v>
      </c>
      <c r="Q510" t="s">
        <v>32</v>
      </c>
      <c r="R510" t="s">
        <v>45</v>
      </c>
      <c r="S510">
        <v>3</v>
      </c>
      <c r="T510">
        <v>1</v>
      </c>
      <c r="U510">
        <v>4</v>
      </c>
      <c r="V510">
        <v>5</v>
      </c>
      <c r="W510">
        <v>3</v>
      </c>
      <c r="X510">
        <v>2</v>
      </c>
      <c r="Y510">
        <v>1</v>
      </c>
      <c r="Z510">
        <v>0</v>
      </c>
      <c r="AA510" t="str">
        <f t="shared" si="43"/>
        <v>Mid Tenure</v>
      </c>
      <c r="AB510" s="5">
        <v>44706</v>
      </c>
      <c r="AC510">
        <f t="shared" si="44"/>
        <v>0</v>
      </c>
      <c r="AD510" t="s">
        <v>49</v>
      </c>
      <c r="AE510">
        <f>VLOOKUP(A510,'Employee Engagement Survey'!A355:B1824,2,FALSE)</f>
        <v>3</v>
      </c>
      <c r="AF510">
        <f>VLOOKUP(A510,'Employee Engagement Survey'!A355:C1824,3,FALSE)</f>
        <v>3</v>
      </c>
      <c r="AG510">
        <f>VLOOKUP(A510,'Employee Engagement Survey'!A355:D1824,4,FALSE)</f>
        <v>3</v>
      </c>
      <c r="AH510">
        <f>VLOOKUP(A510,'Employee Engagement Survey'!A355:E1824,5,FALSE)</f>
        <v>3</v>
      </c>
      <c r="AI510">
        <f t="shared" si="42"/>
        <v>3</v>
      </c>
    </row>
    <row r="511" spans="1:35" hidden="1" x14ac:dyDescent="0.4">
      <c r="A511">
        <v>474</v>
      </c>
      <c r="B511" t="s">
        <v>34</v>
      </c>
      <c r="C511">
        <f t="shared" si="45"/>
        <v>1</v>
      </c>
      <c r="D511" t="s">
        <v>27</v>
      </c>
      <c r="E511">
        <f t="shared" si="41"/>
        <v>0</v>
      </c>
      <c r="F511" t="s">
        <v>28</v>
      </c>
      <c r="G511">
        <v>7</v>
      </c>
      <c r="H511" s="1">
        <v>83688</v>
      </c>
      <c r="I511" s="10">
        <v>0.13</v>
      </c>
      <c r="J511">
        <v>37.5</v>
      </c>
      <c r="K511" t="s">
        <v>26</v>
      </c>
      <c r="L511">
        <v>37</v>
      </c>
      <c r="M511" t="s">
        <v>29</v>
      </c>
      <c r="N511" t="s">
        <v>48</v>
      </c>
      <c r="O511" t="s">
        <v>31</v>
      </c>
      <c r="P511">
        <v>6</v>
      </c>
      <c r="Q511" t="s">
        <v>43</v>
      </c>
      <c r="R511" t="s">
        <v>33</v>
      </c>
      <c r="S511">
        <v>3</v>
      </c>
      <c r="T511">
        <v>2</v>
      </c>
      <c r="U511">
        <v>13</v>
      </c>
      <c r="V511">
        <v>2</v>
      </c>
      <c r="W511">
        <v>7</v>
      </c>
      <c r="X511">
        <v>7</v>
      </c>
      <c r="Y511">
        <v>6</v>
      </c>
      <c r="Z511">
        <v>7</v>
      </c>
      <c r="AA511" t="str">
        <f t="shared" si="43"/>
        <v>Mid Tenure</v>
      </c>
      <c r="AB511" s="5">
        <v>44910</v>
      </c>
      <c r="AC511">
        <f t="shared" si="44"/>
        <v>0</v>
      </c>
      <c r="AD511" t="s">
        <v>49</v>
      </c>
      <c r="AE511">
        <f>VLOOKUP(A511,'Employee Engagement Survey'!A356:B1825,2,FALSE)</f>
        <v>3</v>
      </c>
      <c r="AF511">
        <f>VLOOKUP(A511,'Employee Engagement Survey'!A356:C1825,3,FALSE)</f>
        <v>1</v>
      </c>
      <c r="AG511">
        <f>VLOOKUP(A511,'Employee Engagement Survey'!A356:D1825,4,FALSE)</f>
        <v>1</v>
      </c>
      <c r="AH511">
        <f>VLOOKUP(A511,'Employee Engagement Survey'!A356:E1825,5,FALSE)</f>
        <v>3</v>
      </c>
      <c r="AI511">
        <f t="shared" si="42"/>
        <v>2</v>
      </c>
    </row>
    <row r="512" spans="1:35" hidden="1" x14ac:dyDescent="0.4">
      <c r="A512">
        <v>476</v>
      </c>
      <c r="B512" t="s">
        <v>34</v>
      </c>
      <c r="C512">
        <f t="shared" si="45"/>
        <v>1</v>
      </c>
      <c r="D512" t="s">
        <v>57</v>
      </c>
      <c r="E512">
        <f t="shared" si="41"/>
        <v>0</v>
      </c>
      <c r="F512" t="s">
        <v>40</v>
      </c>
      <c r="G512">
        <v>7</v>
      </c>
      <c r="H512" s="1">
        <v>75552</v>
      </c>
      <c r="I512" s="10">
        <v>0.17</v>
      </c>
      <c r="J512">
        <v>37.5</v>
      </c>
      <c r="K512" t="s">
        <v>34</v>
      </c>
      <c r="L512">
        <v>26</v>
      </c>
      <c r="M512" t="s">
        <v>29</v>
      </c>
      <c r="N512" t="s">
        <v>42</v>
      </c>
      <c r="O512" t="s">
        <v>31</v>
      </c>
      <c r="P512">
        <v>1</v>
      </c>
      <c r="Q512" t="s">
        <v>43</v>
      </c>
      <c r="R512" t="s">
        <v>37</v>
      </c>
      <c r="S512">
        <v>3</v>
      </c>
      <c r="T512">
        <v>1</v>
      </c>
      <c r="U512">
        <v>8</v>
      </c>
      <c r="V512">
        <v>3</v>
      </c>
      <c r="W512">
        <v>8</v>
      </c>
      <c r="X512">
        <v>7</v>
      </c>
      <c r="Y512">
        <v>7</v>
      </c>
      <c r="Z512">
        <v>7</v>
      </c>
      <c r="AA512" t="str">
        <f t="shared" si="43"/>
        <v>Mid Tenure</v>
      </c>
      <c r="AB512" s="5">
        <v>44615</v>
      </c>
      <c r="AC512">
        <f t="shared" si="44"/>
        <v>0</v>
      </c>
      <c r="AD512" t="s">
        <v>38</v>
      </c>
      <c r="AE512">
        <f>VLOOKUP(A512,'Employee Engagement Survey'!A358:B1827,2,FALSE)</f>
        <v>3</v>
      </c>
      <c r="AF512">
        <f>VLOOKUP(A512,'Employee Engagement Survey'!A358:C1827,3,FALSE)</f>
        <v>3</v>
      </c>
      <c r="AG512">
        <f>VLOOKUP(A512,'Employee Engagement Survey'!A358:D1827,4,FALSE)</f>
        <v>2</v>
      </c>
      <c r="AH512">
        <f>VLOOKUP(A512,'Employee Engagement Survey'!A358:E1827,5,FALSE)</f>
        <v>3</v>
      </c>
      <c r="AI512">
        <f t="shared" si="42"/>
        <v>2.75</v>
      </c>
    </row>
    <row r="513" spans="1:35" hidden="1" x14ac:dyDescent="0.4">
      <c r="A513">
        <v>144</v>
      </c>
      <c r="B513" t="s">
        <v>34</v>
      </c>
      <c r="C513">
        <f t="shared" si="45"/>
        <v>1</v>
      </c>
      <c r="D513" t="s">
        <v>46</v>
      </c>
      <c r="E513">
        <f t="shared" si="41"/>
        <v>0</v>
      </c>
      <c r="F513" t="s">
        <v>28</v>
      </c>
      <c r="G513">
        <v>5</v>
      </c>
      <c r="H513" s="1">
        <v>58452</v>
      </c>
      <c r="I513" s="10">
        <v>0.15</v>
      </c>
      <c r="J513">
        <v>37.5</v>
      </c>
      <c r="K513" t="s">
        <v>34</v>
      </c>
      <c r="L513">
        <v>22</v>
      </c>
      <c r="M513" t="s">
        <v>47</v>
      </c>
      <c r="N513" t="s">
        <v>30</v>
      </c>
      <c r="O513" t="s">
        <v>31</v>
      </c>
      <c r="P513">
        <v>15</v>
      </c>
      <c r="Q513" t="s">
        <v>43</v>
      </c>
      <c r="R513" t="s">
        <v>33</v>
      </c>
      <c r="S513">
        <v>3</v>
      </c>
      <c r="T513">
        <v>0</v>
      </c>
      <c r="U513">
        <v>1</v>
      </c>
      <c r="V513">
        <v>5</v>
      </c>
      <c r="W513">
        <v>0</v>
      </c>
      <c r="X513">
        <v>0</v>
      </c>
      <c r="Y513">
        <v>0</v>
      </c>
      <c r="Z513">
        <v>0</v>
      </c>
      <c r="AA513" t="str">
        <f t="shared" si="43"/>
        <v>Early Tenure</v>
      </c>
      <c r="AB513" s="5">
        <v>46011</v>
      </c>
      <c r="AC513">
        <f t="shared" si="44"/>
        <v>1</v>
      </c>
      <c r="AD513" t="s">
        <v>38</v>
      </c>
      <c r="AE513">
        <f>VLOOKUP(A513,'Employee Engagement Survey'!A359:B1828,2,FALSE)</f>
        <v>2</v>
      </c>
      <c r="AF513">
        <f>VLOOKUP(A513,'Employee Engagement Survey'!A359:C1828,3,FALSE)</f>
        <v>4</v>
      </c>
      <c r="AG513">
        <f>VLOOKUP(A513,'Employee Engagement Survey'!A359:D1828,4,FALSE)</f>
        <v>3</v>
      </c>
      <c r="AH513">
        <f>VLOOKUP(A513,'Employee Engagement Survey'!A359:E1828,5,FALSE)</f>
        <v>3</v>
      </c>
      <c r="AI513">
        <f t="shared" si="42"/>
        <v>3</v>
      </c>
    </row>
    <row r="514" spans="1:35" hidden="1" x14ac:dyDescent="0.4">
      <c r="A514">
        <v>477</v>
      </c>
      <c r="B514" t="s">
        <v>34</v>
      </c>
      <c r="C514">
        <f t="shared" si="45"/>
        <v>1</v>
      </c>
      <c r="D514" t="s">
        <v>55</v>
      </c>
      <c r="E514">
        <f t="shared" ref="E514:E577" si="46">IF(OR(D514="Manager, HR", D514="Manager, Sales", D514="Manager, R&amp;D", D514="Manufacturing Director",D514="Research Director", D514="VP, HR", D514="CEO"),1,0)</f>
        <v>0</v>
      </c>
      <c r="F514" t="s">
        <v>28</v>
      </c>
      <c r="G514">
        <v>8</v>
      </c>
      <c r="H514" s="1">
        <v>93372</v>
      </c>
      <c r="I514" s="10">
        <v>0.23</v>
      </c>
      <c r="J514">
        <v>37.5</v>
      </c>
      <c r="K514" t="s">
        <v>34</v>
      </c>
      <c r="L514">
        <v>42</v>
      </c>
      <c r="M514" t="s">
        <v>29</v>
      </c>
      <c r="N514" t="s">
        <v>30</v>
      </c>
      <c r="O514" t="s">
        <v>31</v>
      </c>
      <c r="P514">
        <v>2</v>
      </c>
      <c r="Q514" t="s">
        <v>51</v>
      </c>
      <c r="R514" t="s">
        <v>53</v>
      </c>
      <c r="S514">
        <v>4</v>
      </c>
      <c r="T514">
        <v>0</v>
      </c>
      <c r="U514">
        <v>14</v>
      </c>
      <c r="V514">
        <v>6</v>
      </c>
      <c r="W514">
        <v>1</v>
      </c>
      <c r="X514">
        <v>0</v>
      </c>
      <c r="Y514">
        <v>0</v>
      </c>
      <c r="Z514">
        <v>0</v>
      </c>
      <c r="AA514" t="str">
        <f t="shared" si="43"/>
        <v>Early Tenure</v>
      </c>
      <c r="AB514" s="5">
        <v>45531</v>
      </c>
      <c r="AC514">
        <f t="shared" si="44"/>
        <v>1</v>
      </c>
      <c r="AD514" t="s">
        <v>38</v>
      </c>
      <c r="AE514">
        <f>VLOOKUP(A514,'Employee Engagement Survey'!A360:B1829,2,FALSE)</f>
        <v>1</v>
      </c>
      <c r="AF514">
        <f>VLOOKUP(A514,'Employee Engagement Survey'!A360:C1829,3,FALSE)</f>
        <v>4</v>
      </c>
      <c r="AG514">
        <f>VLOOKUP(A514,'Employee Engagement Survey'!A360:D1829,4,FALSE)</f>
        <v>2</v>
      </c>
      <c r="AH514">
        <f>VLOOKUP(A514,'Employee Engagement Survey'!A360:E1829,5,FALSE)</f>
        <v>3</v>
      </c>
      <c r="AI514">
        <f t="shared" ref="AI514:AI577" si="47">AVERAGE(AE514:AH514)</f>
        <v>2.5</v>
      </c>
    </row>
    <row r="515" spans="1:35" hidden="1" x14ac:dyDescent="0.4">
      <c r="A515">
        <v>560</v>
      </c>
      <c r="B515" t="s">
        <v>34</v>
      </c>
      <c r="C515">
        <f t="shared" si="45"/>
        <v>1</v>
      </c>
      <c r="D515" t="s">
        <v>27</v>
      </c>
      <c r="E515">
        <f t="shared" si="46"/>
        <v>0</v>
      </c>
      <c r="F515" t="s">
        <v>28</v>
      </c>
      <c r="G515">
        <v>5</v>
      </c>
      <c r="H515" s="1">
        <v>58632</v>
      </c>
      <c r="I515" s="10">
        <v>0.22</v>
      </c>
      <c r="J515">
        <v>37.5</v>
      </c>
      <c r="K515" t="s">
        <v>34</v>
      </c>
      <c r="L515">
        <v>26</v>
      </c>
      <c r="M515" t="s">
        <v>47</v>
      </c>
      <c r="N515" t="s">
        <v>48</v>
      </c>
      <c r="O515" t="s">
        <v>31</v>
      </c>
      <c r="P515">
        <v>23</v>
      </c>
      <c r="Q515" t="s">
        <v>43</v>
      </c>
      <c r="R515" t="s">
        <v>37</v>
      </c>
      <c r="S515">
        <v>4</v>
      </c>
      <c r="T515">
        <v>2</v>
      </c>
      <c r="U515">
        <v>3</v>
      </c>
      <c r="V515">
        <v>3</v>
      </c>
      <c r="W515">
        <v>3</v>
      </c>
      <c r="X515">
        <v>2</v>
      </c>
      <c r="Y515">
        <v>0</v>
      </c>
      <c r="Z515">
        <v>2</v>
      </c>
      <c r="AA515" t="str">
        <f t="shared" ref="AA515:AA578" si="48">IF(W515&lt;=2,"Early Tenure",IF(W515&lt;=9,"Mid Tenure","Long Tenure"))</f>
        <v>Mid Tenure</v>
      </c>
      <c r="AB515" s="5">
        <v>45128</v>
      </c>
      <c r="AC515">
        <f t="shared" ref="AC515:AC578" si="49">IF(AND(AB515&lt;&gt;"",AB515&gt;DATE(2024,1,1)),1,0)</f>
        <v>0</v>
      </c>
      <c r="AD515" t="s">
        <v>38</v>
      </c>
      <c r="AE515">
        <f>VLOOKUP(A515,'Employee Engagement Survey'!A361:B1830,2,FALSE)</f>
        <v>1</v>
      </c>
      <c r="AF515">
        <f>VLOOKUP(A515,'Employee Engagement Survey'!A361:C1830,3,FALSE)</f>
        <v>4</v>
      </c>
      <c r="AG515">
        <f>VLOOKUP(A515,'Employee Engagement Survey'!A361:D1830,4,FALSE)</f>
        <v>2</v>
      </c>
      <c r="AH515">
        <f>VLOOKUP(A515,'Employee Engagement Survey'!A361:E1830,5,FALSE)</f>
        <v>1</v>
      </c>
      <c r="AI515">
        <f t="shared" si="47"/>
        <v>2</v>
      </c>
    </row>
    <row r="516" spans="1:35" hidden="1" x14ac:dyDescent="0.4">
      <c r="A516">
        <v>481</v>
      </c>
      <c r="B516" t="s">
        <v>34</v>
      </c>
      <c r="C516">
        <f t="shared" si="45"/>
        <v>1</v>
      </c>
      <c r="D516" t="s">
        <v>57</v>
      </c>
      <c r="E516">
        <f t="shared" si="46"/>
        <v>0</v>
      </c>
      <c r="F516" t="s">
        <v>40</v>
      </c>
      <c r="G516">
        <v>9</v>
      </c>
      <c r="H516" s="1">
        <v>128388</v>
      </c>
      <c r="I516" s="10">
        <v>0.11</v>
      </c>
      <c r="J516">
        <v>37.5</v>
      </c>
      <c r="K516" t="s">
        <v>34</v>
      </c>
      <c r="L516">
        <v>36</v>
      </c>
      <c r="M516" t="s">
        <v>29</v>
      </c>
      <c r="N516" t="s">
        <v>42</v>
      </c>
      <c r="O516" t="s">
        <v>44</v>
      </c>
      <c r="P516">
        <v>3</v>
      </c>
      <c r="Q516" t="s">
        <v>51</v>
      </c>
      <c r="R516" t="s">
        <v>33</v>
      </c>
      <c r="S516">
        <v>3</v>
      </c>
      <c r="T516">
        <v>1</v>
      </c>
      <c r="U516">
        <v>16</v>
      </c>
      <c r="V516">
        <v>2</v>
      </c>
      <c r="W516">
        <v>13</v>
      </c>
      <c r="X516">
        <v>9</v>
      </c>
      <c r="Y516">
        <v>1</v>
      </c>
      <c r="Z516">
        <v>12</v>
      </c>
      <c r="AA516" t="str">
        <f t="shared" si="48"/>
        <v>Long Tenure</v>
      </c>
      <c r="AB516" s="5">
        <v>45899</v>
      </c>
      <c r="AC516">
        <f t="shared" si="49"/>
        <v>1</v>
      </c>
      <c r="AD516" t="s">
        <v>38</v>
      </c>
      <c r="AE516">
        <f>VLOOKUP(A516,'Employee Engagement Survey'!A363:B1832,2,FALSE)</f>
        <v>1</v>
      </c>
      <c r="AF516">
        <f>VLOOKUP(A516,'Employee Engagement Survey'!A363:C1832,3,FALSE)</f>
        <v>4</v>
      </c>
      <c r="AG516">
        <f>VLOOKUP(A516,'Employee Engagement Survey'!A363:D1832,4,FALSE)</f>
        <v>1</v>
      </c>
      <c r="AH516">
        <f>VLOOKUP(A516,'Employee Engagement Survey'!A363:E1832,5,FALSE)</f>
        <v>3</v>
      </c>
      <c r="AI516">
        <f t="shared" si="47"/>
        <v>2.25</v>
      </c>
    </row>
    <row r="517" spans="1:35" hidden="1" x14ac:dyDescent="0.4">
      <c r="A517">
        <v>1969</v>
      </c>
      <c r="B517" t="s">
        <v>34</v>
      </c>
      <c r="C517">
        <f t="shared" si="45"/>
        <v>1</v>
      </c>
      <c r="D517" t="s">
        <v>27</v>
      </c>
      <c r="E517">
        <f t="shared" si="46"/>
        <v>0</v>
      </c>
      <c r="F517" t="s">
        <v>28</v>
      </c>
      <c r="G517">
        <v>5</v>
      </c>
      <c r="H517" s="1">
        <v>58764</v>
      </c>
      <c r="I517" s="10">
        <v>0.11</v>
      </c>
      <c r="J517">
        <v>37.5</v>
      </c>
      <c r="K517" t="s">
        <v>34</v>
      </c>
      <c r="L517">
        <v>54</v>
      </c>
      <c r="M517" t="s">
        <v>47</v>
      </c>
      <c r="N517" t="s">
        <v>42</v>
      </c>
      <c r="O517" t="s">
        <v>31</v>
      </c>
      <c r="P517">
        <v>9</v>
      </c>
      <c r="Q517" t="s">
        <v>36</v>
      </c>
      <c r="R517" t="s">
        <v>37</v>
      </c>
      <c r="S517">
        <v>3</v>
      </c>
      <c r="T517">
        <v>2</v>
      </c>
      <c r="U517">
        <v>9</v>
      </c>
      <c r="V517">
        <v>6</v>
      </c>
      <c r="W517">
        <v>4</v>
      </c>
      <c r="X517">
        <v>3</v>
      </c>
      <c r="Y517">
        <v>2</v>
      </c>
      <c r="Z517">
        <v>3</v>
      </c>
      <c r="AA517" t="str">
        <f t="shared" si="48"/>
        <v>Mid Tenure</v>
      </c>
      <c r="AB517" s="5">
        <v>45333</v>
      </c>
      <c r="AC517">
        <f t="shared" si="49"/>
        <v>1</v>
      </c>
      <c r="AD517" t="s">
        <v>49</v>
      </c>
      <c r="AE517">
        <f>VLOOKUP(A517,'Employee Engagement Survey'!A364:B1833,2,FALSE)</f>
        <v>1</v>
      </c>
      <c r="AF517">
        <f>VLOOKUP(A517,'Employee Engagement Survey'!A364:C1833,3,FALSE)</f>
        <v>3</v>
      </c>
      <c r="AG517">
        <f>VLOOKUP(A517,'Employee Engagement Survey'!A364:D1833,4,FALSE)</f>
        <v>3</v>
      </c>
      <c r="AH517">
        <f>VLOOKUP(A517,'Employee Engagement Survey'!A364:E1833,5,FALSE)</f>
        <v>2</v>
      </c>
      <c r="AI517">
        <f t="shared" si="47"/>
        <v>2.25</v>
      </c>
    </row>
    <row r="518" spans="1:35" hidden="1" x14ac:dyDescent="0.4">
      <c r="A518">
        <v>482</v>
      </c>
      <c r="B518" t="s">
        <v>34</v>
      </c>
      <c r="C518">
        <f t="shared" si="45"/>
        <v>1</v>
      </c>
      <c r="D518" t="s">
        <v>55</v>
      </c>
      <c r="E518">
        <f t="shared" si="46"/>
        <v>0</v>
      </c>
      <c r="F518" t="s">
        <v>28</v>
      </c>
      <c r="G518">
        <v>8</v>
      </c>
      <c r="H518" s="1">
        <v>93060</v>
      </c>
      <c r="I518" s="10">
        <v>0.11</v>
      </c>
      <c r="J518">
        <v>37.5</v>
      </c>
      <c r="K518" t="s">
        <v>34</v>
      </c>
      <c r="L518">
        <v>57</v>
      </c>
      <c r="M518" t="s">
        <v>29</v>
      </c>
      <c r="N518" t="s">
        <v>42</v>
      </c>
      <c r="O518" t="s">
        <v>31</v>
      </c>
      <c r="P518">
        <v>1</v>
      </c>
      <c r="Q518" t="s">
        <v>51</v>
      </c>
      <c r="R518" t="s">
        <v>33</v>
      </c>
      <c r="S518">
        <v>3</v>
      </c>
      <c r="T518">
        <v>0</v>
      </c>
      <c r="U518">
        <v>15</v>
      </c>
      <c r="V518">
        <v>2</v>
      </c>
      <c r="W518">
        <v>3</v>
      </c>
      <c r="X518">
        <v>2</v>
      </c>
      <c r="Y518">
        <v>1</v>
      </c>
      <c r="Z518">
        <v>2</v>
      </c>
      <c r="AA518" t="str">
        <f t="shared" si="48"/>
        <v>Mid Tenure</v>
      </c>
      <c r="AB518" s="5">
        <v>45705</v>
      </c>
      <c r="AC518">
        <f t="shared" si="49"/>
        <v>1</v>
      </c>
      <c r="AD518" t="s">
        <v>38</v>
      </c>
      <c r="AE518">
        <f>VLOOKUP(A518,'Employee Engagement Survey'!A365:B1834,2,FALSE)</f>
        <v>4</v>
      </c>
      <c r="AF518">
        <f>VLOOKUP(A518,'Employee Engagement Survey'!A365:C1834,3,FALSE)</f>
        <v>3</v>
      </c>
      <c r="AG518">
        <f>VLOOKUP(A518,'Employee Engagement Survey'!A365:D1834,4,FALSE)</f>
        <v>3</v>
      </c>
      <c r="AH518">
        <f>VLOOKUP(A518,'Employee Engagement Survey'!A365:E1834,5,FALSE)</f>
        <v>3</v>
      </c>
      <c r="AI518">
        <f t="shared" si="47"/>
        <v>3.25</v>
      </c>
    </row>
    <row r="519" spans="1:35" hidden="1" x14ac:dyDescent="0.4">
      <c r="A519">
        <v>484</v>
      </c>
      <c r="B519" t="s">
        <v>34</v>
      </c>
      <c r="C519">
        <f t="shared" si="45"/>
        <v>1</v>
      </c>
      <c r="D519" t="s">
        <v>39</v>
      </c>
      <c r="E519">
        <f t="shared" si="46"/>
        <v>0</v>
      </c>
      <c r="F519" t="s">
        <v>40</v>
      </c>
      <c r="G519">
        <v>5</v>
      </c>
      <c r="H519" s="1">
        <v>55320</v>
      </c>
      <c r="I519" s="10">
        <v>0.24</v>
      </c>
      <c r="J519">
        <v>37.5</v>
      </c>
      <c r="K519" t="s">
        <v>34</v>
      </c>
      <c r="L519">
        <v>21</v>
      </c>
      <c r="M519" t="s">
        <v>29</v>
      </c>
      <c r="N519" t="s">
        <v>30</v>
      </c>
      <c r="O519" t="s">
        <v>35</v>
      </c>
      <c r="P519">
        <v>9</v>
      </c>
      <c r="Q519" t="s">
        <v>36</v>
      </c>
      <c r="R519" t="s">
        <v>33</v>
      </c>
      <c r="S519">
        <v>4</v>
      </c>
      <c r="T519">
        <v>0</v>
      </c>
      <c r="U519">
        <v>3</v>
      </c>
      <c r="V519">
        <v>3</v>
      </c>
      <c r="W519">
        <v>3</v>
      </c>
      <c r="X519">
        <v>2</v>
      </c>
      <c r="Y519">
        <v>2</v>
      </c>
      <c r="Z519">
        <v>2</v>
      </c>
      <c r="AA519" t="str">
        <f t="shared" si="48"/>
        <v>Mid Tenure</v>
      </c>
      <c r="AB519" s="5">
        <v>44575</v>
      </c>
      <c r="AC519">
        <f t="shared" si="49"/>
        <v>0</v>
      </c>
      <c r="AD519" t="s">
        <v>38</v>
      </c>
      <c r="AE519">
        <f>VLOOKUP(A519,'Employee Engagement Survey'!A366:B1835,2,FALSE)</f>
        <v>1</v>
      </c>
      <c r="AF519">
        <f>VLOOKUP(A519,'Employee Engagement Survey'!A366:C1835,3,FALSE)</f>
        <v>4</v>
      </c>
      <c r="AG519">
        <f>VLOOKUP(A519,'Employee Engagement Survey'!A366:D1835,4,FALSE)</f>
        <v>3</v>
      </c>
      <c r="AH519">
        <f>VLOOKUP(A519,'Employee Engagement Survey'!A366:E1835,5,FALSE)</f>
        <v>2</v>
      </c>
      <c r="AI519">
        <f t="shared" si="47"/>
        <v>2.5</v>
      </c>
    </row>
    <row r="520" spans="1:35" hidden="1" x14ac:dyDescent="0.4">
      <c r="A520">
        <v>5</v>
      </c>
      <c r="B520" t="s">
        <v>34</v>
      </c>
      <c r="C520">
        <f t="shared" si="45"/>
        <v>1</v>
      </c>
      <c r="D520" t="s">
        <v>27</v>
      </c>
      <c r="E520">
        <f t="shared" si="46"/>
        <v>0</v>
      </c>
      <c r="F520" t="s">
        <v>28</v>
      </c>
      <c r="G520">
        <v>5</v>
      </c>
      <c r="H520" s="1">
        <v>58908</v>
      </c>
      <c r="I520" s="10">
        <v>0.11</v>
      </c>
      <c r="J520">
        <v>37.5</v>
      </c>
      <c r="K520" t="s">
        <v>26</v>
      </c>
      <c r="L520">
        <v>33</v>
      </c>
      <c r="M520" t="s">
        <v>47</v>
      </c>
      <c r="N520" t="s">
        <v>42</v>
      </c>
      <c r="O520" t="s">
        <v>44</v>
      </c>
      <c r="P520">
        <v>3</v>
      </c>
      <c r="Q520" t="s">
        <v>51</v>
      </c>
      <c r="R520" t="s">
        <v>37</v>
      </c>
      <c r="S520">
        <v>3</v>
      </c>
      <c r="T520">
        <v>0</v>
      </c>
      <c r="U520">
        <v>8</v>
      </c>
      <c r="V520">
        <v>3</v>
      </c>
      <c r="W520">
        <v>8</v>
      </c>
      <c r="X520">
        <v>7</v>
      </c>
      <c r="Y520">
        <v>3</v>
      </c>
      <c r="Z520">
        <v>0</v>
      </c>
      <c r="AA520" t="str">
        <f t="shared" si="48"/>
        <v>Mid Tenure</v>
      </c>
      <c r="AB520" s="5">
        <v>44713</v>
      </c>
      <c r="AC520">
        <f t="shared" si="49"/>
        <v>0</v>
      </c>
      <c r="AD520" t="s">
        <v>38</v>
      </c>
      <c r="AE520">
        <f>VLOOKUP(A520,'Employee Engagement Survey'!A367:B1836,2,FALSE)</f>
        <v>4</v>
      </c>
      <c r="AF520">
        <f>VLOOKUP(A520,'Employee Engagement Survey'!A367:C1836,3,FALSE)</f>
        <v>3</v>
      </c>
      <c r="AG520">
        <f>VLOOKUP(A520,'Employee Engagement Survey'!A367:D1836,4,FALSE)</f>
        <v>3</v>
      </c>
      <c r="AH520">
        <f>VLOOKUP(A520,'Employee Engagement Survey'!A367:E1836,5,FALSE)</f>
        <v>3</v>
      </c>
      <c r="AI520">
        <f t="shared" si="47"/>
        <v>3.25</v>
      </c>
    </row>
    <row r="521" spans="1:35" hidden="1" x14ac:dyDescent="0.4">
      <c r="A521">
        <v>491</v>
      </c>
      <c r="B521" t="s">
        <v>34</v>
      </c>
      <c r="C521">
        <f t="shared" si="45"/>
        <v>1</v>
      </c>
      <c r="D521" t="s">
        <v>55</v>
      </c>
      <c r="E521">
        <f t="shared" si="46"/>
        <v>0</v>
      </c>
      <c r="F521" t="s">
        <v>28</v>
      </c>
      <c r="G521">
        <v>9</v>
      </c>
      <c r="H521" s="1">
        <v>137952</v>
      </c>
      <c r="I521" s="10">
        <v>0.15</v>
      </c>
      <c r="J521">
        <v>37.5</v>
      </c>
      <c r="K521" t="s">
        <v>34</v>
      </c>
      <c r="L521">
        <v>50</v>
      </c>
      <c r="M521" t="s">
        <v>29</v>
      </c>
      <c r="N521" t="s">
        <v>30</v>
      </c>
      <c r="O521" t="s">
        <v>31</v>
      </c>
      <c r="P521">
        <v>10</v>
      </c>
      <c r="Q521" t="s">
        <v>43</v>
      </c>
      <c r="R521" t="s">
        <v>45</v>
      </c>
      <c r="S521">
        <v>3</v>
      </c>
      <c r="T521">
        <v>0</v>
      </c>
      <c r="U521">
        <v>20</v>
      </c>
      <c r="V521">
        <v>2</v>
      </c>
      <c r="W521">
        <v>4</v>
      </c>
      <c r="X521">
        <v>3</v>
      </c>
      <c r="Y521">
        <v>1</v>
      </c>
      <c r="Z521">
        <v>3</v>
      </c>
      <c r="AA521" t="str">
        <f t="shared" si="48"/>
        <v>Mid Tenure</v>
      </c>
      <c r="AB521" s="5">
        <v>45634</v>
      </c>
      <c r="AC521">
        <f t="shared" si="49"/>
        <v>1</v>
      </c>
      <c r="AD521" t="s">
        <v>49</v>
      </c>
      <c r="AE521">
        <f>VLOOKUP(A521,'Employee Engagement Survey'!A369:B1838,2,FALSE)</f>
        <v>4</v>
      </c>
      <c r="AF521">
        <f>VLOOKUP(A521,'Employee Engagement Survey'!A369:C1838,3,FALSE)</f>
        <v>4</v>
      </c>
      <c r="AG521">
        <f>VLOOKUP(A521,'Employee Engagement Survey'!A369:D1838,4,FALSE)</f>
        <v>4</v>
      </c>
      <c r="AH521">
        <f>VLOOKUP(A521,'Employee Engagement Survey'!A369:E1838,5,FALSE)</f>
        <v>3</v>
      </c>
      <c r="AI521">
        <f t="shared" si="47"/>
        <v>3.75</v>
      </c>
    </row>
    <row r="522" spans="1:35" hidden="1" x14ac:dyDescent="0.4">
      <c r="A522">
        <v>338</v>
      </c>
      <c r="B522" t="s">
        <v>34</v>
      </c>
      <c r="C522">
        <f t="shared" si="45"/>
        <v>1</v>
      </c>
      <c r="D522" t="s">
        <v>27</v>
      </c>
      <c r="E522">
        <f t="shared" si="46"/>
        <v>0</v>
      </c>
      <c r="F522" t="s">
        <v>28</v>
      </c>
      <c r="G522">
        <v>5</v>
      </c>
      <c r="H522" s="1">
        <v>58932</v>
      </c>
      <c r="I522" s="10">
        <v>0.13</v>
      </c>
      <c r="J522">
        <v>37.5</v>
      </c>
      <c r="K522" t="s">
        <v>34</v>
      </c>
      <c r="L522">
        <v>33</v>
      </c>
      <c r="M522" t="s">
        <v>47</v>
      </c>
      <c r="N522" t="s">
        <v>42</v>
      </c>
      <c r="O522" t="s">
        <v>31</v>
      </c>
      <c r="P522">
        <v>5</v>
      </c>
      <c r="Q522" t="s">
        <v>51</v>
      </c>
      <c r="R522" t="s">
        <v>37</v>
      </c>
      <c r="S522">
        <v>3</v>
      </c>
      <c r="T522">
        <v>1</v>
      </c>
      <c r="U522">
        <v>2</v>
      </c>
      <c r="V522">
        <v>2</v>
      </c>
      <c r="W522">
        <v>2</v>
      </c>
      <c r="X522">
        <v>2</v>
      </c>
      <c r="Y522">
        <v>0</v>
      </c>
      <c r="Z522">
        <v>2</v>
      </c>
      <c r="AA522" t="str">
        <f t="shared" si="48"/>
        <v>Early Tenure</v>
      </c>
      <c r="AB522" s="5">
        <v>45917</v>
      </c>
      <c r="AC522">
        <f t="shared" si="49"/>
        <v>1</v>
      </c>
      <c r="AD522" t="s">
        <v>49</v>
      </c>
      <c r="AE522">
        <f>VLOOKUP(A522,'Employee Engagement Survey'!A370:B1839,2,FALSE)</f>
        <v>3</v>
      </c>
      <c r="AF522">
        <f>VLOOKUP(A522,'Employee Engagement Survey'!A370:C1839,3,FALSE)</f>
        <v>4</v>
      </c>
      <c r="AG522">
        <f>VLOOKUP(A522,'Employee Engagement Survey'!A370:D1839,4,FALSE)</f>
        <v>3</v>
      </c>
      <c r="AH522">
        <f>VLOOKUP(A522,'Employee Engagement Survey'!A370:E1839,5,FALSE)</f>
        <v>2</v>
      </c>
      <c r="AI522">
        <f t="shared" si="47"/>
        <v>3</v>
      </c>
    </row>
    <row r="523" spans="1:35" hidden="1" x14ac:dyDescent="0.4">
      <c r="A523">
        <v>1701</v>
      </c>
      <c r="B523" t="s">
        <v>34</v>
      </c>
      <c r="C523">
        <f t="shared" si="45"/>
        <v>1</v>
      </c>
      <c r="D523" t="s">
        <v>27</v>
      </c>
      <c r="E523">
        <f t="shared" si="46"/>
        <v>0</v>
      </c>
      <c r="F523" t="s">
        <v>28</v>
      </c>
      <c r="G523">
        <v>5</v>
      </c>
      <c r="H523" s="1">
        <v>59148</v>
      </c>
      <c r="I523" s="10">
        <v>0.12</v>
      </c>
      <c r="J523">
        <v>37.5</v>
      </c>
      <c r="K523" t="s">
        <v>34</v>
      </c>
      <c r="L523">
        <v>34</v>
      </c>
      <c r="M523" t="s">
        <v>47</v>
      </c>
      <c r="N523" t="s">
        <v>42</v>
      </c>
      <c r="O523" t="s">
        <v>31</v>
      </c>
      <c r="P523">
        <v>19</v>
      </c>
      <c r="Q523" t="s">
        <v>43</v>
      </c>
      <c r="R523" t="s">
        <v>37</v>
      </c>
      <c r="S523">
        <v>3</v>
      </c>
      <c r="T523">
        <v>0</v>
      </c>
      <c r="U523">
        <v>10</v>
      </c>
      <c r="V523">
        <v>3</v>
      </c>
      <c r="W523">
        <v>10</v>
      </c>
      <c r="X523">
        <v>9</v>
      </c>
      <c r="Y523">
        <v>8</v>
      </c>
      <c r="Z523">
        <v>7</v>
      </c>
      <c r="AA523" t="str">
        <f t="shared" si="48"/>
        <v>Long Tenure</v>
      </c>
      <c r="AB523" s="5">
        <v>44772</v>
      </c>
      <c r="AC523">
        <f t="shared" si="49"/>
        <v>0</v>
      </c>
      <c r="AD523" t="s">
        <v>38</v>
      </c>
      <c r="AE523">
        <f>VLOOKUP(A523,'Employee Engagement Survey'!A372:B1841,2,FALSE)</f>
        <v>2</v>
      </c>
      <c r="AF523">
        <f>VLOOKUP(A523,'Employee Engagement Survey'!A372:C1841,3,FALSE)</f>
        <v>4</v>
      </c>
      <c r="AG523">
        <f>VLOOKUP(A523,'Employee Engagement Survey'!A372:D1841,4,FALSE)</f>
        <v>2</v>
      </c>
      <c r="AH523">
        <f>VLOOKUP(A523,'Employee Engagement Survey'!A372:E1841,5,FALSE)</f>
        <v>3</v>
      </c>
      <c r="AI523">
        <f t="shared" si="47"/>
        <v>2.75</v>
      </c>
    </row>
    <row r="524" spans="1:35" hidden="1" x14ac:dyDescent="0.4">
      <c r="A524">
        <v>1893</v>
      </c>
      <c r="B524" t="s">
        <v>34</v>
      </c>
      <c r="C524">
        <f t="shared" si="45"/>
        <v>1</v>
      </c>
      <c r="D524" t="s">
        <v>27</v>
      </c>
      <c r="E524">
        <f t="shared" si="46"/>
        <v>0</v>
      </c>
      <c r="F524" t="s">
        <v>28</v>
      </c>
      <c r="G524">
        <v>5</v>
      </c>
      <c r="H524" s="1">
        <v>59196</v>
      </c>
      <c r="I524" s="10">
        <v>0.13</v>
      </c>
      <c r="J524">
        <v>37.5</v>
      </c>
      <c r="K524" t="s">
        <v>26</v>
      </c>
      <c r="L524">
        <v>26</v>
      </c>
      <c r="M524" t="s">
        <v>47</v>
      </c>
      <c r="N524" t="s">
        <v>42</v>
      </c>
      <c r="O524" t="s">
        <v>31</v>
      </c>
      <c r="P524">
        <v>1</v>
      </c>
      <c r="Q524" t="s">
        <v>36</v>
      </c>
      <c r="R524" t="s">
        <v>37</v>
      </c>
      <c r="S524">
        <v>3</v>
      </c>
      <c r="T524">
        <v>1</v>
      </c>
      <c r="U524">
        <v>1</v>
      </c>
      <c r="V524">
        <v>3</v>
      </c>
      <c r="W524">
        <v>1</v>
      </c>
      <c r="X524">
        <v>0</v>
      </c>
      <c r="Y524">
        <v>1</v>
      </c>
      <c r="Z524">
        <v>0</v>
      </c>
      <c r="AA524" t="str">
        <f t="shared" si="48"/>
        <v>Early Tenure</v>
      </c>
      <c r="AB524" s="5">
        <v>45803</v>
      </c>
      <c r="AC524">
        <f t="shared" si="49"/>
        <v>1</v>
      </c>
      <c r="AD524" t="s">
        <v>38</v>
      </c>
      <c r="AE524">
        <f>VLOOKUP(A524,'Employee Engagement Survey'!A374:B1843,2,FALSE)</f>
        <v>2</v>
      </c>
      <c r="AF524">
        <f>VLOOKUP(A524,'Employee Engagement Survey'!A374:C1843,3,FALSE)</f>
        <v>3</v>
      </c>
      <c r="AG524">
        <f>VLOOKUP(A524,'Employee Engagement Survey'!A374:D1843,4,FALSE)</f>
        <v>3</v>
      </c>
      <c r="AH524">
        <f>VLOOKUP(A524,'Employee Engagement Survey'!A374:E1843,5,FALSE)</f>
        <v>2</v>
      </c>
      <c r="AI524">
        <f t="shared" si="47"/>
        <v>2.5</v>
      </c>
    </row>
    <row r="525" spans="1:35" hidden="1" x14ac:dyDescent="0.4">
      <c r="A525">
        <v>493</v>
      </c>
      <c r="B525" t="s">
        <v>34</v>
      </c>
      <c r="C525">
        <f t="shared" si="45"/>
        <v>1</v>
      </c>
      <c r="D525" t="s">
        <v>27</v>
      </c>
      <c r="E525">
        <f t="shared" si="46"/>
        <v>0</v>
      </c>
      <c r="F525" t="s">
        <v>28</v>
      </c>
      <c r="G525">
        <v>5</v>
      </c>
      <c r="H525" s="1">
        <v>55884</v>
      </c>
      <c r="I525" s="10">
        <v>0.16</v>
      </c>
      <c r="J525">
        <v>37.5</v>
      </c>
      <c r="K525" t="s">
        <v>26</v>
      </c>
      <c r="L525">
        <v>31</v>
      </c>
      <c r="M525" t="s">
        <v>29</v>
      </c>
      <c r="N525" t="s">
        <v>30</v>
      </c>
      <c r="O525" t="s">
        <v>31</v>
      </c>
      <c r="P525">
        <v>9</v>
      </c>
      <c r="Q525" t="s">
        <v>51</v>
      </c>
      <c r="R525" t="s">
        <v>37</v>
      </c>
      <c r="S525">
        <v>3</v>
      </c>
      <c r="T525">
        <v>0</v>
      </c>
      <c r="U525">
        <v>3</v>
      </c>
      <c r="V525">
        <v>5</v>
      </c>
      <c r="W525">
        <v>2</v>
      </c>
      <c r="X525">
        <v>2</v>
      </c>
      <c r="Y525">
        <v>2</v>
      </c>
      <c r="Z525">
        <v>2</v>
      </c>
      <c r="AA525" t="str">
        <f t="shared" si="48"/>
        <v>Early Tenure</v>
      </c>
      <c r="AB525" s="5">
        <v>44990</v>
      </c>
      <c r="AC525">
        <f t="shared" si="49"/>
        <v>0</v>
      </c>
      <c r="AD525" t="s">
        <v>38</v>
      </c>
      <c r="AE525">
        <f>VLOOKUP(A525,'Employee Engagement Survey'!A375:B1844,2,FALSE)</f>
        <v>3</v>
      </c>
      <c r="AF525">
        <f>VLOOKUP(A525,'Employee Engagement Survey'!A375:C1844,3,FALSE)</f>
        <v>2</v>
      </c>
      <c r="AG525">
        <f>VLOOKUP(A525,'Employee Engagement Survey'!A375:D1844,4,FALSE)</f>
        <v>4</v>
      </c>
      <c r="AH525">
        <f>VLOOKUP(A525,'Employee Engagement Survey'!A375:E1844,5,FALSE)</f>
        <v>3</v>
      </c>
      <c r="AI525">
        <f t="shared" si="47"/>
        <v>3</v>
      </c>
    </row>
    <row r="526" spans="1:35" hidden="1" x14ac:dyDescent="0.4">
      <c r="A526">
        <v>495</v>
      </c>
      <c r="B526" t="s">
        <v>34</v>
      </c>
      <c r="C526">
        <f t="shared" si="45"/>
        <v>1</v>
      </c>
      <c r="D526" t="s">
        <v>27</v>
      </c>
      <c r="E526">
        <f t="shared" si="46"/>
        <v>0</v>
      </c>
      <c r="F526" t="s">
        <v>28</v>
      </c>
      <c r="G526">
        <v>4</v>
      </c>
      <c r="H526" s="1">
        <v>50412</v>
      </c>
      <c r="I526" s="10">
        <v>0.16</v>
      </c>
      <c r="J526">
        <v>37.5</v>
      </c>
      <c r="K526" t="s">
        <v>34</v>
      </c>
      <c r="L526">
        <v>29</v>
      </c>
      <c r="M526" t="s">
        <v>29</v>
      </c>
      <c r="N526" t="s">
        <v>30</v>
      </c>
      <c r="O526" t="s">
        <v>31</v>
      </c>
      <c r="P526">
        <v>23</v>
      </c>
      <c r="Q526" t="s">
        <v>43</v>
      </c>
      <c r="R526" t="s">
        <v>37</v>
      </c>
      <c r="S526">
        <v>3</v>
      </c>
      <c r="T526">
        <v>0</v>
      </c>
      <c r="U526">
        <v>6</v>
      </c>
      <c r="V526">
        <v>4</v>
      </c>
      <c r="W526">
        <v>3</v>
      </c>
      <c r="X526">
        <v>2</v>
      </c>
      <c r="Y526">
        <v>1</v>
      </c>
      <c r="Z526">
        <v>2</v>
      </c>
      <c r="AA526" t="str">
        <f t="shared" si="48"/>
        <v>Mid Tenure</v>
      </c>
      <c r="AB526" s="5">
        <v>44997</v>
      </c>
      <c r="AC526">
        <f t="shared" si="49"/>
        <v>0</v>
      </c>
      <c r="AD526" t="s">
        <v>38</v>
      </c>
      <c r="AE526">
        <f>VLOOKUP(A526,'Employee Engagement Survey'!A376:B1845,2,FALSE)</f>
        <v>4</v>
      </c>
      <c r="AF526">
        <f>VLOOKUP(A526,'Employee Engagement Survey'!A376:C1845,3,FALSE)</f>
        <v>4</v>
      </c>
      <c r="AG526">
        <f>VLOOKUP(A526,'Employee Engagement Survey'!A376:D1845,4,FALSE)</f>
        <v>4</v>
      </c>
      <c r="AH526">
        <f>VLOOKUP(A526,'Employee Engagement Survey'!A376:E1845,5,FALSE)</f>
        <v>3</v>
      </c>
      <c r="AI526">
        <f t="shared" si="47"/>
        <v>3.75</v>
      </c>
    </row>
    <row r="527" spans="1:35" hidden="1" x14ac:dyDescent="0.4">
      <c r="A527">
        <v>496</v>
      </c>
      <c r="B527" t="s">
        <v>34</v>
      </c>
      <c r="C527">
        <f t="shared" si="45"/>
        <v>1</v>
      </c>
      <c r="D527" t="s">
        <v>55</v>
      </c>
      <c r="E527">
        <f t="shared" si="46"/>
        <v>0</v>
      </c>
      <c r="F527" t="s">
        <v>28</v>
      </c>
      <c r="G527">
        <v>8</v>
      </c>
      <c r="H527" s="1">
        <v>90480</v>
      </c>
      <c r="I527" s="10">
        <v>0.19</v>
      </c>
      <c r="J527">
        <v>37.5</v>
      </c>
      <c r="K527" t="s">
        <v>34</v>
      </c>
      <c r="L527">
        <v>35</v>
      </c>
      <c r="M527" t="s">
        <v>29</v>
      </c>
      <c r="N527" t="s">
        <v>30</v>
      </c>
      <c r="O527" t="s">
        <v>31</v>
      </c>
      <c r="P527">
        <v>9</v>
      </c>
      <c r="Q527" t="s">
        <v>51</v>
      </c>
      <c r="R527" t="s">
        <v>37</v>
      </c>
      <c r="S527">
        <v>3</v>
      </c>
      <c r="T527">
        <v>0</v>
      </c>
      <c r="U527">
        <v>10</v>
      </c>
      <c r="V527">
        <v>5</v>
      </c>
      <c r="W527">
        <v>1</v>
      </c>
      <c r="X527">
        <v>1</v>
      </c>
      <c r="Y527">
        <v>0</v>
      </c>
      <c r="Z527">
        <v>0</v>
      </c>
      <c r="AA527" t="str">
        <f t="shared" si="48"/>
        <v>Early Tenure</v>
      </c>
      <c r="AB527" s="5">
        <v>45846</v>
      </c>
      <c r="AC527">
        <f t="shared" si="49"/>
        <v>1</v>
      </c>
      <c r="AD527" t="s">
        <v>49</v>
      </c>
      <c r="AE527">
        <f>VLOOKUP(A527,'Employee Engagement Survey'!A377:B1846,2,FALSE)</f>
        <v>3</v>
      </c>
      <c r="AF527">
        <f>VLOOKUP(A527,'Employee Engagement Survey'!A377:C1846,3,FALSE)</f>
        <v>2</v>
      </c>
      <c r="AG527">
        <f>VLOOKUP(A527,'Employee Engagement Survey'!A377:D1846,4,FALSE)</f>
        <v>3</v>
      </c>
      <c r="AH527">
        <f>VLOOKUP(A527,'Employee Engagement Survey'!A377:E1846,5,FALSE)</f>
        <v>3</v>
      </c>
      <c r="AI527">
        <f t="shared" si="47"/>
        <v>2.75</v>
      </c>
    </row>
    <row r="528" spans="1:35" hidden="1" x14ac:dyDescent="0.4">
      <c r="A528">
        <v>177</v>
      </c>
      <c r="B528" t="s">
        <v>34</v>
      </c>
      <c r="C528">
        <f t="shared" si="45"/>
        <v>1</v>
      </c>
      <c r="D528" t="s">
        <v>105</v>
      </c>
      <c r="E528">
        <f t="shared" si="46"/>
        <v>0</v>
      </c>
      <c r="F528" t="s">
        <v>59</v>
      </c>
      <c r="G528">
        <v>5</v>
      </c>
      <c r="H528" s="1">
        <v>59304</v>
      </c>
      <c r="I528" s="10">
        <v>0.23</v>
      </c>
      <c r="J528">
        <v>37.5</v>
      </c>
      <c r="K528" t="s">
        <v>34</v>
      </c>
      <c r="L528">
        <v>26</v>
      </c>
      <c r="M528" t="s">
        <v>47</v>
      </c>
      <c r="N528" t="s">
        <v>42</v>
      </c>
      <c r="O528" t="s">
        <v>31</v>
      </c>
      <c r="P528">
        <v>25</v>
      </c>
      <c r="Q528" t="s">
        <v>32</v>
      </c>
      <c r="R528" t="s">
        <v>37</v>
      </c>
      <c r="S528">
        <v>4</v>
      </c>
      <c r="T528">
        <v>1</v>
      </c>
      <c r="U528">
        <v>8</v>
      </c>
      <c r="V528">
        <v>3</v>
      </c>
      <c r="W528">
        <v>8</v>
      </c>
      <c r="X528">
        <v>7</v>
      </c>
      <c r="Y528">
        <v>5</v>
      </c>
      <c r="Z528">
        <v>7</v>
      </c>
      <c r="AA528" t="str">
        <f t="shared" si="48"/>
        <v>Mid Tenure</v>
      </c>
      <c r="AB528" s="5">
        <v>45878</v>
      </c>
      <c r="AC528">
        <f t="shared" si="49"/>
        <v>1</v>
      </c>
      <c r="AD528" t="s">
        <v>38</v>
      </c>
      <c r="AE528">
        <f>VLOOKUP(A528,'Employee Engagement Survey'!A378:B1847,2,FALSE)</f>
        <v>3</v>
      </c>
      <c r="AF528">
        <f>VLOOKUP(A528,'Employee Engagement Survey'!A378:C1847,3,FALSE)</f>
        <v>3</v>
      </c>
      <c r="AG528">
        <f>VLOOKUP(A528,'Employee Engagement Survey'!A378:D1847,4,FALSE)</f>
        <v>4</v>
      </c>
      <c r="AH528">
        <f>VLOOKUP(A528,'Employee Engagement Survey'!A378:E1847,5,FALSE)</f>
        <v>3</v>
      </c>
      <c r="AI528">
        <f t="shared" si="47"/>
        <v>3.25</v>
      </c>
    </row>
    <row r="529" spans="1:35" hidden="1" x14ac:dyDescent="0.4">
      <c r="A529">
        <v>1071</v>
      </c>
      <c r="B529" t="s">
        <v>34</v>
      </c>
      <c r="C529">
        <f t="shared" si="45"/>
        <v>1</v>
      </c>
      <c r="D529" t="s">
        <v>27</v>
      </c>
      <c r="E529">
        <f t="shared" si="46"/>
        <v>0</v>
      </c>
      <c r="F529" t="s">
        <v>28</v>
      </c>
      <c r="G529">
        <v>5</v>
      </c>
      <c r="H529" s="1">
        <v>59304</v>
      </c>
      <c r="I529" s="10">
        <v>0.19</v>
      </c>
      <c r="J529">
        <v>37.5</v>
      </c>
      <c r="K529" t="s">
        <v>34</v>
      </c>
      <c r="L529">
        <v>56</v>
      </c>
      <c r="M529" t="s">
        <v>47</v>
      </c>
      <c r="N529" t="s">
        <v>42</v>
      </c>
      <c r="O529" t="s">
        <v>44</v>
      </c>
      <c r="P529">
        <v>9</v>
      </c>
      <c r="Q529" t="s">
        <v>43</v>
      </c>
      <c r="R529" t="s">
        <v>33</v>
      </c>
      <c r="S529">
        <v>3</v>
      </c>
      <c r="T529">
        <v>1</v>
      </c>
      <c r="U529">
        <v>18</v>
      </c>
      <c r="V529">
        <v>4</v>
      </c>
      <c r="W529">
        <v>5</v>
      </c>
      <c r="X529">
        <v>4</v>
      </c>
      <c r="Y529">
        <v>0</v>
      </c>
      <c r="Z529">
        <v>3</v>
      </c>
      <c r="AA529" t="str">
        <f t="shared" si="48"/>
        <v>Mid Tenure</v>
      </c>
      <c r="AB529" s="5">
        <v>45448</v>
      </c>
      <c r="AC529">
        <f t="shared" si="49"/>
        <v>1</v>
      </c>
      <c r="AD529" t="s">
        <v>38</v>
      </c>
      <c r="AE529">
        <f>VLOOKUP(A529,'Employee Engagement Survey'!A379:B1848,2,FALSE)</f>
        <v>1</v>
      </c>
      <c r="AF529">
        <f>VLOOKUP(A529,'Employee Engagement Survey'!A379:C1848,3,FALSE)</f>
        <v>3</v>
      </c>
      <c r="AG529">
        <f>VLOOKUP(A529,'Employee Engagement Survey'!A379:D1848,4,FALSE)</f>
        <v>2</v>
      </c>
      <c r="AH529">
        <f>VLOOKUP(A529,'Employee Engagement Survey'!A379:E1848,5,FALSE)</f>
        <v>3</v>
      </c>
      <c r="AI529">
        <f t="shared" si="47"/>
        <v>2.25</v>
      </c>
    </row>
    <row r="530" spans="1:35" hidden="1" x14ac:dyDescent="0.4">
      <c r="A530">
        <v>1409</v>
      </c>
      <c r="B530" t="s">
        <v>34</v>
      </c>
      <c r="C530">
        <f t="shared" si="45"/>
        <v>1</v>
      </c>
      <c r="D530" t="s">
        <v>46</v>
      </c>
      <c r="E530">
        <f t="shared" si="46"/>
        <v>0</v>
      </c>
      <c r="F530" t="s">
        <v>28</v>
      </c>
      <c r="G530">
        <v>5</v>
      </c>
      <c r="H530" s="1">
        <v>59400</v>
      </c>
      <c r="I530" s="10">
        <v>0.13</v>
      </c>
      <c r="J530">
        <v>37.5</v>
      </c>
      <c r="K530" t="s">
        <v>34</v>
      </c>
      <c r="L530">
        <v>52</v>
      </c>
      <c r="M530" t="s">
        <v>47</v>
      </c>
      <c r="N530" t="s">
        <v>42</v>
      </c>
      <c r="O530" t="s">
        <v>31</v>
      </c>
      <c r="P530">
        <v>8</v>
      </c>
      <c r="Q530" t="s">
        <v>51</v>
      </c>
      <c r="R530" t="s">
        <v>53</v>
      </c>
      <c r="S530">
        <v>3</v>
      </c>
      <c r="T530">
        <v>0</v>
      </c>
      <c r="U530">
        <v>12</v>
      </c>
      <c r="V530">
        <v>2</v>
      </c>
      <c r="W530">
        <v>5</v>
      </c>
      <c r="X530">
        <v>4</v>
      </c>
      <c r="Y530">
        <v>0</v>
      </c>
      <c r="Z530">
        <v>4</v>
      </c>
      <c r="AA530" t="str">
        <f t="shared" si="48"/>
        <v>Mid Tenure</v>
      </c>
      <c r="AB530" s="5">
        <v>45143</v>
      </c>
      <c r="AC530">
        <f t="shared" si="49"/>
        <v>0</v>
      </c>
      <c r="AD530" t="s">
        <v>38</v>
      </c>
      <c r="AE530">
        <f>VLOOKUP(A530,'Employee Engagement Survey'!A380:B1849,2,FALSE)</f>
        <v>3</v>
      </c>
      <c r="AF530">
        <f>VLOOKUP(A530,'Employee Engagement Survey'!A380:C1849,3,FALSE)</f>
        <v>1</v>
      </c>
      <c r="AG530">
        <f>VLOOKUP(A530,'Employee Engagement Survey'!A380:D1849,4,FALSE)</f>
        <v>3</v>
      </c>
      <c r="AH530">
        <f>VLOOKUP(A530,'Employee Engagement Survey'!A380:E1849,5,FALSE)</f>
        <v>1</v>
      </c>
      <c r="AI530">
        <f t="shared" si="47"/>
        <v>2</v>
      </c>
    </row>
    <row r="531" spans="1:35" hidden="1" x14ac:dyDescent="0.4">
      <c r="A531">
        <v>497</v>
      </c>
      <c r="B531" t="s">
        <v>34</v>
      </c>
      <c r="C531">
        <f t="shared" si="45"/>
        <v>1</v>
      </c>
      <c r="D531" t="s">
        <v>46</v>
      </c>
      <c r="E531">
        <f t="shared" si="46"/>
        <v>0</v>
      </c>
      <c r="F531" t="s">
        <v>28</v>
      </c>
      <c r="G531">
        <v>6</v>
      </c>
      <c r="H531" s="1">
        <v>69792</v>
      </c>
      <c r="I531" s="10">
        <v>0.11</v>
      </c>
      <c r="J531">
        <v>37.5</v>
      </c>
      <c r="K531" t="s">
        <v>34</v>
      </c>
      <c r="L531">
        <v>27</v>
      </c>
      <c r="M531" t="s">
        <v>29</v>
      </c>
      <c r="N531" t="s">
        <v>48</v>
      </c>
      <c r="O531" t="s">
        <v>31</v>
      </c>
      <c r="P531">
        <v>1</v>
      </c>
      <c r="Q531" t="s">
        <v>36</v>
      </c>
      <c r="R531" t="s">
        <v>33</v>
      </c>
      <c r="S531">
        <v>3</v>
      </c>
      <c r="T531">
        <v>1</v>
      </c>
      <c r="U531">
        <v>5</v>
      </c>
      <c r="V531">
        <v>2</v>
      </c>
      <c r="W531">
        <v>5</v>
      </c>
      <c r="X531">
        <v>2</v>
      </c>
      <c r="Y531">
        <v>0</v>
      </c>
      <c r="Z531">
        <v>4</v>
      </c>
      <c r="AA531" t="str">
        <f t="shared" si="48"/>
        <v>Mid Tenure</v>
      </c>
      <c r="AB531" s="5">
        <v>45124</v>
      </c>
      <c r="AC531">
        <f t="shared" si="49"/>
        <v>0</v>
      </c>
      <c r="AD531" t="s">
        <v>49</v>
      </c>
      <c r="AE531">
        <f>VLOOKUP(A531,'Employee Engagement Survey'!A381:B1850,2,FALSE)</f>
        <v>4</v>
      </c>
      <c r="AF531">
        <f>VLOOKUP(A531,'Employee Engagement Survey'!A381:C1850,3,FALSE)</f>
        <v>2</v>
      </c>
      <c r="AG531">
        <f>VLOOKUP(A531,'Employee Engagement Survey'!A381:D1850,4,FALSE)</f>
        <v>2</v>
      </c>
      <c r="AH531">
        <f>VLOOKUP(A531,'Employee Engagement Survey'!A381:E1850,5,FALSE)</f>
        <v>3</v>
      </c>
      <c r="AI531">
        <f t="shared" si="47"/>
        <v>2.75</v>
      </c>
    </row>
    <row r="532" spans="1:35" hidden="1" x14ac:dyDescent="0.4">
      <c r="A532">
        <v>498</v>
      </c>
      <c r="B532" t="s">
        <v>34</v>
      </c>
      <c r="C532">
        <f t="shared" si="45"/>
        <v>1</v>
      </c>
      <c r="D532" t="s">
        <v>57</v>
      </c>
      <c r="E532">
        <f t="shared" si="46"/>
        <v>0</v>
      </c>
      <c r="F532" t="s">
        <v>40</v>
      </c>
      <c r="G532">
        <v>7</v>
      </c>
      <c r="H532" s="1">
        <v>75036</v>
      </c>
      <c r="I532" s="10">
        <v>0.16</v>
      </c>
      <c r="J532">
        <v>37.5</v>
      </c>
      <c r="K532" t="s">
        <v>34</v>
      </c>
      <c r="L532">
        <v>28</v>
      </c>
      <c r="M532" t="s">
        <v>29</v>
      </c>
      <c r="N532" t="s">
        <v>30</v>
      </c>
      <c r="O532" t="s">
        <v>31</v>
      </c>
      <c r="P532">
        <v>9</v>
      </c>
      <c r="Q532" t="s">
        <v>51</v>
      </c>
      <c r="R532" t="s">
        <v>37</v>
      </c>
      <c r="S532">
        <v>3</v>
      </c>
      <c r="T532">
        <v>0</v>
      </c>
      <c r="U532">
        <v>7</v>
      </c>
      <c r="V532">
        <v>1</v>
      </c>
      <c r="W532">
        <v>7</v>
      </c>
      <c r="X532">
        <v>5</v>
      </c>
      <c r="Y532">
        <v>0</v>
      </c>
      <c r="Z532">
        <v>7</v>
      </c>
      <c r="AA532" t="str">
        <f t="shared" si="48"/>
        <v>Mid Tenure</v>
      </c>
      <c r="AB532" s="5">
        <v>45999</v>
      </c>
      <c r="AC532">
        <f t="shared" si="49"/>
        <v>1</v>
      </c>
      <c r="AD532" t="s">
        <v>38</v>
      </c>
      <c r="AE532">
        <f>VLOOKUP(A532,'Employee Engagement Survey'!A382:B1851,2,FALSE)</f>
        <v>2</v>
      </c>
      <c r="AF532">
        <f>VLOOKUP(A532,'Employee Engagement Survey'!A382:C1851,3,FALSE)</f>
        <v>4</v>
      </c>
      <c r="AG532">
        <f>VLOOKUP(A532,'Employee Engagement Survey'!A382:D1851,4,FALSE)</f>
        <v>4</v>
      </c>
      <c r="AH532">
        <f>VLOOKUP(A532,'Employee Engagement Survey'!A382:E1851,5,FALSE)</f>
        <v>3</v>
      </c>
      <c r="AI532">
        <f t="shared" si="47"/>
        <v>3.25</v>
      </c>
    </row>
    <row r="533" spans="1:35" hidden="1" x14ac:dyDescent="0.4">
      <c r="A533">
        <v>499</v>
      </c>
      <c r="B533" t="s">
        <v>34</v>
      </c>
      <c r="C533">
        <f t="shared" si="45"/>
        <v>1</v>
      </c>
      <c r="D533" t="s">
        <v>55</v>
      </c>
      <c r="E533">
        <f t="shared" si="46"/>
        <v>0</v>
      </c>
      <c r="F533" t="s">
        <v>28</v>
      </c>
      <c r="G533">
        <v>10</v>
      </c>
      <c r="H533" s="1">
        <v>143580</v>
      </c>
      <c r="I533" s="10">
        <v>0.24</v>
      </c>
      <c r="J533">
        <v>37.5</v>
      </c>
      <c r="K533" t="s">
        <v>34</v>
      </c>
      <c r="L533">
        <v>49</v>
      </c>
      <c r="M533" t="s">
        <v>29</v>
      </c>
      <c r="N533" t="s">
        <v>30</v>
      </c>
      <c r="O533" t="s">
        <v>31</v>
      </c>
      <c r="P533">
        <v>7</v>
      </c>
      <c r="Q533" t="s">
        <v>43</v>
      </c>
      <c r="R533" t="s">
        <v>53</v>
      </c>
      <c r="S533">
        <v>4</v>
      </c>
      <c r="T533">
        <v>0</v>
      </c>
      <c r="U533">
        <v>26</v>
      </c>
      <c r="V533">
        <v>2</v>
      </c>
      <c r="W533">
        <v>5</v>
      </c>
      <c r="X533">
        <v>2</v>
      </c>
      <c r="Y533">
        <v>0</v>
      </c>
      <c r="Z533">
        <v>0</v>
      </c>
      <c r="AA533" t="str">
        <f t="shared" si="48"/>
        <v>Mid Tenure</v>
      </c>
      <c r="AB533" s="5">
        <v>45453</v>
      </c>
      <c r="AC533">
        <f t="shared" si="49"/>
        <v>1</v>
      </c>
      <c r="AD533" t="s">
        <v>38</v>
      </c>
      <c r="AE533">
        <f>VLOOKUP(A533,'Employee Engagement Survey'!A383:B1852,2,FALSE)</f>
        <v>2</v>
      </c>
      <c r="AF533">
        <f>VLOOKUP(A533,'Employee Engagement Survey'!A383:C1852,3,FALSE)</f>
        <v>3</v>
      </c>
      <c r="AG533">
        <f>VLOOKUP(A533,'Employee Engagement Survey'!A383:D1852,4,FALSE)</f>
        <v>3</v>
      </c>
      <c r="AH533">
        <f>VLOOKUP(A533,'Employee Engagement Survey'!A383:E1852,5,FALSE)</f>
        <v>3</v>
      </c>
      <c r="AI533">
        <f t="shared" si="47"/>
        <v>2.75</v>
      </c>
    </row>
    <row r="534" spans="1:35" hidden="1" x14ac:dyDescent="0.4">
      <c r="A534">
        <v>2060</v>
      </c>
      <c r="B534" t="s">
        <v>34</v>
      </c>
      <c r="C534">
        <f t="shared" si="45"/>
        <v>1</v>
      </c>
      <c r="D534" t="s">
        <v>39</v>
      </c>
      <c r="E534">
        <f t="shared" si="46"/>
        <v>0</v>
      </c>
      <c r="F534" t="s">
        <v>40</v>
      </c>
      <c r="G534">
        <v>5</v>
      </c>
      <c r="H534" s="1">
        <v>59592</v>
      </c>
      <c r="I534" s="10">
        <v>0.18</v>
      </c>
      <c r="J534">
        <v>37.5</v>
      </c>
      <c r="K534" t="s">
        <v>34</v>
      </c>
      <c r="L534">
        <v>26</v>
      </c>
      <c r="M534" t="s">
        <v>47</v>
      </c>
      <c r="N534" t="s">
        <v>30</v>
      </c>
      <c r="O534" t="s">
        <v>31</v>
      </c>
      <c r="P534">
        <v>5</v>
      </c>
      <c r="Q534" t="s">
        <v>43</v>
      </c>
      <c r="R534" t="s">
        <v>53</v>
      </c>
      <c r="S534">
        <v>3</v>
      </c>
      <c r="T534">
        <v>0</v>
      </c>
      <c r="U534">
        <v>5</v>
      </c>
      <c r="V534">
        <v>2</v>
      </c>
      <c r="W534">
        <v>4</v>
      </c>
      <c r="X534">
        <v>2</v>
      </c>
      <c r="Y534">
        <v>0</v>
      </c>
      <c r="Z534">
        <v>0</v>
      </c>
      <c r="AA534" t="str">
        <f t="shared" si="48"/>
        <v>Mid Tenure</v>
      </c>
      <c r="AB534" s="5">
        <v>45086</v>
      </c>
      <c r="AC534">
        <f t="shared" si="49"/>
        <v>0</v>
      </c>
      <c r="AD534" t="s">
        <v>49</v>
      </c>
      <c r="AE534">
        <f>VLOOKUP(A534,'Employee Engagement Survey'!A384:B1853,2,FALSE)</f>
        <v>4</v>
      </c>
      <c r="AF534">
        <f>VLOOKUP(A534,'Employee Engagement Survey'!A384:C1853,3,FALSE)</f>
        <v>3</v>
      </c>
      <c r="AG534">
        <f>VLOOKUP(A534,'Employee Engagement Survey'!A384:D1853,4,FALSE)</f>
        <v>4</v>
      </c>
      <c r="AH534">
        <f>VLOOKUP(A534,'Employee Engagement Survey'!A384:E1853,5,FALSE)</f>
        <v>3</v>
      </c>
      <c r="AI534">
        <f t="shared" si="47"/>
        <v>3.5</v>
      </c>
    </row>
    <row r="535" spans="1:35" hidden="1" x14ac:dyDescent="0.4">
      <c r="A535">
        <v>900</v>
      </c>
      <c r="B535" t="s">
        <v>34</v>
      </c>
      <c r="C535">
        <f t="shared" si="45"/>
        <v>1</v>
      </c>
      <c r="D535" t="s">
        <v>39</v>
      </c>
      <c r="E535">
        <f t="shared" si="46"/>
        <v>0</v>
      </c>
      <c r="F535" t="s">
        <v>40</v>
      </c>
      <c r="G535">
        <v>5</v>
      </c>
      <c r="H535" s="1">
        <v>59676</v>
      </c>
      <c r="I535" s="10">
        <v>0.15</v>
      </c>
      <c r="J535">
        <v>37.5</v>
      </c>
      <c r="K535" t="s">
        <v>34</v>
      </c>
      <c r="L535">
        <v>37</v>
      </c>
      <c r="M535" t="s">
        <v>47</v>
      </c>
      <c r="N535" t="s">
        <v>42</v>
      </c>
      <c r="O535" t="s">
        <v>44</v>
      </c>
      <c r="P535">
        <v>21</v>
      </c>
      <c r="Q535" t="s">
        <v>36</v>
      </c>
      <c r="R535" t="s">
        <v>33</v>
      </c>
      <c r="S535">
        <v>3</v>
      </c>
      <c r="T535">
        <v>1</v>
      </c>
      <c r="U535">
        <v>10</v>
      </c>
      <c r="V535">
        <v>3</v>
      </c>
      <c r="W535">
        <v>5</v>
      </c>
      <c r="X535">
        <v>4</v>
      </c>
      <c r="Y535">
        <v>0</v>
      </c>
      <c r="Z535">
        <v>0</v>
      </c>
      <c r="AA535" t="str">
        <f t="shared" si="48"/>
        <v>Mid Tenure</v>
      </c>
      <c r="AB535" s="5">
        <v>45763</v>
      </c>
      <c r="AC535">
        <f t="shared" si="49"/>
        <v>1</v>
      </c>
      <c r="AD535" t="s">
        <v>38</v>
      </c>
      <c r="AE535">
        <f>VLOOKUP(A535,'Employee Engagement Survey'!A386:B1855,2,FALSE)</f>
        <v>3</v>
      </c>
      <c r="AF535">
        <f>VLOOKUP(A535,'Employee Engagement Survey'!A386:C1855,3,FALSE)</f>
        <v>4</v>
      </c>
      <c r="AG535">
        <f>VLOOKUP(A535,'Employee Engagement Survey'!A386:D1855,4,FALSE)</f>
        <v>2</v>
      </c>
      <c r="AH535">
        <f>VLOOKUP(A535,'Employee Engagement Survey'!A386:E1855,5,FALSE)</f>
        <v>3</v>
      </c>
      <c r="AI535">
        <f t="shared" si="47"/>
        <v>3</v>
      </c>
    </row>
    <row r="536" spans="1:35" hidden="1" x14ac:dyDescent="0.4">
      <c r="A536">
        <v>508</v>
      </c>
      <c r="B536" t="s">
        <v>34</v>
      </c>
      <c r="C536">
        <f t="shared" si="45"/>
        <v>1</v>
      </c>
      <c r="D536" t="s">
        <v>39</v>
      </c>
      <c r="E536">
        <f t="shared" si="46"/>
        <v>0</v>
      </c>
      <c r="F536" t="s">
        <v>40</v>
      </c>
      <c r="G536">
        <v>4</v>
      </c>
      <c r="H536" s="1">
        <v>53712</v>
      </c>
      <c r="I536" s="10">
        <v>0.18</v>
      </c>
      <c r="J536">
        <v>37.5</v>
      </c>
      <c r="K536" t="s">
        <v>34</v>
      </c>
      <c r="L536">
        <v>30</v>
      </c>
      <c r="M536" t="s">
        <v>29</v>
      </c>
      <c r="N536" t="s">
        <v>42</v>
      </c>
      <c r="O536" t="s">
        <v>31</v>
      </c>
      <c r="P536">
        <v>2</v>
      </c>
      <c r="Q536" t="s">
        <v>32</v>
      </c>
      <c r="R536" t="s">
        <v>45</v>
      </c>
      <c r="S536">
        <v>3</v>
      </c>
      <c r="T536">
        <v>1</v>
      </c>
      <c r="U536">
        <v>1</v>
      </c>
      <c r="V536">
        <v>3</v>
      </c>
      <c r="W536">
        <v>1</v>
      </c>
      <c r="X536">
        <v>0</v>
      </c>
      <c r="Y536">
        <v>0</v>
      </c>
      <c r="Z536">
        <v>0</v>
      </c>
      <c r="AA536" t="str">
        <f t="shared" si="48"/>
        <v>Early Tenure</v>
      </c>
      <c r="AB536" s="5">
        <v>45842</v>
      </c>
      <c r="AC536">
        <f t="shared" si="49"/>
        <v>1</v>
      </c>
      <c r="AD536" t="s">
        <v>38</v>
      </c>
      <c r="AE536">
        <f>VLOOKUP(A536,'Employee Engagement Survey'!A387:B1856,2,FALSE)</f>
        <v>3</v>
      </c>
      <c r="AF536">
        <f>VLOOKUP(A536,'Employee Engagement Survey'!A387:C1856,3,FALSE)</f>
        <v>2</v>
      </c>
      <c r="AG536">
        <f>VLOOKUP(A536,'Employee Engagement Survey'!A387:D1856,4,FALSE)</f>
        <v>1</v>
      </c>
      <c r="AH536">
        <f>VLOOKUP(A536,'Employee Engagement Survey'!A387:E1856,5,FALSE)</f>
        <v>3</v>
      </c>
      <c r="AI536">
        <f t="shared" si="47"/>
        <v>2.25</v>
      </c>
    </row>
    <row r="537" spans="1:35" hidden="1" x14ac:dyDescent="0.4">
      <c r="A537">
        <v>1709</v>
      </c>
      <c r="B537" t="s">
        <v>34</v>
      </c>
      <c r="C537">
        <f t="shared" si="45"/>
        <v>1</v>
      </c>
      <c r="D537" t="s">
        <v>46</v>
      </c>
      <c r="E537">
        <f t="shared" si="46"/>
        <v>0</v>
      </c>
      <c r="F537" t="s">
        <v>28</v>
      </c>
      <c r="G537">
        <v>5</v>
      </c>
      <c r="H537" s="1">
        <v>59688</v>
      </c>
      <c r="I537" s="10">
        <v>0.17</v>
      </c>
      <c r="J537">
        <v>37.5</v>
      </c>
      <c r="K537" t="s">
        <v>34</v>
      </c>
      <c r="L537">
        <v>29</v>
      </c>
      <c r="M537" t="s">
        <v>47</v>
      </c>
      <c r="N537" t="s">
        <v>42</v>
      </c>
      <c r="O537" t="s">
        <v>31</v>
      </c>
      <c r="P537">
        <v>9</v>
      </c>
      <c r="Q537" t="s">
        <v>51</v>
      </c>
      <c r="R537" t="s">
        <v>33</v>
      </c>
      <c r="S537">
        <v>3</v>
      </c>
      <c r="T537">
        <v>1</v>
      </c>
      <c r="U537">
        <v>9</v>
      </c>
      <c r="V537">
        <v>2</v>
      </c>
      <c r="W537">
        <v>5</v>
      </c>
      <c r="X537">
        <v>3</v>
      </c>
      <c r="Y537">
        <v>1</v>
      </c>
      <c r="Z537">
        <v>2</v>
      </c>
      <c r="AA537" t="str">
        <f t="shared" si="48"/>
        <v>Mid Tenure</v>
      </c>
      <c r="AB537" s="5">
        <v>45607</v>
      </c>
      <c r="AC537">
        <f t="shared" si="49"/>
        <v>1</v>
      </c>
      <c r="AD537" t="s">
        <v>49</v>
      </c>
      <c r="AE537">
        <f>VLOOKUP(A537,'Employee Engagement Survey'!A388:B1857,2,FALSE)</f>
        <v>4</v>
      </c>
      <c r="AF537">
        <f>VLOOKUP(A537,'Employee Engagement Survey'!A388:C1857,3,FALSE)</f>
        <v>3</v>
      </c>
      <c r="AG537">
        <f>VLOOKUP(A537,'Employee Engagement Survey'!A388:D1857,4,FALSE)</f>
        <v>3</v>
      </c>
      <c r="AH537">
        <f>VLOOKUP(A537,'Employee Engagement Survey'!A388:E1857,5,FALSE)</f>
        <v>3</v>
      </c>
      <c r="AI537">
        <f t="shared" si="47"/>
        <v>3.25</v>
      </c>
    </row>
    <row r="538" spans="1:35" hidden="1" x14ac:dyDescent="0.4">
      <c r="A538">
        <v>2052</v>
      </c>
      <c r="B538" t="s">
        <v>34</v>
      </c>
      <c r="C538">
        <f t="shared" si="45"/>
        <v>1</v>
      </c>
      <c r="D538" t="s">
        <v>27</v>
      </c>
      <c r="E538">
        <f t="shared" si="46"/>
        <v>0</v>
      </c>
      <c r="F538" t="s">
        <v>28</v>
      </c>
      <c r="G538">
        <v>5</v>
      </c>
      <c r="H538" s="1">
        <v>59724</v>
      </c>
      <c r="I538" s="10">
        <v>0.12</v>
      </c>
      <c r="J538">
        <v>37.5</v>
      </c>
      <c r="K538" t="s">
        <v>34</v>
      </c>
      <c r="L538">
        <v>35</v>
      </c>
      <c r="M538" t="s">
        <v>47</v>
      </c>
      <c r="N538" t="s">
        <v>42</v>
      </c>
      <c r="O538" t="s">
        <v>31</v>
      </c>
      <c r="P538">
        <v>1</v>
      </c>
      <c r="Q538" t="s">
        <v>51</v>
      </c>
      <c r="R538" t="s">
        <v>37</v>
      </c>
      <c r="S538">
        <v>3</v>
      </c>
      <c r="T538">
        <v>1</v>
      </c>
      <c r="U538">
        <v>4</v>
      </c>
      <c r="V538">
        <v>5</v>
      </c>
      <c r="W538">
        <v>4</v>
      </c>
      <c r="X538">
        <v>3</v>
      </c>
      <c r="Y538">
        <v>1</v>
      </c>
      <c r="Z538">
        <v>1</v>
      </c>
      <c r="AA538" t="str">
        <f t="shared" si="48"/>
        <v>Mid Tenure</v>
      </c>
      <c r="AB538" s="5">
        <v>45577</v>
      </c>
      <c r="AC538">
        <f t="shared" si="49"/>
        <v>1</v>
      </c>
      <c r="AD538" t="s">
        <v>49</v>
      </c>
      <c r="AE538">
        <f>VLOOKUP(A538,'Employee Engagement Survey'!A390:B1859,2,FALSE)</f>
        <v>3</v>
      </c>
      <c r="AF538">
        <f>VLOOKUP(A538,'Employee Engagement Survey'!A390:C1859,3,FALSE)</f>
        <v>4</v>
      </c>
      <c r="AG538">
        <f>VLOOKUP(A538,'Employee Engagement Survey'!A390:D1859,4,FALSE)</f>
        <v>4</v>
      </c>
      <c r="AH538">
        <f>VLOOKUP(A538,'Employee Engagement Survey'!A390:E1859,5,FALSE)</f>
        <v>3</v>
      </c>
      <c r="AI538">
        <f t="shared" si="47"/>
        <v>3.5</v>
      </c>
    </row>
    <row r="539" spans="1:35" hidden="1" x14ac:dyDescent="0.4">
      <c r="A539">
        <v>513</v>
      </c>
      <c r="B539" t="s">
        <v>34</v>
      </c>
      <c r="C539">
        <f t="shared" si="45"/>
        <v>1</v>
      </c>
      <c r="D539" t="s">
        <v>57</v>
      </c>
      <c r="E539">
        <f t="shared" si="46"/>
        <v>0</v>
      </c>
      <c r="F539" t="s">
        <v>40</v>
      </c>
      <c r="G539">
        <v>9</v>
      </c>
      <c r="H539" s="1">
        <v>103152</v>
      </c>
      <c r="I539" s="10">
        <v>0.13</v>
      </c>
      <c r="J539">
        <v>37.5</v>
      </c>
      <c r="K539" t="s">
        <v>34</v>
      </c>
      <c r="L539">
        <v>36</v>
      </c>
      <c r="M539" t="s">
        <v>29</v>
      </c>
      <c r="N539" t="s">
        <v>42</v>
      </c>
      <c r="O539" t="s">
        <v>31</v>
      </c>
      <c r="P539">
        <v>2</v>
      </c>
      <c r="Q539" t="s">
        <v>36</v>
      </c>
      <c r="R539" t="s">
        <v>33</v>
      </c>
      <c r="S539">
        <v>3</v>
      </c>
      <c r="T539">
        <v>2</v>
      </c>
      <c r="U539">
        <v>10</v>
      </c>
      <c r="V539">
        <v>2</v>
      </c>
      <c r="W539">
        <v>10</v>
      </c>
      <c r="X539">
        <v>9</v>
      </c>
      <c r="Y539">
        <v>9</v>
      </c>
      <c r="Z539">
        <v>0</v>
      </c>
      <c r="AA539" t="str">
        <f t="shared" si="48"/>
        <v>Long Tenure</v>
      </c>
      <c r="AB539" s="5">
        <v>45434</v>
      </c>
      <c r="AC539">
        <f t="shared" si="49"/>
        <v>1</v>
      </c>
      <c r="AD539" t="s">
        <v>38</v>
      </c>
      <c r="AE539">
        <f>VLOOKUP(A539,'Employee Engagement Survey'!A391:B1860,2,FALSE)</f>
        <v>2</v>
      </c>
      <c r="AF539">
        <f>VLOOKUP(A539,'Employee Engagement Survey'!A391:C1860,3,FALSE)</f>
        <v>3</v>
      </c>
      <c r="AG539">
        <f>VLOOKUP(A539,'Employee Engagement Survey'!A391:D1860,4,FALSE)</f>
        <v>2</v>
      </c>
      <c r="AH539">
        <f>VLOOKUP(A539,'Employee Engagement Survey'!A391:E1860,5,FALSE)</f>
        <v>3</v>
      </c>
      <c r="AI539">
        <f t="shared" si="47"/>
        <v>2.5</v>
      </c>
    </row>
    <row r="540" spans="1:35" x14ac:dyDescent="0.4">
      <c r="A540">
        <v>518</v>
      </c>
      <c r="B540" t="s">
        <v>34</v>
      </c>
      <c r="C540">
        <f t="shared" si="45"/>
        <v>1</v>
      </c>
      <c r="D540" t="s">
        <v>54</v>
      </c>
      <c r="E540">
        <f t="shared" si="46"/>
        <v>1</v>
      </c>
      <c r="F540" t="s">
        <v>28</v>
      </c>
      <c r="G540">
        <v>6</v>
      </c>
      <c r="H540" s="1">
        <v>62364</v>
      </c>
      <c r="I540" s="10">
        <v>0.12</v>
      </c>
      <c r="J540">
        <v>37.5</v>
      </c>
      <c r="K540" t="s">
        <v>26</v>
      </c>
      <c r="L540">
        <v>37</v>
      </c>
      <c r="M540" t="s">
        <v>29</v>
      </c>
      <c r="N540" t="s">
        <v>30</v>
      </c>
      <c r="O540" t="s">
        <v>31</v>
      </c>
      <c r="P540">
        <v>10</v>
      </c>
      <c r="Q540" t="s">
        <v>51</v>
      </c>
      <c r="R540" t="s">
        <v>37</v>
      </c>
      <c r="S540">
        <v>3</v>
      </c>
      <c r="T540">
        <v>0</v>
      </c>
      <c r="U540">
        <v>18</v>
      </c>
      <c r="V540">
        <v>2</v>
      </c>
      <c r="W540">
        <v>1</v>
      </c>
      <c r="X540">
        <v>0</v>
      </c>
      <c r="Y540">
        <v>0</v>
      </c>
      <c r="Z540">
        <v>1</v>
      </c>
      <c r="AA540" t="str">
        <f t="shared" si="48"/>
        <v>Early Tenure</v>
      </c>
      <c r="AB540" s="5">
        <v>44740</v>
      </c>
      <c r="AC540">
        <f t="shared" si="49"/>
        <v>0</v>
      </c>
      <c r="AD540" t="s">
        <v>38</v>
      </c>
      <c r="AE540">
        <f>VLOOKUP(A540,'Employee Engagement Survey'!A393:B1862,2,FALSE)</f>
        <v>3</v>
      </c>
      <c r="AF540">
        <f>VLOOKUP(A540,'Employee Engagement Survey'!A393:C1862,3,FALSE)</f>
        <v>2</v>
      </c>
      <c r="AG540">
        <f>VLOOKUP(A540,'Employee Engagement Survey'!A393:D1862,4,FALSE)</f>
        <v>4</v>
      </c>
      <c r="AH540">
        <f>VLOOKUP(A540,'Employee Engagement Survey'!A393:E1862,5,FALSE)</f>
        <v>2</v>
      </c>
      <c r="AI540">
        <f t="shared" si="47"/>
        <v>2.75</v>
      </c>
    </row>
    <row r="541" spans="1:35" hidden="1" x14ac:dyDescent="0.4">
      <c r="A541">
        <v>1269</v>
      </c>
      <c r="B541" t="s">
        <v>34</v>
      </c>
      <c r="C541">
        <f t="shared" si="45"/>
        <v>1</v>
      </c>
      <c r="D541" t="s">
        <v>27</v>
      </c>
      <c r="E541">
        <f t="shared" si="46"/>
        <v>0</v>
      </c>
      <c r="F541" t="s">
        <v>28</v>
      </c>
      <c r="G541">
        <v>5</v>
      </c>
      <c r="H541" s="1">
        <v>59928</v>
      </c>
      <c r="I541" s="10">
        <v>0.12</v>
      </c>
      <c r="J541">
        <v>37.5</v>
      </c>
      <c r="K541" t="s">
        <v>26</v>
      </c>
      <c r="L541">
        <v>19</v>
      </c>
      <c r="M541" t="s">
        <v>47</v>
      </c>
      <c r="N541" t="s">
        <v>30</v>
      </c>
      <c r="O541" t="s">
        <v>31</v>
      </c>
      <c r="P541">
        <v>25</v>
      </c>
      <c r="Q541" t="s">
        <v>43</v>
      </c>
      <c r="R541" t="s">
        <v>37</v>
      </c>
      <c r="S541">
        <v>3</v>
      </c>
      <c r="T541">
        <v>0</v>
      </c>
      <c r="U541">
        <v>1</v>
      </c>
      <c r="V541">
        <v>2</v>
      </c>
      <c r="W541">
        <v>1</v>
      </c>
      <c r="X541">
        <v>0</v>
      </c>
      <c r="Y541">
        <v>0</v>
      </c>
      <c r="Z541">
        <v>1</v>
      </c>
      <c r="AA541" t="str">
        <f t="shared" si="48"/>
        <v>Early Tenure</v>
      </c>
      <c r="AB541" s="5">
        <v>45169</v>
      </c>
      <c r="AC541">
        <f t="shared" si="49"/>
        <v>0</v>
      </c>
      <c r="AD541" t="s">
        <v>49</v>
      </c>
      <c r="AE541">
        <f>VLOOKUP(A541,'Employee Engagement Survey'!A394:B1863,2,FALSE)</f>
        <v>2</v>
      </c>
      <c r="AF541">
        <f>VLOOKUP(A541,'Employee Engagement Survey'!A394:C1863,3,FALSE)</f>
        <v>4</v>
      </c>
      <c r="AG541">
        <f>VLOOKUP(A541,'Employee Engagement Survey'!A394:D1863,4,FALSE)</f>
        <v>4</v>
      </c>
      <c r="AH541">
        <f>VLOOKUP(A541,'Employee Engagement Survey'!A394:E1863,5,FALSE)</f>
        <v>3</v>
      </c>
      <c r="AI541">
        <f t="shared" si="47"/>
        <v>3.25</v>
      </c>
    </row>
    <row r="542" spans="1:35" hidden="1" x14ac:dyDescent="0.4">
      <c r="A542">
        <v>520</v>
      </c>
      <c r="B542" t="s">
        <v>34</v>
      </c>
      <c r="C542">
        <f t="shared" si="45"/>
        <v>1</v>
      </c>
      <c r="D542" t="s">
        <v>60</v>
      </c>
      <c r="E542">
        <f t="shared" si="46"/>
        <v>1</v>
      </c>
      <c r="F542" t="s">
        <v>28</v>
      </c>
      <c r="G542">
        <v>4</v>
      </c>
      <c r="H542" s="1">
        <v>184032</v>
      </c>
      <c r="I542" s="10">
        <v>0.11</v>
      </c>
      <c r="J542">
        <v>37.5</v>
      </c>
      <c r="K542" t="s">
        <v>34</v>
      </c>
      <c r="L542">
        <v>43</v>
      </c>
      <c r="M542" t="s">
        <v>29</v>
      </c>
      <c r="N542" t="s">
        <v>48</v>
      </c>
      <c r="O542" t="s">
        <v>31</v>
      </c>
      <c r="P542">
        <v>12</v>
      </c>
      <c r="Q542" t="s">
        <v>43</v>
      </c>
      <c r="R542" t="s">
        <v>37</v>
      </c>
      <c r="S542">
        <v>3</v>
      </c>
      <c r="T542">
        <v>1</v>
      </c>
      <c r="U542">
        <v>25</v>
      </c>
      <c r="V542">
        <v>3</v>
      </c>
      <c r="W542">
        <v>25</v>
      </c>
      <c r="X542">
        <v>10</v>
      </c>
      <c r="Y542">
        <v>3</v>
      </c>
      <c r="Z542">
        <v>9</v>
      </c>
      <c r="AA542" t="str">
        <f t="shared" si="48"/>
        <v>Long Tenure</v>
      </c>
      <c r="AB542" s="5">
        <v>45615</v>
      </c>
      <c r="AC542">
        <f t="shared" si="49"/>
        <v>1</v>
      </c>
      <c r="AD542" t="s">
        <v>38</v>
      </c>
      <c r="AE542">
        <f>VLOOKUP(A542,'Employee Engagement Survey'!A395:B1864,2,FALSE)</f>
        <v>1</v>
      </c>
      <c r="AF542">
        <f>VLOOKUP(A542,'Employee Engagement Survey'!A395:C1864,3,FALSE)</f>
        <v>2</v>
      </c>
      <c r="AG542">
        <f>VLOOKUP(A542,'Employee Engagement Survey'!A395:D1864,4,FALSE)</f>
        <v>3</v>
      </c>
      <c r="AH542">
        <f>VLOOKUP(A542,'Employee Engagement Survey'!A395:E1864,5,FALSE)</f>
        <v>3</v>
      </c>
      <c r="AI542">
        <f t="shared" si="47"/>
        <v>2.25</v>
      </c>
    </row>
    <row r="543" spans="1:35" hidden="1" x14ac:dyDescent="0.4">
      <c r="A543">
        <v>522</v>
      </c>
      <c r="B543" t="s">
        <v>34</v>
      </c>
      <c r="C543">
        <f t="shared" si="45"/>
        <v>1</v>
      </c>
      <c r="D543" t="s">
        <v>60</v>
      </c>
      <c r="E543">
        <f t="shared" si="46"/>
        <v>1</v>
      </c>
      <c r="F543" t="s">
        <v>28</v>
      </c>
      <c r="G543">
        <v>5</v>
      </c>
      <c r="H543" s="1">
        <v>244872</v>
      </c>
      <c r="I543" s="10">
        <v>0.11</v>
      </c>
      <c r="J543">
        <v>37.5</v>
      </c>
      <c r="K543" t="s">
        <v>34</v>
      </c>
      <c r="L543">
        <v>54</v>
      </c>
      <c r="M543" t="s">
        <v>29</v>
      </c>
      <c r="N543" t="s">
        <v>42</v>
      </c>
      <c r="O543" t="s">
        <v>31</v>
      </c>
      <c r="P543">
        <v>5</v>
      </c>
      <c r="Q543" t="s">
        <v>36</v>
      </c>
      <c r="R543" t="s">
        <v>33</v>
      </c>
      <c r="S543">
        <v>3</v>
      </c>
      <c r="T543">
        <v>1</v>
      </c>
      <c r="U543">
        <v>24</v>
      </c>
      <c r="V543">
        <v>4</v>
      </c>
      <c r="W543">
        <v>4</v>
      </c>
      <c r="X543">
        <v>2</v>
      </c>
      <c r="Y543">
        <v>1</v>
      </c>
      <c r="Z543">
        <v>2</v>
      </c>
      <c r="AA543" t="str">
        <f t="shared" si="48"/>
        <v>Mid Tenure</v>
      </c>
      <c r="AB543" s="5">
        <v>44686</v>
      </c>
      <c r="AC543">
        <f t="shared" si="49"/>
        <v>0</v>
      </c>
      <c r="AD543" t="s">
        <v>38</v>
      </c>
      <c r="AE543">
        <f>VLOOKUP(A543,'Employee Engagement Survey'!A396:B1865,2,FALSE)</f>
        <v>1</v>
      </c>
      <c r="AF543">
        <f>VLOOKUP(A543,'Employee Engagement Survey'!A396:C1865,3,FALSE)</f>
        <v>1</v>
      </c>
      <c r="AG543">
        <f>VLOOKUP(A543,'Employee Engagement Survey'!A396:D1865,4,FALSE)</f>
        <v>3</v>
      </c>
      <c r="AH543">
        <f>VLOOKUP(A543,'Employee Engagement Survey'!A396:E1865,5,FALSE)</f>
        <v>2</v>
      </c>
      <c r="AI543">
        <f t="shared" si="47"/>
        <v>1.75</v>
      </c>
    </row>
    <row r="544" spans="1:35" hidden="1" x14ac:dyDescent="0.4">
      <c r="A544">
        <v>525</v>
      </c>
      <c r="B544" t="s">
        <v>34</v>
      </c>
      <c r="C544">
        <f t="shared" si="45"/>
        <v>1</v>
      </c>
      <c r="D544" t="s">
        <v>46</v>
      </c>
      <c r="E544">
        <f t="shared" si="46"/>
        <v>0</v>
      </c>
      <c r="F544" t="s">
        <v>28</v>
      </c>
      <c r="G544">
        <v>4</v>
      </c>
      <c r="H544" s="1">
        <v>51096</v>
      </c>
      <c r="I544" s="10">
        <v>0.2</v>
      </c>
      <c r="J544">
        <v>37.5</v>
      </c>
      <c r="K544" t="s">
        <v>34</v>
      </c>
      <c r="L544">
        <v>43</v>
      </c>
      <c r="M544" t="s">
        <v>29</v>
      </c>
      <c r="N544" t="s">
        <v>42</v>
      </c>
      <c r="O544" t="s">
        <v>44</v>
      </c>
      <c r="P544">
        <v>21</v>
      </c>
      <c r="Q544" t="s">
        <v>43</v>
      </c>
      <c r="R544" t="s">
        <v>33</v>
      </c>
      <c r="S544">
        <v>4</v>
      </c>
      <c r="T544">
        <v>1</v>
      </c>
      <c r="U544">
        <v>8</v>
      </c>
      <c r="V544">
        <v>1</v>
      </c>
      <c r="W544">
        <v>3</v>
      </c>
      <c r="X544">
        <v>2</v>
      </c>
      <c r="Y544">
        <v>1</v>
      </c>
      <c r="Z544">
        <v>2</v>
      </c>
      <c r="AA544" t="str">
        <f t="shared" si="48"/>
        <v>Mid Tenure</v>
      </c>
      <c r="AB544" s="5">
        <v>44567</v>
      </c>
      <c r="AC544">
        <f t="shared" si="49"/>
        <v>0</v>
      </c>
      <c r="AD544" t="s">
        <v>49</v>
      </c>
      <c r="AE544">
        <f>VLOOKUP(A544,'Employee Engagement Survey'!A397:B1866,2,FALSE)</f>
        <v>4</v>
      </c>
      <c r="AF544">
        <f>VLOOKUP(A544,'Employee Engagement Survey'!A397:C1866,3,FALSE)</f>
        <v>4</v>
      </c>
      <c r="AG544">
        <f>VLOOKUP(A544,'Employee Engagement Survey'!A397:D1866,4,FALSE)</f>
        <v>1</v>
      </c>
      <c r="AH544">
        <f>VLOOKUP(A544,'Employee Engagement Survey'!A397:E1866,5,FALSE)</f>
        <v>3</v>
      </c>
      <c r="AI544">
        <f t="shared" si="47"/>
        <v>3</v>
      </c>
    </row>
    <row r="545" spans="1:35" hidden="1" x14ac:dyDescent="0.4">
      <c r="A545">
        <v>530</v>
      </c>
      <c r="B545" t="s">
        <v>34</v>
      </c>
      <c r="C545">
        <f t="shared" si="45"/>
        <v>1</v>
      </c>
      <c r="D545" t="s">
        <v>46</v>
      </c>
      <c r="E545">
        <f t="shared" si="46"/>
        <v>0</v>
      </c>
      <c r="F545" t="s">
        <v>28</v>
      </c>
      <c r="G545">
        <v>4</v>
      </c>
      <c r="H545" s="1">
        <v>50616</v>
      </c>
      <c r="I545" s="10">
        <v>0.12</v>
      </c>
      <c r="J545">
        <v>37.5</v>
      </c>
      <c r="K545" t="s">
        <v>34</v>
      </c>
      <c r="L545">
        <v>31</v>
      </c>
      <c r="M545" t="s">
        <v>29</v>
      </c>
      <c r="N545" t="s">
        <v>42</v>
      </c>
      <c r="O545" t="s">
        <v>31</v>
      </c>
      <c r="P545">
        <v>1</v>
      </c>
      <c r="Q545" t="s">
        <v>36</v>
      </c>
      <c r="R545" t="s">
        <v>37</v>
      </c>
      <c r="S545">
        <v>3</v>
      </c>
      <c r="T545">
        <v>1</v>
      </c>
      <c r="U545">
        <v>4</v>
      </c>
      <c r="V545">
        <v>3</v>
      </c>
      <c r="W545">
        <v>4</v>
      </c>
      <c r="X545">
        <v>2</v>
      </c>
      <c r="Y545">
        <v>3</v>
      </c>
      <c r="Z545">
        <v>2</v>
      </c>
      <c r="AA545" t="str">
        <f t="shared" si="48"/>
        <v>Mid Tenure</v>
      </c>
      <c r="AB545" s="5">
        <v>44579</v>
      </c>
      <c r="AC545">
        <f t="shared" si="49"/>
        <v>0</v>
      </c>
      <c r="AD545" t="s">
        <v>49</v>
      </c>
      <c r="AE545">
        <f>VLOOKUP(A545,'Employee Engagement Survey'!A398:B1867,2,FALSE)</f>
        <v>4</v>
      </c>
      <c r="AF545">
        <f>VLOOKUP(A545,'Employee Engagement Survey'!A398:C1867,3,FALSE)</f>
        <v>1</v>
      </c>
      <c r="AG545">
        <f>VLOOKUP(A545,'Employee Engagement Survey'!A398:D1867,4,FALSE)</f>
        <v>3</v>
      </c>
      <c r="AH545">
        <f>VLOOKUP(A545,'Employee Engagement Survey'!A398:E1867,5,FALSE)</f>
        <v>3</v>
      </c>
      <c r="AI545">
        <f t="shared" si="47"/>
        <v>2.75</v>
      </c>
    </row>
    <row r="546" spans="1:35" hidden="1" x14ac:dyDescent="0.4">
      <c r="A546">
        <v>26</v>
      </c>
      <c r="B546" t="s">
        <v>34</v>
      </c>
      <c r="C546">
        <f t="shared" si="45"/>
        <v>1</v>
      </c>
      <c r="D546" t="s">
        <v>54</v>
      </c>
      <c r="E546">
        <f t="shared" si="46"/>
        <v>1</v>
      </c>
      <c r="F546" t="s">
        <v>28</v>
      </c>
      <c r="G546">
        <v>6</v>
      </c>
      <c r="H546" s="1">
        <v>60132</v>
      </c>
      <c r="I546" s="10">
        <v>0.18</v>
      </c>
      <c r="J546">
        <v>37.5</v>
      </c>
      <c r="K546" t="s">
        <v>34</v>
      </c>
      <c r="L546">
        <v>24</v>
      </c>
      <c r="M546" t="s">
        <v>47</v>
      </c>
      <c r="N546" t="s">
        <v>48</v>
      </c>
      <c r="O546" t="s">
        <v>35</v>
      </c>
      <c r="P546">
        <v>11</v>
      </c>
      <c r="Q546" t="s">
        <v>36</v>
      </c>
      <c r="R546" t="s">
        <v>53</v>
      </c>
      <c r="S546">
        <v>3</v>
      </c>
      <c r="T546">
        <v>1</v>
      </c>
      <c r="U546">
        <v>5</v>
      </c>
      <c r="V546">
        <v>5</v>
      </c>
      <c r="W546">
        <v>4</v>
      </c>
      <c r="X546">
        <v>2</v>
      </c>
      <c r="Y546">
        <v>1</v>
      </c>
      <c r="Z546">
        <v>3</v>
      </c>
      <c r="AA546" t="str">
        <f t="shared" si="48"/>
        <v>Mid Tenure</v>
      </c>
      <c r="AB546" s="5">
        <v>45893</v>
      </c>
      <c r="AC546">
        <f t="shared" si="49"/>
        <v>1</v>
      </c>
      <c r="AD546" t="s">
        <v>38</v>
      </c>
      <c r="AE546">
        <f>VLOOKUP(A546,'Employee Engagement Survey'!A399:B1868,2,FALSE)</f>
        <v>1</v>
      </c>
      <c r="AF546">
        <f>VLOOKUP(A546,'Employee Engagement Survey'!A399:C1868,3,FALSE)</f>
        <v>3</v>
      </c>
      <c r="AG546">
        <f>VLOOKUP(A546,'Employee Engagement Survey'!A399:D1868,4,FALSE)</f>
        <v>4</v>
      </c>
      <c r="AH546">
        <f>VLOOKUP(A546,'Employee Engagement Survey'!A399:E1868,5,FALSE)</f>
        <v>2</v>
      </c>
      <c r="AI546">
        <f t="shared" si="47"/>
        <v>2.5</v>
      </c>
    </row>
    <row r="547" spans="1:35" hidden="1" x14ac:dyDescent="0.4">
      <c r="A547">
        <v>57</v>
      </c>
      <c r="B547" t="s">
        <v>34</v>
      </c>
      <c r="C547">
        <f t="shared" si="45"/>
        <v>1</v>
      </c>
      <c r="D547" t="s">
        <v>46</v>
      </c>
      <c r="E547">
        <f t="shared" si="46"/>
        <v>0</v>
      </c>
      <c r="F547" t="s">
        <v>28</v>
      </c>
      <c r="G547">
        <v>6</v>
      </c>
      <c r="H547" s="1">
        <v>60132</v>
      </c>
      <c r="I547" s="10">
        <v>0.23</v>
      </c>
      <c r="J547">
        <v>37.5</v>
      </c>
      <c r="K547" t="s">
        <v>34</v>
      </c>
      <c r="L547">
        <v>30</v>
      </c>
      <c r="M547" t="s">
        <v>47</v>
      </c>
      <c r="N547" t="s">
        <v>30</v>
      </c>
      <c r="O547" t="s">
        <v>44</v>
      </c>
      <c r="P547">
        <v>1</v>
      </c>
      <c r="Q547" t="s">
        <v>36</v>
      </c>
      <c r="R547" t="s">
        <v>33</v>
      </c>
      <c r="S547">
        <v>4</v>
      </c>
      <c r="T547">
        <v>0</v>
      </c>
      <c r="U547">
        <v>12</v>
      </c>
      <c r="V547">
        <v>2</v>
      </c>
      <c r="W547">
        <v>12</v>
      </c>
      <c r="X547">
        <v>8</v>
      </c>
      <c r="Y547">
        <v>3</v>
      </c>
      <c r="Z547">
        <v>7</v>
      </c>
      <c r="AA547" t="str">
        <f t="shared" si="48"/>
        <v>Long Tenure</v>
      </c>
      <c r="AB547" s="5">
        <v>44986</v>
      </c>
      <c r="AC547">
        <f t="shared" si="49"/>
        <v>0</v>
      </c>
      <c r="AD547" t="s">
        <v>49</v>
      </c>
      <c r="AE547">
        <f>VLOOKUP(A547,'Employee Engagement Survey'!A400:B1869,2,FALSE)</f>
        <v>3</v>
      </c>
      <c r="AF547">
        <f>VLOOKUP(A547,'Employee Engagement Survey'!A400:C1869,3,FALSE)</f>
        <v>4</v>
      </c>
      <c r="AG547">
        <f>VLOOKUP(A547,'Employee Engagement Survey'!A400:D1869,4,FALSE)</f>
        <v>4</v>
      </c>
      <c r="AH547">
        <f>VLOOKUP(A547,'Employee Engagement Survey'!A400:E1869,5,FALSE)</f>
        <v>3</v>
      </c>
      <c r="AI547">
        <f t="shared" si="47"/>
        <v>3.5</v>
      </c>
    </row>
    <row r="548" spans="1:35" hidden="1" x14ac:dyDescent="0.4">
      <c r="A548">
        <v>75</v>
      </c>
      <c r="B548" t="s">
        <v>34</v>
      </c>
      <c r="C548">
        <f t="shared" si="45"/>
        <v>1</v>
      </c>
      <c r="D548" t="s">
        <v>46</v>
      </c>
      <c r="E548">
        <f t="shared" si="46"/>
        <v>0</v>
      </c>
      <c r="F548" t="s">
        <v>28</v>
      </c>
      <c r="G548">
        <v>6</v>
      </c>
      <c r="H548" s="1">
        <v>60168</v>
      </c>
      <c r="I548" s="10">
        <v>0.15</v>
      </c>
      <c r="J548">
        <v>37.5</v>
      </c>
      <c r="K548" t="s">
        <v>26</v>
      </c>
      <c r="L548">
        <v>35</v>
      </c>
      <c r="M548" t="s">
        <v>47</v>
      </c>
      <c r="N548" t="s">
        <v>42</v>
      </c>
      <c r="O548" t="s">
        <v>31</v>
      </c>
      <c r="P548">
        <v>23</v>
      </c>
      <c r="Q548" t="s">
        <v>51</v>
      </c>
      <c r="R548" t="s">
        <v>33</v>
      </c>
      <c r="S548">
        <v>3</v>
      </c>
      <c r="T548">
        <v>1</v>
      </c>
      <c r="U548">
        <v>4</v>
      </c>
      <c r="V548">
        <v>3</v>
      </c>
      <c r="W548">
        <v>2</v>
      </c>
      <c r="X548">
        <v>2</v>
      </c>
      <c r="Y548">
        <v>2</v>
      </c>
      <c r="Z548">
        <v>2</v>
      </c>
      <c r="AA548" t="str">
        <f t="shared" si="48"/>
        <v>Early Tenure</v>
      </c>
      <c r="AB548" s="5">
        <v>45696</v>
      </c>
      <c r="AC548">
        <f t="shared" si="49"/>
        <v>1</v>
      </c>
      <c r="AD548" t="s">
        <v>49</v>
      </c>
      <c r="AE548">
        <f>VLOOKUP(A548,'Employee Engagement Survey'!A401:B1870,2,FALSE)</f>
        <v>3</v>
      </c>
      <c r="AF548">
        <f>VLOOKUP(A548,'Employee Engagement Survey'!A401:C1870,3,FALSE)</f>
        <v>1</v>
      </c>
      <c r="AG548">
        <f>VLOOKUP(A548,'Employee Engagement Survey'!A401:D1870,4,FALSE)</f>
        <v>3</v>
      </c>
      <c r="AH548">
        <f>VLOOKUP(A548,'Employee Engagement Survey'!A401:E1870,5,FALSE)</f>
        <v>3</v>
      </c>
      <c r="AI548">
        <f t="shared" si="47"/>
        <v>2.5</v>
      </c>
    </row>
    <row r="549" spans="1:35" hidden="1" x14ac:dyDescent="0.4">
      <c r="A549">
        <v>942</v>
      </c>
      <c r="B549" t="s">
        <v>34</v>
      </c>
      <c r="C549">
        <f t="shared" si="45"/>
        <v>1</v>
      </c>
      <c r="D549" t="s">
        <v>55</v>
      </c>
      <c r="E549">
        <f t="shared" si="46"/>
        <v>0</v>
      </c>
      <c r="F549" t="s">
        <v>28</v>
      </c>
      <c r="G549">
        <v>6</v>
      </c>
      <c r="H549" s="1">
        <v>60168</v>
      </c>
      <c r="I549" s="10">
        <v>0.25</v>
      </c>
      <c r="J549">
        <v>37.5</v>
      </c>
      <c r="K549" t="s">
        <v>26</v>
      </c>
      <c r="L549">
        <v>35</v>
      </c>
      <c r="M549" t="s">
        <v>47</v>
      </c>
      <c r="N549" t="s">
        <v>42</v>
      </c>
      <c r="O549" t="s">
        <v>31</v>
      </c>
      <c r="P549">
        <v>21</v>
      </c>
      <c r="Q549" t="s">
        <v>32</v>
      </c>
      <c r="R549" t="s">
        <v>37</v>
      </c>
      <c r="S549">
        <v>4</v>
      </c>
      <c r="T549">
        <v>1</v>
      </c>
      <c r="U549">
        <v>10</v>
      </c>
      <c r="V549">
        <v>2</v>
      </c>
      <c r="W549">
        <v>10</v>
      </c>
      <c r="X549">
        <v>6</v>
      </c>
      <c r="Y549">
        <v>0</v>
      </c>
      <c r="Z549">
        <v>7</v>
      </c>
      <c r="AA549" t="str">
        <f t="shared" si="48"/>
        <v>Long Tenure</v>
      </c>
      <c r="AB549" s="5">
        <v>45643</v>
      </c>
      <c r="AC549">
        <f t="shared" si="49"/>
        <v>1</v>
      </c>
      <c r="AD549" t="s">
        <v>49</v>
      </c>
      <c r="AE549">
        <f>VLOOKUP(A549,'Employee Engagement Survey'!A402:B1871,2,FALSE)</f>
        <v>4</v>
      </c>
      <c r="AF549">
        <f>VLOOKUP(A549,'Employee Engagement Survey'!A402:C1871,3,FALSE)</f>
        <v>4</v>
      </c>
      <c r="AG549">
        <f>VLOOKUP(A549,'Employee Engagement Survey'!A402:D1871,4,FALSE)</f>
        <v>4</v>
      </c>
      <c r="AH549">
        <f>VLOOKUP(A549,'Employee Engagement Survey'!A402:E1871,5,FALSE)</f>
        <v>1</v>
      </c>
      <c r="AI549">
        <f t="shared" si="47"/>
        <v>3.25</v>
      </c>
    </row>
    <row r="550" spans="1:35" hidden="1" x14ac:dyDescent="0.4">
      <c r="A550">
        <v>531</v>
      </c>
      <c r="B550" t="s">
        <v>34</v>
      </c>
      <c r="C550">
        <f t="shared" si="45"/>
        <v>1</v>
      </c>
      <c r="D550" t="s">
        <v>109</v>
      </c>
      <c r="E550">
        <f t="shared" si="46"/>
        <v>1</v>
      </c>
      <c r="F550" t="s">
        <v>28</v>
      </c>
      <c r="G550">
        <v>5</v>
      </c>
      <c r="H550" s="1">
        <v>242364</v>
      </c>
      <c r="I550" s="10">
        <v>0.14000000000000001</v>
      </c>
      <c r="J550">
        <v>37.5</v>
      </c>
      <c r="K550" t="s">
        <v>26</v>
      </c>
      <c r="L550">
        <v>39</v>
      </c>
      <c r="M550" t="s">
        <v>29</v>
      </c>
      <c r="N550" t="s">
        <v>48</v>
      </c>
      <c r="O550" t="s">
        <v>44</v>
      </c>
      <c r="P550">
        <v>1</v>
      </c>
      <c r="Q550" t="s">
        <v>32</v>
      </c>
      <c r="R550" t="s">
        <v>37</v>
      </c>
      <c r="S550">
        <v>3</v>
      </c>
      <c r="T550">
        <v>1</v>
      </c>
      <c r="U550">
        <v>21</v>
      </c>
      <c r="V550">
        <v>3</v>
      </c>
      <c r="W550">
        <v>21</v>
      </c>
      <c r="X550">
        <v>8</v>
      </c>
      <c r="Y550">
        <v>1</v>
      </c>
      <c r="Z550">
        <v>6</v>
      </c>
      <c r="AA550" t="str">
        <f t="shared" si="48"/>
        <v>Long Tenure</v>
      </c>
      <c r="AB550" s="5">
        <v>44863</v>
      </c>
      <c r="AC550">
        <f t="shared" si="49"/>
        <v>0</v>
      </c>
      <c r="AD550" t="s">
        <v>38</v>
      </c>
      <c r="AE550">
        <f>VLOOKUP(A550,'Employee Engagement Survey'!A403:B1872,2,FALSE)</f>
        <v>2</v>
      </c>
      <c r="AF550">
        <f>VLOOKUP(A550,'Employee Engagement Survey'!A403:C1872,3,FALSE)</f>
        <v>3</v>
      </c>
      <c r="AG550">
        <f>VLOOKUP(A550,'Employee Engagement Survey'!A403:D1872,4,FALSE)</f>
        <v>3</v>
      </c>
      <c r="AH550">
        <f>VLOOKUP(A550,'Employee Engagement Survey'!A403:E1872,5,FALSE)</f>
        <v>3</v>
      </c>
      <c r="AI550">
        <f t="shared" si="47"/>
        <v>2.75</v>
      </c>
    </row>
    <row r="551" spans="1:35" hidden="1" x14ac:dyDescent="0.4">
      <c r="A551">
        <v>1046</v>
      </c>
      <c r="B551" t="s">
        <v>34</v>
      </c>
      <c r="C551">
        <f t="shared" si="45"/>
        <v>1</v>
      </c>
      <c r="D551" t="s">
        <v>46</v>
      </c>
      <c r="E551">
        <f t="shared" si="46"/>
        <v>0</v>
      </c>
      <c r="F551" t="s">
        <v>28</v>
      </c>
      <c r="G551">
        <v>6</v>
      </c>
      <c r="H551" s="1">
        <v>60300</v>
      </c>
      <c r="I551" s="10">
        <v>0.12</v>
      </c>
      <c r="J551">
        <v>37.5</v>
      </c>
      <c r="K551" t="s">
        <v>34</v>
      </c>
      <c r="L551">
        <v>32</v>
      </c>
      <c r="M551" t="s">
        <v>47</v>
      </c>
      <c r="N551" t="s">
        <v>30</v>
      </c>
      <c r="O551" t="s">
        <v>35</v>
      </c>
      <c r="P551">
        <v>29</v>
      </c>
      <c r="Q551" t="s">
        <v>51</v>
      </c>
      <c r="R551" t="s">
        <v>33</v>
      </c>
      <c r="S551">
        <v>3</v>
      </c>
      <c r="T551">
        <v>0</v>
      </c>
      <c r="U551">
        <v>10</v>
      </c>
      <c r="V551">
        <v>2</v>
      </c>
      <c r="W551">
        <v>8</v>
      </c>
      <c r="X551">
        <v>7</v>
      </c>
      <c r="Y551">
        <v>7</v>
      </c>
      <c r="Z551">
        <v>7</v>
      </c>
      <c r="AA551" t="str">
        <f t="shared" si="48"/>
        <v>Mid Tenure</v>
      </c>
      <c r="AB551" s="5">
        <v>45104</v>
      </c>
      <c r="AC551">
        <f t="shared" si="49"/>
        <v>0</v>
      </c>
      <c r="AD551" t="s">
        <v>49</v>
      </c>
      <c r="AE551">
        <f>VLOOKUP(A551,'Employee Engagement Survey'!A404:B1873,2,FALSE)</f>
        <v>4</v>
      </c>
      <c r="AF551">
        <f>VLOOKUP(A551,'Employee Engagement Survey'!A404:C1873,3,FALSE)</f>
        <v>3</v>
      </c>
      <c r="AG551">
        <f>VLOOKUP(A551,'Employee Engagement Survey'!A404:D1873,4,FALSE)</f>
        <v>2</v>
      </c>
      <c r="AH551">
        <f>VLOOKUP(A551,'Employee Engagement Survey'!A404:E1873,5,FALSE)</f>
        <v>3</v>
      </c>
      <c r="AI551">
        <f t="shared" si="47"/>
        <v>3</v>
      </c>
    </row>
    <row r="552" spans="1:35" hidden="1" x14ac:dyDescent="0.4">
      <c r="A552">
        <v>534</v>
      </c>
      <c r="B552" t="s">
        <v>34</v>
      </c>
      <c r="C552">
        <f t="shared" si="45"/>
        <v>1</v>
      </c>
      <c r="D552" t="s">
        <v>57</v>
      </c>
      <c r="E552">
        <f t="shared" si="46"/>
        <v>0</v>
      </c>
      <c r="F552" t="s">
        <v>40</v>
      </c>
      <c r="G552">
        <v>9</v>
      </c>
      <c r="H552" s="1">
        <v>112704</v>
      </c>
      <c r="I552" s="10">
        <v>0.16</v>
      </c>
      <c r="J552">
        <v>37.5</v>
      </c>
      <c r="K552" t="s">
        <v>34</v>
      </c>
      <c r="L552">
        <v>41</v>
      </c>
      <c r="M552" t="s">
        <v>29</v>
      </c>
      <c r="N552" t="s">
        <v>42</v>
      </c>
      <c r="O552" t="s">
        <v>31</v>
      </c>
      <c r="P552">
        <v>1</v>
      </c>
      <c r="Q552" t="s">
        <v>43</v>
      </c>
      <c r="R552" t="s">
        <v>56</v>
      </c>
      <c r="S552">
        <v>3</v>
      </c>
      <c r="T552">
        <v>1</v>
      </c>
      <c r="U552">
        <v>10</v>
      </c>
      <c r="V552">
        <v>2</v>
      </c>
      <c r="W552">
        <v>10</v>
      </c>
      <c r="X552">
        <v>7</v>
      </c>
      <c r="Y552">
        <v>0</v>
      </c>
      <c r="Z552">
        <v>7</v>
      </c>
      <c r="AA552" t="str">
        <f t="shared" si="48"/>
        <v>Long Tenure</v>
      </c>
      <c r="AB552" s="5">
        <v>45357</v>
      </c>
      <c r="AC552">
        <f t="shared" si="49"/>
        <v>1</v>
      </c>
      <c r="AD552" t="s">
        <v>49</v>
      </c>
      <c r="AE552">
        <f>VLOOKUP(A552,'Employee Engagement Survey'!A405:B1874,2,FALSE)</f>
        <v>2</v>
      </c>
      <c r="AF552">
        <f>VLOOKUP(A552,'Employee Engagement Survey'!A405:C1874,3,FALSE)</f>
        <v>1</v>
      </c>
      <c r="AG552">
        <f>VLOOKUP(A552,'Employee Engagement Survey'!A405:D1874,4,FALSE)</f>
        <v>3</v>
      </c>
      <c r="AH552">
        <f>VLOOKUP(A552,'Employee Engagement Survey'!A405:E1874,5,FALSE)</f>
        <v>3</v>
      </c>
      <c r="AI552">
        <f t="shared" si="47"/>
        <v>2.25</v>
      </c>
    </row>
    <row r="553" spans="1:35" hidden="1" x14ac:dyDescent="0.4">
      <c r="A553">
        <v>709</v>
      </c>
      <c r="B553" t="s">
        <v>34</v>
      </c>
      <c r="C553">
        <f t="shared" si="45"/>
        <v>1</v>
      </c>
      <c r="D553" t="s">
        <v>57</v>
      </c>
      <c r="E553">
        <f t="shared" si="46"/>
        <v>0</v>
      </c>
      <c r="F553" t="s">
        <v>40</v>
      </c>
      <c r="G553">
        <v>6</v>
      </c>
      <c r="H553" s="1">
        <v>60336</v>
      </c>
      <c r="I553" s="10">
        <v>0.2</v>
      </c>
      <c r="J553">
        <v>37.5</v>
      </c>
      <c r="K553" t="s">
        <v>34</v>
      </c>
      <c r="L553">
        <v>38</v>
      </c>
      <c r="M553" t="s">
        <v>47</v>
      </c>
      <c r="N553" t="s">
        <v>30</v>
      </c>
      <c r="O553" t="s">
        <v>31</v>
      </c>
      <c r="P553">
        <v>7</v>
      </c>
      <c r="Q553" t="s">
        <v>51</v>
      </c>
      <c r="R553" t="s">
        <v>56</v>
      </c>
      <c r="S553">
        <v>4</v>
      </c>
      <c r="T553">
        <v>0</v>
      </c>
      <c r="U553">
        <v>8</v>
      </c>
      <c r="V553">
        <v>2</v>
      </c>
      <c r="W553">
        <v>7</v>
      </c>
      <c r="X553">
        <v>7</v>
      </c>
      <c r="Y553">
        <v>0</v>
      </c>
      <c r="Z553">
        <v>5</v>
      </c>
      <c r="AA553" t="str">
        <f t="shared" si="48"/>
        <v>Mid Tenure</v>
      </c>
      <c r="AB553" s="5">
        <v>44822</v>
      </c>
      <c r="AC553">
        <f t="shared" si="49"/>
        <v>0</v>
      </c>
      <c r="AD553" t="s">
        <v>49</v>
      </c>
      <c r="AE553">
        <f>VLOOKUP(A553,'Employee Engagement Survey'!A406:B1875,2,FALSE)</f>
        <v>4</v>
      </c>
      <c r="AF553">
        <f>VLOOKUP(A553,'Employee Engagement Survey'!A406:C1875,3,FALSE)</f>
        <v>4</v>
      </c>
      <c r="AG553">
        <f>VLOOKUP(A553,'Employee Engagement Survey'!A406:D1875,4,FALSE)</f>
        <v>1</v>
      </c>
      <c r="AH553">
        <f>VLOOKUP(A553,'Employee Engagement Survey'!A406:E1875,5,FALSE)</f>
        <v>3</v>
      </c>
      <c r="AI553">
        <f t="shared" si="47"/>
        <v>3</v>
      </c>
    </row>
    <row r="554" spans="1:35" hidden="1" x14ac:dyDescent="0.4">
      <c r="A554">
        <v>536</v>
      </c>
      <c r="B554" t="s">
        <v>34</v>
      </c>
      <c r="C554">
        <f t="shared" si="45"/>
        <v>1</v>
      </c>
      <c r="D554" t="s">
        <v>46</v>
      </c>
      <c r="E554">
        <f t="shared" si="46"/>
        <v>0</v>
      </c>
      <c r="F554" t="s">
        <v>28</v>
      </c>
      <c r="G554">
        <v>6</v>
      </c>
      <c r="H554" s="1">
        <v>66696</v>
      </c>
      <c r="I554" s="10">
        <v>0.12</v>
      </c>
      <c r="J554">
        <v>37.5</v>
      </c>
      <c r="K554" t="s">
        <v>34</v>
      </c>
      <c r="L554">
        <v>28</v>
      </c>
      <c r="M554" t="s">
        <v>29</v>
      </c>
      <c r="N554" t="s">
        <v>48</v>
      </c>
      <c r="O554" t="s">
        <v>31</v>
      </c>
      <c r="P554">
        <v>17</v>
      </c>
      <c r="Q554" t="s">
        <v>36</v>
      </c>
      <c r="R554" t="s">
        <v>33</v>
      </c>
      <c r="S554">
        <v>3</v>
      </c>
      <c r="T554">
        <v>1</v>
      </c>
      <c r="U554">
        <v>10</v>
      </c>
      <c r="V554">
        <v>2</v>
      </c>
      <c r="W554">
        <v>10</v>
      </c>
      <c r="X554">
        <v>0</v>
      </c>
      <c r="Y554">
        <v>1</v>
      </c>
      <c r="Z554">
        <v>8</v>
      </c>
      <c r="AA554" t="str">
        <f t="shared" si="48"/>
        <v>Long Tenure</v>
      </c>
      <c r="AB554" s="5">
        <v>45887</v>
      </c>
      <c r="AC554">
        <f t="shared" si="49"/>
        <v>1</v>
      </c>
      <c r="AD554" t="s">
        <v>38</v>
      </c>
      <c r="AE554">
        <f>VLOOKUP(A554,'Employee Engagement Survey'!A407:B1876,2,FALSE)</f>
        <v>3</v>
      </c>
      <c r="AF554">
        <f>VLOOKUP(A554,'Employee Engagement Survey'!A407:C1876,3,FALSE)</f>
        <v>1</v>
      </c>
      <c r="AG554">
        <f>VLOOKUP(A554,'Employee Engagement Survey'!A407:D1876,4,FALSE)</f>
        <v>4</v>
      </c>
      <c r="AH554">
        <f>VLOOKUP(A554,'Employee Engagement Survey'!A407:E1876,5,FALSE)</f>
        <v>3</v>
      </c>
      <c r="AI554">
        <f t="shared" si="47"/>
        <v>2.75</v>
      </c>
    </row>
    <row r="555" spans="1:35" hidden="1" x14ac:dyDescent="0.4">
      <c r="A555">
        <v>543</v>
      </c>
      <c r="B555" t="s">
        <v>34</v>
      </c>
      <c r="C555">
        <f t="shared" si="45"/>
        <v>1</v>
      </c>
      <c r="D555" t="s">
        <v>54</v>
      </c>
      <c r="E555">
        <f t="shared" si="46"/>
        <v>1</v>
      </c>
      <c r="F555" t="s">
        <v>28</v>
      </c>
      <c r="G555">
        <v>9</v>
      </c>
      <c r="H555" s="1">
        <v>107628</v>
      </c>
      <c r="I555" s="10">
        <v>0.14000000000000001</v>
      </c>
      <c r="J555">
        <v>37.5</v>
      </c>
      <c r="K555" t="s">
        <v>26</v>
      </c>
      <c r="L555">
        <v>52</v>
      </c>
      <c r="M555" t="s">
        <v>29</v>
      </c>
      <c r="N555" t="s">
        <v>42</v>
      </c>
      <c r="O555" t="s">
        <v>31</v>
      </c>
      <c r="P555">
        <v>3</v>
      </c>
      <c r="Q555" t="s">
        <v>43</v>
      </c>
      <c r="R555" t="s">
        <v>33</v>
      </c>
      <c r="S555">
        <v>3</v>
      </c>
      <c r="T555">
        <v>0</v>
      </c>
      <c r="U555">
        <v>28</v>
      </c>
      <c r="V555">
        <v>4</v>
      </c>
      <c r="W555">
        <v>5</v>
      </c>
      <c r="X555">
        <v>4</v>
      </c>
      <c r="Y555">
        <v>0</v>
      </c>
      <c r="Z555">
        <v>4</v>
      </c>
      <c r="AA555" t="str">
        <f t="shared" si="48"/>
        <v>Mid Tenure</v>
      </c>
      <c r="AB555" s="5">
        <v>45173</v>
      </c>
      <c r="AC555">
        <f t="shared" si="49"/>
        <v>0</v>
      </c>
      <c r="AD555" t="s">
        <v>38</v>
      </c>
      <c r="AE555">
        <f>VLOOKUP(A555,'Employee Engagement Survey'!A409:B1878,2,FALSE)</f>
        <v>4</v>
      </c>
      <c r="AF555">
        <f>VLOOKUP(A555,'Employee Engagement Survey'!A409:C1878,3,FALSE)</f>
        <v>3</v>
      </c>
      <c r="AG555">
        <f>VLOOKUP(A555,'Employee Engagement Survey'!A409:D1878,4,FALSE)</f>
        <v>3</v>
      </c>
      <c r="AH555">
        <f>VLOOKUP(A555,'Employee Engagement Survey'!A409:E1878,5,FALSE)</f>
        <v>3</v>
      </c>
      <c r="AI555">
        <f t="shared" si="47"/>
        <v>3.25</v>
      </c>
    </row>
    <row r="556" spans="1:35" hidden="1" x14ac:dyDescent="0.4">
      <c r="A556">
        <v>515</v>
      </c>
      <c r="B556" t="s">
        <v>34</v>
      </c>
      <c r="C556">
        <f t="shared" si="45"/>
        <v>1</v>
      </c>
      <c r="D556" t="s">
        <v>46</v>
      </c>
      <c r="E556">
        <f t="shared" si="46"/>
        <v>0</v>
      </c>
      <c r="F556" t="s">
        <v>28</v>
      </c>
      <c r="G556">
        <v>6</v>
      </c>
      <c r="H556" s="1">
        <v>60408</v>
      </c>
      <c r="I556" s="10">
        <v>0.12</v>
      </c>
      <c r="J556">
        <v>37.5</v>
      </c>
      <c r="K556" t="s">
        <v>34</v>
      </c>
      <c r="L556">
        <v>37</v>
      </c>
      <c r="M556" t="s">
        <v>47</v>
      </c>
      <c r="N556" t="s">
        <v>48</v>
      </c>
      <c r="O556" t="s">
        <v>31</v>
      </c>
      <c r="P556">
        <v>14</v>
      </c>
      <c r="Q556" t="s">
        <v>43</v>
      </c>
      <c r="R556" t="s">
        <v>37</v>
      </c>
      <c r="S556">
        <v>3</v>
      </c>
      <c r="T556">
        <v>1</v>
      </c>
      <c r="U556">
        <v>18</v>
      </c>
      <c r="V556">
        <v>2</v>
      </c>
      <c r="W556">
        <v>18</v>
      </c>
      <c r="X556">
        <v>7</v>
      </c>
      <c r="Y556">
        <v>12</v>
      </c>
      <c r="Z556">
        <v>17</v>
      </c>
      <c r="AA556" t="str">
        <f t="shared" si="48"/>
        <v>Long Tenure</v>
      </c>
      <c r="AB556" s="5">
        <v>45171</v>
      </c>
      <c r="AC556">
        <f t="shared" si="49"/>
        <v>0</v>
      </c>
      <c r="AD556" t="s">
        <v>49</v>
      </c>
      <c r="AE556">
        <f>VLOOKUP(A556,'Employee Engagement Survey'!A410:B1879,2,FALSE)</f>
        <v>4</v>
      </c>
      <c r="AF556">
        <f>VLOOKUP(A556,'Employee Engagement Survey'!A410:C1879,3,FALSE)</f>
        <v>1</v>
      </c>
      <c r="AG556">
        <f>VLOOKUP(A556,'Employee Engagement Survey'!A410:D1879,4,FALSE)</f>
        <v>3</v>
      </c>
      <c r="AH556">
        <f>VLOOKUP(A556,'Employee Engagement Survey'!A410:E1879,5,FALSE)</f>
        <v>2</v>
      </c>
      <c r="AI556">
        <f t="shared" si="47"/>
        <v>2.5</v>
      </c>
    </row>
    <row r="557" spans="1:35" hidden="1" x14ac:dyDescent="0.4">
      <c r="A557">
        <v>544</v>
      </c>
      <c r="B557" t="s">
        <v>34</v>
      </c>
      <c r="C557">
        <f t="shared" si="45"/>
        <v>1</v>
      </c>
      <c r="D557" t="s">
        <v>27</v>
      </c>
      <c r="E557">
        <f t="shared" si="46"/>
        <v>0</v>
      </c>
      <c r="F557" t="s">
        <v>28</v>
      </c>
      <c r="G557">
        <v>5</v>
      </c>
      <c r="H557" s="1">
        <v>55848</v>
      </c>
      <c r="I557" s="10">
        <v>0.21</v>
      </c>
      <c r="J557">
        <v>37.5</v>
      </c>
      <c r="K557" t="s">
        <v>34</v>
      </c>
      <c r="L557">
        <v>45</v>
      </c>
      <c r="M557" t="s">
        <v>29</v>
      </c>
      <c r="N557" t="s">
        <v>42</v>
      </c>
      <c r="O557" t="s">
        <v>31</v>
      </c>
      <c r="P557">
        <v>10</v>
      </c>
      <c r="Q557" t="s">
        <v>36</v>
      </c>
      <c r="R557" t="s">
        <v>37</v>
      </c>
      <c r="S557">
        <v>4</v>
      </c>
      <c r="T557">
        <v>2</v>
      </c>
      <c r="U557">
        <v>8</v>
      </c>
      <c r="V557">
        <v>3</v>
      </c>
      <c r="W557">
        <v>2</v>
      </c>
      <c r="X557">
        <v>2</v>
      </c>
      <c r="Y557">
        <v>0</v>
      </c>
      <c r="Z557">
        <v>2</v>
      </c>
      <c r="AA557" t="str">
        <f t="shared" si="48"/>
        <v>Early Tenure</v>
      </c>
      <c r="AB557" s="5">
        <v>46019</v>
      </c>
      <c r="AC557">
        <f t="shared" si="49"/>
        <v>1</v>
      </c>
      <c r="AD557" t="s">
        <v>38</v>
      </c>
      <c r="AE557">
        <f>VLOOKUP(A557,'Employee Engagement Survey'!A411:B1880,2,FALSE)</f>
        <v>1</v>
      </c>
      <c r="AF557">
        <f>VLOOKUP(A557,'Employee Engagement Survey'!A411:C1880,3,FALSE)</f>
        <v>4</v>
      </c>
      <c r="AG557">
        <f>VLOOKUP(A557,'Employee Engagement Survey'!A411:D1880,4,FALSE)</f>
        <v>4</v>
      </c>
      <c r="AH557">
        <f>VLOOKUP(A557,'Employee Engagement Survey'!A411:E1880,5,FALSE)</f>
        <v>2</v>
      </c>
      <c r="AI557">
        <f t="shared" si="47"/>
        <v>2.75</v>
      </c>
    </row>
    <row r="558" spans="1:35" hidden="1" x14ac:dyDescent="0.4">
      <c r="A558">
        <v>556</v>
      </c>
      <c r="B558" t="s">
        <v>34</v>
      </c>
      <c r="C558">
        <f t="shared" si="45"/>
        <v>1</v>
      </c>
      <c r="D558" t="s">
        <v>46</v>
      </c>
      <c r="E558">
        <f t="shared" si="46"/>
        <v>0</v>
      </c>
      <c r="F558" t="s">
        <v>28</v>
      </c>
      <c r="G558">
        <v>2</v>
      </c>
      <c r="H558" s="1">
        <v>44424</v>
      </c>
      <c r="I558" s="10">
        <v>0.23</v>
      </c>
      <c r="J558">
        <v>37.5</v>
      </c>
      <c r="K558" t="s">
        <v>26</v>
      </c>
      <c r="L558">
        <v>38</v>
      </c>
      <c r="M558" t="s">
        <v>29</v>
      </c>
      <c r="N558" t="s">
        <v>42</v>
      </c>
      <c r="O558" t="s">
        <v>44</v>
      </c>
      <c r="P558">
        <v>2</v>
      </c>
      <c r="Q558" t="s">
        <v>36</v>
      </c>
      <c r="R558" t="s">
        <v>37</v>
      </c>
      <c r="S558">
        <v>4</v>
      </c>
      <c r="T558">
        <v>1</v>
      </c>
      <c r="U558">
        <v>1</v>
      </c>
      <c r="V558">
        <v>3</v>
      </c>
      <c r="W558">
        <v>1</v>
      </c>
      <c r="X558">
        <v>0</v>
      </c>
      <c r="Y558">
        <v>0</v>
      </c>
      <c r="Z558">
        <v>0</v>
      </c>
      <c r="AA558" t="str">
        <f t="shared" si="48"/>
        <v>Early Tenure</v>
      </c>
      <c r="AB558" s="5">
        <v>45386</v>
      </c>
      <c r="AC558">
        <f t="shared" si="49"/>
        <v>1</v>
      </c>
      <c r="AD558" t="s">
        <v>38</v>
      </c>
      <c r="AE558">
        <f>VLOOKUP(A558,'Employee Engagement Survey'!A412:B1881,2,FALSE)</f>
        <v>4</v>
      </c>
      <c r="AF558">
        <f>VLOOKUP(A558,'Employee Engagement Survey'!A412:C1881,3,FALSE)</f>
        <v>4</v>
      </c>
      <c r="AG558">
        <f>VLOOKUP(A558,'Employee Engagement Survey'!A412:D1881,4,FALSE)</f>
        <v>3</v>
      </c>
      <c r="AH558">
        <f>VLOOKUP(A558,'Employee Engagement Survey'!A412:E1881,5,FALSE)</f>
        <v>3</v>
      </c>
      <c r="AI558">
        <f t="shared" si="47"/>
        <v>3.5</v>
      </c>
    </row>
    <row r="559" spans="1:35" hidden="1" x14ac:dyDescent="0.4">
      <c r="A559">
        <v>97</v>
      </c>
      <c r="B559" t="s">
        <v>34</v>
      </c>
      <c r="C559">
        <f t="shared" si="45"/>
        <v>1</v>
      </c>
      <c r="D559" t="s">
        <v>46</v>
      </c>
      <c r="E559">
        <f t="shared" si="46"/>
        <v>0</v>
      </c>
      <c r="F559" t="s">
        <v>28</v>
      </c>
      <c r="G559">
        <v>6</v>
      </c>
      <c r="H559" s="1">
        <v>60456</v>
      </c>
      <c r="I559" s="10">
        <v>0.12</v>
      </c>
      <c r="J559">
        <v>37.5</v>
      </c>
      <c r="K559" t="s">
        <v>34</v>
      </c>
      <c r="L559">
        <v>36</v>
      </c>
      <c r="M559" t="s">
        <v>47</v>
      </c>
      <c r="N559" t="s">
        <v>42</v>
      </c>
      <c r="O559" t="s">
        <v>31</v>
      </c>
      <c r="P559">
        <v>6</v>
      </c>
      <c r="Q559" t="s">
        <v>43</v>
      </c>
      <c r="R559" t="s">
        <v>37</v>
      </c>
      <c r="S559">
        <v>3</v>
      </c>
      <c r="T559">
        <v>0</v>
      </c>
      <c r="U559">
        <v>5</v>
      </c>
      <c r="V559">
        <v>3</v>
      </c>
      <c r="W559">
        <v>1</v>
      </c>
      <c r="X559">
        <v>0</v>
      </c>
      <c r="Y559">
        <v>0</v>
      </c>
      <c r="Z559">
        <v>0</v>
      </c>
      <c r="AA559" t="str">
        <f t="shared" si="48"/>
        <v>Early Tenure</v>
      </c>
      <c r="AB559" s="5">
        <v>45145</v>
      </c>
      <c r="AC559">
        <f t="shared" si="49"/>
        <v>0</v>
      </c>
      <c r="AD559" t="s">
        <v>49</v>
      </c>
      <c r="AE559">
        <f>VLOOKUP(A559,'Employee Engagement Survey'!A413:B1882,2,FALSE)</f>
        <v>2</v>
      </c>
      <c r="AF559">
        <f>VLOOKUP(A559,'Employee Engagement Survey'!A413:C1882,3,FALSE)</f>
        <v>4</v>
      </c>
      <c r="AG559">
        <f>VLOOKUP(A559,'Employee Engagement Survey'!A413:D1882,4,FALSE)</f>
        <v>2</v>
      </c>
      <c r="AH559">
        <f>VLOOKUP(A559,'Employee Engagement Survey'!A413:E1882,5,FALSE)</f>
        <v>3</v>
      </c>
      <c r="AI559">
        <f t="shared" si="47"/>
        <v>2.75</v>
      </c>
    </row>
    <row r="560" spans="1:35" hidden="1" x14ac:dyDescent="0.4">
      <c r="A560">
        <v>562</v>
      </c>
      <c r="B560" t="s">
        <v>34</v>
      </c>
      <c r="C560">
        <f t="shared" si="45"/>
        <v>1</v>
      </c>
      <c r="D560" t="s">
        <v>46</v>
      </c>
      <c r="E560">
        <f t="shared" si="46"/>
        <v>0</v>
      </c>
      <c r="F560" t="s">
        <v>28</v>
      </c>
      <c r="G560">
        <v>3</v>
      </c>
      <c r="H560" s="1">
        <v>49164</v>
      </c>
      <c r="I560" s="10">
        <v>0.15</v>
      </c>
      <c r="J560">
        <v>37.5</v>
      </c>
      <c r="K560" t="s">
        <v>34</v>
      </c>
      <c r="L560">
        <v>30</v>
      </c>
      <c r="M560" t="s">
        <v>29</v>
      </c>
      <c r="N560" t="s">
        <v>42</v>
      </c>
      <c r="O560" t="s">
        <v>35</v>
      </c>
      <c r="P560">
        <v>3</v>
      </c>
      <c r="Q560" t="s">
        <v>43</v>
      </c>
      <c r="R560" t="s">
        <v>37</v>
      </c>
      <c r="S560">
        <v>3</v>
      </c>
      <c r="T560">
        <v>1</v>
      </c>
      <c r="U560">
        <v>9</v>
      </c>
      <c r="V560">
        <v>3</v>
      </c>
      <c r="W560">
        <v>5</v>
      </c>
      <c r="X560">
        <v>3</v>
      </c>
      <c r="Y560">
        <v>1</v>
      </c>
      <c r="Z560">
        <v>4</v>
      </c>
      <c r="AA560" t="str">
        <f t="shared" si="48"/>
        <v>Mid Tenure</v>
      </c>
      <c r="AB560" s="5">
        <v>45956</v>
      </c>
      <c r="AC560">
        <f t="shared" si="49"/>
        <v>1</v>
      </c>
      <c r="AD560" t="s">
        <v>38</v>
      </c>
      <c r="AE560">
        <f>VLOOKUP(A560,'Employee Engagement Survey'!A414:B1883,2,FALSE)</f>
        <v>3</v>
      </c>
      <c r="AF560">
        <f>VLOOKUP(A560,'Employee Engagement Survey'!A414:C1883,3,FALSE)</f>
        <v>4</v>
      </c>
      <c r="AG560">
        <f>VLOOKUP(A560,'Employee Engagement Survey'!A414:D1883,4,FALSE)</f>
        <v>3</v>
      </c>
      <c r="AH560">
        <f>VLOOKUP(A560,'Employee Engagement Survey'!A414:E1883,5,FALSE)</f>
        <v>1</v>
      </c>
      <c r="AI560">
        <f t="shared" si="47"/>
        <v>2.75</v>
      </c>
    </row>
    <row r="561" spans="1:35" hidden="1" x14ac:dyDescent="0.4">
      <c r="A561">
        <v>564</v>
      </c>
      <c r="B561" t="s">
        <v>34</v>
      </c>
      <c r="C561">
        <f t="shared" si="45"/>
        <v>1</v>
      </c>
      <c r="D561" t="s">
        <v>60</v>
      </c>
      <c r="E561">
        <f t="shared" si="46"/>
        <v>1</v>
      </c>
      <c r="F561" t="s">
        <v>28</v>
      </c>
      <c r="G561">
        <v>10</v>
      </c>
      <c r="H561" s="1">
        <v>155220</v>
      </c>
      <c r="I561" s="10">
        <v>0.18</v>
      </c>
      <c r="J561">
        <v>37.5</v>
      </c>
      <c r="K561" t="s">
        <v>34</v>
      </c>
      <c r="L561">
        <v>29</v>
      </c>
      <c r="M561" t="s">
        <v>29</v>
      </c>
      <c r="N561" t="s">
        <v>42</v>
      </c>
      <c r="O561" t="s">
        <v>31</v>
      </c>
      <c r="P561">
        <v>3</v>
      </c>
      <c r="Q561" t="s">
        <v>51</v>
      </c>
      <c r="R561" t="s">
        <v>33</v>
      </c>
      <c r="S561">
        <v>3</v>
      </c>
      <c r="T561">
        <v>0</v>
      </c>
      <c r="U561">
        <v>10</v>
      </c>
      <c r="V561">
        <v>2</v>
      </c>
      <c r="W561">
        <v>10</v>
      </c>
      <c r="X561">
        <v>2</v>
      </c>
      <c r="Y561">
        <v>0</v>
      </c>
      <c r="Z561">
        <v>7</v>
      </c>
      <c r="AA561" t="str">
        <f t="shared" si="48"/>
        <v>Long Tenure</v>
      </c>
      <c r="AB561" s="5">
        <v>45507</v>
      </c>
      <c r="AC561">
        <f t="shared" si="49"/>
        <v>1</v>
      </c>
      <c r="AD561" t="s">
        <v>49</v>
      </c>
      <c r="AE561">
        <f>VLOOKUP(A561,'Employee Engagement Survey'!A415:B1884,2,FALSE)</f>
        <v>2</v>
      </c>
      <c r="AF561">
        <f>VLOOKUP(A561,'Employee Engagement Survey'!A415:C1884,3,FALSE)</f>
        <v>3</v>
      </c>
      <c r="AG561">
        <f>VLOOKUP(A561,'Employee Engagement Survey'!A415:D1884,4,FALSE)</f>
        <v>3</v>
      </c>
      <c r="AH561">
        <f>VLOOKUP(A561,'Employee Engagement Survey'!A415:E1884,5,FALSE)</f>
        <v>3</v>
      </c>
      <c r="AI561">
        <f t="shared" si="47"/>
        <v>2.75</v>
      </c>
    </row>
    <row r="562" spans="1:35" hidden="1" x14ac:dyDescent="0.4">
      <c r="A562">
        <v>595</v>
      </c>
      <c r="B562" t="s">
        <v>34</v>
      </c>
      <c r="C562">
        <f t="shared" ref="C562:C625" si="50">IF(B562="No",1,0)</f>
        <v>1</v>
      </c>
      <c r="D562" t="s">
        <v>57</v>
      </c>
      <c r="E562">
        <f t="shared" si="46"/>
        <v>0</v>
      </c>
      <c r="F562" t="s">
        <v>40</v>
      </c>
      <c r="G562">
        <v>6</v>
      </c>
      <c r="H562" s="1">
        <v>60612</v>
      </c>
      <c r="I562" s="10">
        <v>0.14000000000000001</v>
      </c>
      <c r="J562">
        <v>37.5</v>
      </c>
      <c r="K562" t="s">
        <v>34</v>
      </c>
      <c r="L562">
        <v>48</v>
      </c>
      <c r="M562" t="s">
        <v>47</v>
      </c>
      <c r="N562" t="s">
        <v>42</v>
      </c>
      <c r="O562" t="s">
        <v>31</v>
      </c>
      <c r="P562">
        <v>2</v>
      </c>
      <c r="Q562" t="s">
        <v>58</v>
      </c>
      <c r="R562" t="s">
        <v>56</v>
      </c>
      <c r="S562">
        <v>3</v>
      </c>
      <c r="T562">
        <v>1</v>
      </c>
      <c r="U562">
        <v>14</v>
      </c>
      <c r="V562">
        <v>2</v>
      </c>
      <c r="W562">
        <v>9</v>
      </c>
      <c r="X562">
        <v>7</v>
      </c>
      <c r="Y562">
        <v>6</v>
      </c>
      <c r="Z562">
        <v>7</v>
      </c>
      <c r="AA562" t="str">
        <f t="shared" si="48"/>
        <v>Mid Tenure</v>
      </c>
      <c r="AB562" s="5">
        <v>45020</v>
      </c>
      <c r="AC562">
        <f t="shared" si="49"/>
        <v>0</v>
      </c>
      <c r="AD562" t="s">
        <v>38</v>
      </c>
      <c r="AE562">
        <f>VLOOKUP(A562,'Employee Engagement Survey'!A416:B1885,2,FALSE)</f>
        <v>2</v>
      </c>
      <c r="AF562">
        <f>VLOOKUP(A562,'Employee Engagement Survey'!A416:C1885,3,FALSE)</f>
        <v>4</v>
      </c>
      <c r="AG562">
        <f>VLOOKUP(A562,'Employee Engagement Survey'!A416:D1885,4,FALSE)</f>
        <v>1</v>
      </c>
      <c r="AH562">
        <f>VLOOKUP(A562,'Employee Engagement Survey'!A416:E1885,5,FALSE)</f>
        <v>3</v>
      </c>
      <c r="AI562">
        <f t="shared" si="47"/>
        <v>2.5</v>
      </c>
    </row>
    <row r="563" spans="1:35" x14ac:dyDescent="0.4">
      <c r="A563">
        <v>568</v>
      </c>
      <c r="B563" t="s">
        <v>34</v>
      </c>
      <c r="C563">
        <f t="shared" si="50"/>
        <v>1</v>
      </c>
      <c r="D563" t="s">
        <v>110</v>
      </c>
      <c r="E563">
        <f t="shared" si="46"/>
        <v>1</v>
      </c>
      <c r="F563" t="s">
        <v>40</v>
      </c>
      <c r="G563">
        <v>4</v>
      </c>
      <c r="H563" s="1">
        <v>181416</v>
      </c>
      <c r="I563" s="10">
        <v>0.12</v>
      </c>
      <c r="J563">
        <v>37.5</v>
      </c>
      <c r="K563" t="s">
        <v>34</v>
      </c>
      <c r="L563">
        <v>57</v>
      </c>
      <c r="M563" t="s">
        <v>29</v>
      </c>
      <c r="N563" t="s">
        <v>48</v>
      </c>
      <c r="O563" t="s">
        <v>31</v>
      </c>
      <c r="P563">
        <v>29</v>
      </c>
      <c r="Q563" t="s">
        <v>43</v>
      </c>
      <c r="R563" t="s">
        <v>56</v>
      </c>
      <c r="S563">
        <v>3</v>
      </c>
      <c r="T563">
        <v>1</v>
      </c>
      <c r="U563">
        <v>32</v>
      </c>
      <c r="V563">
        <v>3</v>
      </c>
      <c r="W563">
        <v>1</v>
      </c>
      <c r="X563">
        <v>0</v>
      </c>
      <c r="Y563">
        <v>0</v>
      </c>
      <c r="Z563">
        <v>0</v>
      </c>
      <c r="AA563" t="str">
        <f t="shared" si="48"/>
        <v>Early Tenure</v>
      </c>
      <c r="AB563" s="5">
        <v>45619</v>
      </c>
      <c r="AC563">
        <f t="shared" si="49"/>
        <v>1</v>
      </c>
      <c r="AD563" t="s">
        <v>38</v>
      </c>
      <c r="AE563">
        <f>VLOOKUP(A563,'Employee Engagement Survey'!A418:B1887,2,FALSE)</f>
        <v>1</v>
      </c>
      <c r="AF563">
        <f>VLOOKUP(A563,'Employee Engagement Survey'!A418:C1887,3,FALSE)</f>
        <v>4</v>
      </c>
      <c r="AG563">
        <f>VLOOKUP(A563,'Employee Engagement Survey'!A418:D1887,4,FALSE)</f>
        <v>3</v>
      </c>
      <c r="AH563">
        <f>VLOOKUP(A563,'Employee Engagement Survey'!A418:E1887,5,FALSE)</f>
        <v>2</v>
      </c>
      <c r="AI563">
        <f t="shared" si="47"/>
        <v>2.5</v>
      </c>
    </row>
    <row r="564" spans="1:35" hidden="1" x14ac:dyDescent="0.4">
      <c r="A564">
        <v>569</v>
      </c>
      <c r="B564" t="s">
        <v>34</v>
      </c>
      <c r="C564">
        <f t="shared" si="50"/>
        <v>1</v>
      </c>
      <c r="D564" t="s">
        <v>109</v>
      </c>
      <c r="E564">
        <f t="shared" si="46"/>
        <v>1</v>
      </c>
      <c r="F564" t="s">
        <v>28</v>
      </c>
      <c r="G564">
        <v>4</v>
      </c>
      <c r="H564" s="1">
        <v>216552</v>
      </c>
      <c r="I564" s="10">
        <v>0.15</v>
      </c>
      <c r="J564">
        <v>37.5</v>
      </c>
      <c r="K564" t="s">
        <v>34</v>
      </c>
      <c r="L564">
        <v>50</v>
      </c>
      <c r="M564" t="s">
        <v>29</v>
      </c>
      <c r="N564" t="s">
        <v>42</v>
      </c>
      <c r="O564" t="s">
        <v>31</v>
      </c>
      <c r="P564">
        <v>29</v>
      </c>
      <c r="Q564" t="s">
        <v>51</v>
      </c>
      <c r="R564" t="s">
        <v>37</v>
      </c>
      <c r="S564">
        <v>3</v>
      </c>
      <c r="T564">
        <v>1</v>
      </c>
      <c r="U564">
        <v>28</v>
      </c>
      <c r="V564">
        <v>2</v>
      </c>
      <c r="W564">
        <v>27</v>
      </c>
      <c r="X564">
        <v>10</v>
      </c>
      <c r="Y564">
        <v>15</v>
      </c>
      <c r="Z564">
        <v>7</v>
      </c>
      <c r="AA564" t="str">
        <f t="shared" si="48"/>
        <v>Long Tenure</v>
      </c>
      <c r="AB564" s="5">
        <v>45122</v>
      </c>
      <c r="AC564">
        <f t="shared" si="49"/>
        <v>0</v>
      </c>
      <c r="AD564" t="s">
        <v>38</v>
      </c>
      <c r="AE564">
        <f>VLOOKUP(A564,'Employee Engagement Survey'!A419:B1888,2,FALSE)</f>
        <v>2</v>
      </c>
      <c r="AF564">
        <f>VLOOKUP(A564,'Employee Engagement Survey'!A419:C1888,3,FALSE)</f>
        <v>3</v>
      </c>
      <c r="AG564">
        <f>VLOOKUP(A564,'Employee Engagement Survey'!A419:D1888,4,FALSE)</f>
        <v>2</v>
      </c>
      <c r="AH564">
        <f>VLOOKUP(A564,'Employee Engagement Survey'!A419:E1888,5,FALSE)</f>
        <v>3</v>
      </c>
      <c r="AI564">
        <f t="shared" si="47"/>
        <v>2.5</v>
      </c>
    </row>
    <row r="565" spans="1:35" hidden="1" x14ac:dyDescent="0.4">
      <c r="A565">
        <v>575</v>
      </c>
      <c r="B565" t="s">
        <v>34</v>
      </c>
      <c r="C565">
        <f t="shared" si="50"/>
        <v>1</v>
      </c>
      <c r="D565" t="s">
        <v>60</v>
      </c>
      <c r="E565">
        <f t="shared" si="46"/>
        <v>1</v>
      </c>
      <c r="F565" t="s">
        <v>28</v>
      </c>
      <c r="G565">
        <v>4</v>
      </c>
      <c r="H565" s="1">
        <v>226332</v>
      </c>
      <c r="I565" s="10">
        <v>0.13</v>
      </c>
      <c r="J565">
        <v>37.5</v>
      </c>
      <c r="K565" t="s">
        <v>34</v>
      </c>
      <c r="L565">
        <v>46</v>
      </c>
      <c r="M565" t="s">
        <v>29</v>
      </c>
      <c r="N565" t="s">
        <v>42</v>
      </c>
      <c r="O565" t="s">
        <v>31</v>
      </c>
      <c r="P565">
        <v>2</v>
      </c>
      <c r="Q565" t="s">
        <v>43</v>
      </c>
      <c r="R565" t="s">
        <v>37</v>
      </c>
      <c r="S565">
        <v>3</v>
      </c>
      <c r="T565">
        <v>0</v>
      </c>
      <c r="U565">
        <v>26</v>
      </c>
      <c r="V565">
        <v>2</v>
      </c>
      <c r="W565">
        <v>3</v>
      </c>
      <c r="X565">
        <v>2</v>
      </c>
      <c r="Y565">
        <v>0</v>
      </c>
      <c r="Z565">
        <v>1</v>
      </c>
      <c r="AA565" t="str">
        <f t="shared" si="48"/>
        <v>Mid Tenure</v>
      </c>
      <c r="AB565" s="5">
        <v>45840</v>
      </c>
      <c r="AC565">
        <f t="shared" si="49"/>
        <v>1</v>
      </c>
      <c r="AD565" t="s">
        <v>38</v>
      </c>
      <c r="AE565">
        <f>VLOOKUP(A565,'Employee Engagement Survey'!A420:B1889,2,FALSE)</f>
        <v>1</v>
      </c>
      <c r="AF565">
        <f>VLOOKUP(A565,'Employee Engagement Survey'!A420:C1889,3,FALSE)</f>
        <v>3</v>
      </c>
      <c r="AG565">
        <f>VLOOKUP(A565,'Employee Engagement Survey'!A420:D1889,4,FALSE)</f>
        <v>3</v>
      </c>
      <c r="AH565">
        <f>VLOOKUP(A565,'Employee Engagement Survey'!A420:E1889,5,FALSE)</f>
        <v>1</v>
      </c>
      <c r="AI565">
        <f t="shared" si="47"/>
        <v>2</v>
      </c>
    </row>
    <row r="566" spans="1:35" hidden="1" x14ac:dyDescent="0.4">
      <c r="A566">
        <v>577</v>
      </c>
      <c r="B566" t="s">
        <v>34</v>
      </c>
      <c r="C566">
        <f t="shared" si="50"/>
        <v>1</v>
      </c>
      <c r="D566" t="s">
        <v>46</v>
      </c>
      <c r="E566">
        <f t="shared" si="46"/>
        <v>0</v>
      </c>
      <c r="F566" t="s">
        <v>28</v>
      </c>
      <c r="G566">
        <v>6</v>
      </c>
      <c r="H566" s="1">
        <v>62760</v>
      </c>
      <c r="I566" s="10">
        <v>0.15</v>
      </c>
      <c r="J566">
        <v>37.5</v>
      </c>
      <c r="K566" t="s">
        <v>34</v>
      </c>
      <c r="L566">
        <v>35</v>
      </c>
      <c r="M566" t="s">
        <v>29</v>
      </c>
      <c r="N566" t="s">
        <v>30</v>
      </c>
      <c r="O566" t="s">
        <v>31</v>
      </c>
      <c r="P566">
        <v>22</v>
      </c>
      <c r="Q566" t="s">
        <v>43</v>
      </c>
      <c r="R566" t="s">
        <v>37</v>
      </c>
      <c r="S566">
        <v>3</v>
      </c>
      <c r="T566">
        <v>0</v>
      </c>
      <c r="U566">
        <v>6</v>
      </c>
      <c r="V566">
        <v>2</v>
      </c>
      <c r="W566">
        <v>5</v>
      </c>
      <c r="X566">
        <v>4</v>
      </c>
      <c r="Y566">
        <v>4</v>
      </c>
      <c r="Z566">
        <v>3</v>
      </c>
      <c r="AA566" t="str">
        <f t="shared" si="48"/>
        <v>Mid Tenure</v>
      </c>
      <c r="AB566" s="5">
        <v>45020</v>
      </c>
      <c r="AC566">
        <f t="shared" si="49"/>
        <v>0</v>
      </c>
      <c r="AD566" t="s">
        <v>38</v>
      </c>
      <c r="AE566">
        <f>VLOOKUP(A566,'Employee Engagement Survey'!A421:B1890,2,FALSE)</f>
        <v>4</v>
      </c>
      <c r="AF566">
        <f>VLOOKUP(A566,'Employee Engagement Survey'!A421:C1890,3,FALSE)</f>
        <v>3</v>
      </c>
      <c r="AG566">
        <f>VLOOKUP(A566,'Employee Engagement Survey'!A421:D1890,4,FALSE)</f>
        <v>3</v>
      </c>
      <c r="AH566">
        <f>VLOOKUP(A566,'Employee Engagement Survey'!A421:E1890,5,FALSE)</f>
        <v>3</v>
      </c>
      <c r="AI566">
        <f t="shared" si="47"/>
        <v>3.25</v>
      </c>
    </row>
    <row r="567" spans="1:35" hidden="1" x14ac:dyDescent="0.4">
      <c r="A567">
        <v>579</v>
      </c>
      <c r="B567" t="s">
        <v>34</v>
      </c>
      <c r="C567">
        <f t="shared" si="50"/>
        <v>1</v>
      </c>
      <c r="D567" t="s">
        <v>27</v>
      </c>
      <c r="E567">
        <f t="shared" si="46"/>
        <v>0</v>
      </c>
      <c r="F567" t="s">
        <v>28</v>
      </c>
      <c r="G567">
        <v>5</v>
      </c>
      <c r="H567" s="1">
        <v>57216</v>
      </c>
      <c r="I567" s="10">
        <v>0.12</v>
      </c>
      <c r="J567">
        <v>37.5</v>
      </c>
      <c r="K567" t="s">
        <v>34</v>
      </c>
      <c r="L567">
        <v>34</v>
      </c>
      <c r="M567" t="s">
        <v>29</v>
      </c>
      <c r="N567" t="s">
        <v>48</v>
      </c>
      <c r="O567" t="s">
        <v>31</v>
      </c>
      <c r="P567">
        <v>2</v>
      </c>
      <c r="Q567" t="s">
        <v>51</v>
      </c>
      <c r="R567" t="s">
        <v>37</v>
      </c>
      <c r="S567">
        <v>3</v>
      </c>
      <c r="T567">
        <v>1</v>
      </c>
      <c r="U567">
        <v>14</v>
      </c>
      <c r="V567">
        <v>3</v>
      </c>
      <c r="W567">
        <v>7</v>
      </c>
      <c r="X567">
        <v>3</v>
      </c>
      <c r="Y567">
        <v>5</v>
      </c>
      <c r="Z567">
        <v>7</v>
      </c>
      <c r="AA567" t="str">
        <f t="shared" si="48"/>
        <v>Mid Tenure</v>
      </c>
      <c r="AB567" s="5">
        <v>45442</v>
      </c>
      <c r="AC567">
        <f t="shared" si="49"/>
        <v>1</v>
      </c>
      <c r="AD567" t="s">
        <v>49</v>
      </c>
      <c r="AE567">
        <f>VLOOKUP(A567,'Employee Engagement Survey'!A422:B1891,2,FALSE)</f>
        <v>4</v>
      </c>
      <c r="AF567">
        <f>VLOOKUP(A567,'Employee Engagement Survey'!A422:C1891,3,FALSE)</f>
        <v>3</v>
      </c>
      <c r="AG567">
        <f>VLOOKUP(A567,'Employee Engagement Survey'!A422:D1891,4,FALSE)</f>
        <v>3</v>
      </c>
      <c r="AH567">
        <f>VLOOKUP(A567,'Employee Engagement Survey'!A422:E1891,5,FALSE)</f>
        <v>3</v>
      </c>
      <c r="AI567">
        <f t="shared" si="47"/>
        <v>3.25</v>
      </c>
    </row>
    <row r="568" spans="1:35" hidden="1" x14ac:dyDescent="0.4">
      <c r="A568">
        <v>581</v>
      </c>
      <c r="B568" t="s">
        <v>34</v>
      </c>
      <c r="C568">
        <f t="shared" si="50"/>
        <v>1</v>
      </c>
      <c r="D568" t="s">
        <v>54</v>
      </c>
      <c r="E568">
        <f t="shared" si="46"/>
        <v>1</v>
      </c>
      <c r="F568" t="s">
        <v>28</v>
      </c>
      <c r="G568">
        <v>9</v>
      </c>
      <c r="H568" s="1">
        <v>139776</v>
      </c>
      <c r="I568" s="10">
        <v>0.25</v>
      </c>
      <c r="J568">
        <v>37.5</v>
      </c>
      <c r="K568" t="s">
        <v>34</v>
      </c>
      <c r="L568">
        <v>31</v>
      </c>
      <c r="M568" t="s">
        <v>29</v>
      </c>
      <c r="N568" t="s">
        <v>48</v>
      </c>
      <c r="O568" t="s">
        <v>31</v>
      </c>
      <c r="P568">
        <v>9</v>
      </c>
      <c r="Q568" t="s">
        <v>32</v>
      </c>
      <c r="R568" t="s">
        <v>37</v>
      </c>
      <c r="S568">
        <v>4</v>
      </c>
      <c r="T568">
        <v>1</v>
      </c>
      <c r="U568">
        <v>13</v>
      </c>
      <c r="V568">
        <v>6</v>
      </c>
      <c r="W568">
        <v>13</v>
      </c>
      <c r="X568">
        <v>8</v>
      </c>
      <c r="Y568">
        <v>0</v>
      </c>
      <c r="Z568">
        <v>8</v>
      </c>
      <c r="AA568" t="str">
        <f t="shared" si="48"/>
        <v>Long Tenure</v>
      </c>
      <c r="AB568" s="5">
        <v>45897</v>
      </c>
      <c r="AC568">
        <f t="shared" si="49"/>
        <v>1</v>
      </c>
      <c r="AD568" t="s">
        <v>38</v>
      </c>
      <c r="AE568">
        <f>VLOOKUP(A568,'Employee Engagement Survey'!A423:B1892,2,FALSE)</f>
        <v>3</v>
      </c>
      <c r="AF568">
        <f>VLOOKUP(A568,'Employee Engagement Survey'!A423:C1892,3,FALSE)</f>
        <v>2</v>
      </c>
      <c r="AG568">
        <f>VLOOKUP(A568,'Employee Engagement Survey'!A423:D1892,4,FALSE)</f>
        <v>4</v>
      </c>
      <c r="AH568">
        <f>VLOOKUP(A568,'Employee Engagement Survey'!A423:E1892,5,FALSE)</f>
        <v>4</v>
      </c>
      <c r="AI568">
        <f t="shared" si="47"/>
        <v>3.25</v>
      </c>
    </row>
    <row r="569" spans="1:35" hidden="1" x14ac:dyDescent="0.4">
      <c r="A569">
        <v>585</v>
      </c>
      <c r="B569" t="s">
        <v>34</v>
      </c>
      <c r="C569">
        <f t="shared" si="50"/>
        <v>1</v>
      </c>
      <c r="D569" t="s">
        <v>39</v>
      </c>
      <c r="E569">
        <f t="shared" si="46"/>
        <v>0</v>
      </c>
      <c r="F569" t="s">
        <v>40</v>
      </c>
      <c r="G569">
        <v>5</v>
      </c>
      <c r="H569" s="1">
        <v>59796</v>
      </c>
      <c r="I569" s="10">
        <v>0.14000000000000001</v>
      </c>
      <c r="J569">
        <v>37.5</v>
      </c>
      <c r="K569" t="s">
        <v>34</v>
      </c>
      <c r="L569">
        <v>30</v>
      </c>
      <c r="M569" t="s">
        <v>29</v>
      </c>
      <c r="N569" t="s">
        <v>30</v>
      </c>
      <c r="O569" t="s">
        <v>31</v>
      </c>
      <c r="P569">
        <v>7</v>
      </c>
      <c r="Q569" t="s">
        <v>32</v>
      </c>
      <c r="R569" t="s">
        <v>56</v>
      </c>
      <c r="S569">
        <v>3</v>
      </c>
      <c r="T569">
        <v>0</v>
      </c>
      <c r="U569">
        <v>4</v>
      </c>
      <c r="V569">
        <v>3</v>
      </c>
      <c r="W569">
        <v>3</v>
      </c>
      <c r="X569">
        <v>2</v>
      </c>
      <c r="Y569">
        <v>1</v>
      </c>
      <c r="Z569">
        <v>2</v>
      </c>
      <c r="AA569" t="str">
        <f t="shared" si="48"/>
        <v>Mid Tenure</v>
      </c>
      <c r="AB569" s="5">
        <v>44923</v>
      </c>
      <c r="AC569">
        <f t="shared" si="49"/>
        <v>0</v>
      </c>
      <c r="AD569" t="s">
        <v>38</v>
      </c>
      <c r="AE569">
        <f>VLOOKUP(A569,'Employee Engagement Survey'!A426:B1895,2,FALSE)</f>
        <v>4</v>
      </c>
      <c r="AF569">
        <f>VLOOKUP(A569,'Employee Engagement Survey'!A426:C1895,3,FALSE)</f>
        <v>2</v>
      </c>
      <c r="AG569">
        <f>VLOOKUP(A569,'Employee Engagement Survey'!A426:D1895,4,FALSE)</f>
        <v>1</v>
      </c>
      <c r="AH569">
        <f>VLOOKUP(A569,'Employee Engagement Survey'!A426:E1895,5,FALSE)</f>
        <v>3</v>
      </c>
      <c r="AI569">
        <f t="shared" si="47"/>
        <v>2.5</v>
      </c>
    </row>
    <row r="570" spans="1:35" hidden="1" x14ac:dyDescent="0.4">
      <c r="A570">
        <v>586</v>
      </c>
      <c r="B570" t="s">
        <v>34</v>
      </c>
      <c r="C570">
        <f t="shared" si="50"/>
        <v>1</v>
      </c>
      <c r="D570" t="s">
        <v>55</v>
      </c>
      <c r="E570">
        <f t="shared" si="46"/>
        <v>0</v>
      </c>
      <c r="F570" t="s">
        <v>28</v>
      </c>
      <c r="G570">
        <v>9</v>
      </c>
      <c r="H570" s="1">
        <v>103584</v>
      </c>
      <c r="I570" s="10">
        <v>0.12</v>
      </c>
      <c r="J570">
        <v>37.5</v>
      </c>
      <c r="K570" t="s">
        <v>26</v>
      </c>
      <c r="L570">
        <v>35</v>
      </c>
      <c r="M570" t="s">
        <v>29</v>
      </c>
      <c r="N570" t="s">
        <v>42</v>
      </c>
      <c r="O570" t="s">
        <v>31</v>
      </c>
      <c r="P570">
        <v>16</v>
      </c>
      <c r="Q570" t="s">
        <v>43</v>
      </c>
      <c r="R570" t="s">
        <v>37</v>
      </c>
      <c r="S570">
        <v>3</v>
      </c>
      <c r="T570">
        <v>0</v>
      </c>
      <c r="U570">
        <v>10</v>
      </c>
      <c r="V570">
        <v>2</v>
      </c>
      <c r="W570">
        <v>8</v>
      </c>
      <c r="X570">
        <v>7</v>
      </c>
      <c r="Y570">
        <v>0</v>
      </c>
      <c r="Z570">
        <v>0</v>
      </c>
      <c r="AA570" t="str">
        <f t="shared" si="48"/>
        <v>Mid Tenure</v>
      </c>
      <c r="AB570" s="5">
        <v>44865</v>
      </c>
      <c r="AC570">
        <f t="shared" si="49"/>
        <v>0</v>
      </c>
      <c r="AD570" t="s">
        <v>49</v>
      </c>
      <c r="AE570">
        <f>VLOOKUP(A570,'Employee Engagement Survey'!A427:B1896,2,FALSE)</f>
        <v>4</v>
      </c>
      <c r="AF570">
        <f>VLOOKUP(A570,'Employee Engagement Survey'!A427:C1896,3,FALSE)</f>
        <v>3</v>
      </c>
      <c r="AG570">
        <f>VLOOKUP(A570,'Employee Engagement Survey'!A427:D1896,4,FALSE)</f>
        <v>3</v>
      </c>
      <c r="AH570">
        <f>VLOOKUP(A570,'Employee Engagement Survey'!A427:E1896,5,FALSE)</f>
        <v>3</v>
      </c>
      <c r="AI570">
        <f t="shared" si="47"/>
        <v>3.25</v>
      </c>
    </row>
    <row r="571" spans="1:35" hidden="1" x14ac:dyDescent="0.4">
      <c r="A571">
        <v>591</v>
      </c>
      <c r="B571" t="s">
        <v>34</v>
      </c>
      <c r="C571">
        <f t="shared" si="50"/>
        <v>1</v>
      </c>
      <c r="D571" t="s">
        <v>46</v>
      </c>
      <c r="E571">
        <f t="shared" si="46"/>
        <v>0</v>
      </c>
      <c r="F571" t="s">
        <v>28</v>
      </c>
      <c r="G571">
        <v>3</v>
      </c>
      <c r="H571" s="1">
        <v>49116</v>
      </c>
      <c r="I571" s="10">
        <v>0.17</v>
      </c>
      <c r="J571">
        <v>37.5</v>
      </c>
      <c r="K571" t="s">
        <v>34</v>
      </c>
      <c r="L571">
        <v>42</v>
      </c>
      <c r="M571" t="s">
        <v>29</v>
      </c>
      <c r="N571" t="s">
        <v>42</v>
      </c>
      <c r="O571" t="s">
        <v>44</v>
      </c>
      <c r="P571">
        <v>5</v>
      </c>
      <c r="Q571" t="s">
        <v>36</v>
      </c>
      <c r="R571" t="s">
        <v>53</v>
      </c>
      <c r="S571">
        <v>3</v>
      </c>
      <c r="T571">
        <v>1</v>
      </c>
      <c r="U571">
        <v>8</v>
      </c>
      <c r="V571">
        <v>4</v>
      </c>
      <c r="W571">
        <v>2</v>
      </c>
      <c r="X571">
        <v>2</v>
      </c>
      <c r="Y571">
        <v>2</v>
      </c>
      <c r="Z571">
        <v>0</v>
      </c>
      <c r="AA571" t="str">
        <f t="shared" si="48"/>
        <v>Early Tenure</v>
      </c>
      <c r="AB571" s="5">
        <v>45584</v>
      </c>
      <c r="AC571">
        <f t="shared" si="49"/>
        <v>1</v>
      </c>
      <c r="AD571" t="s">
        <v>38</v>
      </c>
      <c r="AE571">
        <f>VLOOKUP(A571,'Employee Engagement Survey'!A429:B1898,2,FALSE)</f>
        <v>2</v>
      </c>
      <c r="AF571">
        <f>VLOOKUP(A571,'Employee Engagement Survey'!A429:C1898,3,FALSE)</f>
        <v>3</v>
      </c>
      <c r="AG571">
        <f>VLOOKUP(A571,'Employee Engagement Survey'!A429:D1898,4,FALSE)</f>
        <v>4</v>
      </c>
      <c r="AH571">
        <f>VLOOKUP(A571,'Employee Engagement Survey'!A429:E1898,5,FALSE)</f>
        <v>3</v>
      </c>
      <c r="AI571">
        <f t="shared" si="47"/>
        <v>3</v>
      </c>
    </row>
    <row r="572" spans="1:35" hidden="1" x14ac:dyDescent="0.4">
      <c r="A572">
        <v>1402</v>
      </c>
      <c r="B572" t="s">
        <v>34</v>
      </c>
      <c r="C572">
        <f t="shared" si="50"/>
        <v>1</v>
      </c>
      <c r="D572" t="s">
        <v>27</v>
      </c>
      <c r="E572">
        <f t="shared" si="46"/>
        <v>0</v>
      </c>
      <c r="F572" t="s">
        <v>28</v>
      </c>
      <c r="G572">
        <v>6</v>
      </c>
      <c r="H572" s="1">
        <v>60972</v>
      </c>
      <c r="I572" s="10">
        <v>0.14000000000000001</v>
      </c>
      <c r="J572">
        <v>37.5</v>
      </c>
      <c r="K572" t="s">
        <v>26</v>
      </c>
      <c r="L572">
        <v>43</v>
      </c>
      <c r="M572" t="s">
        <v>47</v>
      </c>
      <c r="N572" t="s">
        <v>30</v>
      </c>
      <c r="O572" t="s">
        <v>31</v>
      </c>
      <c r="P572">
        <v>6</v>
      </c>
      <c r="Q572" t="s">
        <v>43</v>
      </c>
      <c r="R572" t="s">
        <v>33</v>
      </c>
      <c r="S572">
        <v>3</v>
      </c>
      <c r="T572">
        <v>0</v>
      </c>
      <c r="U572">
        <v>20</v>
      </c>
      <c r="V572">
        <v>3</v>
      </c>
      <c r="W572">
        <v>20</v>
      </c>
      <c r="X572">
        <v>7</v>
      </c>
      <c r="Y572">
        <v>1</v>
      </c>
      <c r="Z572">
        <v>8</v>
      </c>
      <c r="AA572" t="str">
        <f t="shared" si="48"/>
        <v>Long Tenure</v>
      </c>
      <c r="AB572" s="5">
        <v>45747</v>
      </c>
      <c r="AC572">
        <f t="shared" si="49"/>
        <v>1</v>
      </c>
      <c r="AD572" t="s">
        <v>49</v>
      </c>
      <c r="AE572">
        <f>VLOOKUP(A572,'Employee Engagement Survey'!A430:B1899,2,FALSE)</f>
        <v>1</v>
      </c>
      <c r="AF572">
        <f>VLOOKUP(A572,'Employee Engagement Survey'!A430:C1899,3,FALSE)</f>
        <v>3</v>
      </c>
      <c r="AG572">
        <f>VLOOKUP(A572,'Employee Engagement Survey'!A430:D1899,4,FALSE)</f>
        <v>1</v>
      </c>
      <c r="AH572">
        <f>VLOOKUP(A572,'Employee Engagement Survey'!A430:E1899,5,FALSE)</f>
        <v>1</v>
      </c>
      <c r="AI572">
        <f t="shared" si="47"/>
        <v>1.5</v>
      </c>
    </row>
    <row r="573" spans="1:35" hidden="1" x14ac:dyDescent="0.4">
      <c r="A573">
        <v>592</v>
      </c>
      <c r="B573" t="s">
        <v>34</v>
      </c>
      <c r="C573">
        <f t="shared" si="50"/>
        <v>1</v>
      </c>
      <c r="D573" t="s">
        <v>57</v>
      </c>
      <c r="E573">
        <f t="shared" si="46"/>
        <v>0</v>
      </c>
      <c r="F573" t="s">
        <v>40</v>
      </c>
      <c r="G573">
        <v>9</v>
      </c>
      <c r="H573" s="1">
        <v>131760</v>
      </c>
      <c r="I573" s="10">
        <v>0.14000000000000001</v>
      </c>
      <c r="J573">
        <v>37.5</v>
      </c>
      <c r="K573" t="s">
        <v>34</v>
      </c>
      <c r="L573">
        <v>36</v>
      </c>
      <c r="M573" t="s">
        <v>29</v>
      </c>
      <c r="N573" t="s">
        <v>30</v>
      </c>
      <c r="O573" t="s">
        <v>35</v>
      </c>
      <c r="P573">
        <v>10</v>
      </c>
      <c r="Q573" t="s">
        <v>51</v>
      </c>
      <c r="R573" t="s">
        <v>33</v>
      </c>
      <c r="S573">
        <v>3</v>
      </c>
      <c r="T573">
        <v>0</v>
      </c>
      <c r="U573">
        <v>10</v>
      </c>
      <c r="V573">
        <v>3</v>
      </c>
      <c r="W573">
        <v>10</v>
      </c>
      <c r="X573">
        <v>3</v>
      </c>
      <c r="Y573">
        <v>9</v>
      </c>
      <c r="Z573">
        <v>7</v>
      </c>
      <c r="AA573" t="str">
        <f t="shared" si="48"/>
        <v>Long Tenure</v>
      </c>
      <c r="AB573" s="5">
        <v>44709</v>
      </c>
      <c r="AC573">
        <f t="shared" si="49"/>
        <v>0</v>
      </c>
      <c r="AD573" t="s">
        <v>38</v>
      </c>
      <c r="AE573">
        <f>VLOOKUP(A573,'Employee Engagement Survey'!A432:B1901,2,FALSE)</f>
        <v>2</v>
      </c>
      <c r="AF573">
        <f>VLOOKUP(A573,'Employee Engagement Survey'!A432:C1901,3,FALSE)</f>
        <v>4</v>
      </c>
      <c r="AG573">
        <f>VLOOKUP(A573,'Employee Engagement Survey'!A432:D1901,4,FALSE)</f>
        <v>4</v>
      </c>
      <c r="AH573">
        <f>VLOOKUP(A573,'Employee Engagement Survey'!A432:E1901,5,FALSE)</f>
        <v>2</v>
      </c>
      <c r="AI573">
        <f t="shared" si="47"/>
        <v>3</v>
      </c>
    </row>
    <row r="574" spans="1:35" hidden="1" x14ac:dyDescent="0.4">
      <c r="A574">
        <v>659</v>
      </c>
      <c r="B574" t="s">
        <v>34</v>
      </c>
      <c r="C574">
        <f t="shared" si="50"/>
        <v>1</v>
      </c>
      <c r="D574" t="s">
        <v>55</v>
      </c>
      <c r="E574">
        <f t="shared" si="46"/>
        <v>0</v>
      </c>
      <c r="F574" t="s">
        <v>28</v>
      </c>
      <c r="G574">
        <v>6</v>
      </c>
      <c r="H574" s="1">
        <v>61068</v>
      </c>
      <c r="I574" s="10">
        <v>0.13</v>
      </c>
      <c r="J574">
        <v>37.5</v>
      </c>
      <c r="K574" t="s">
        <v>34</v>
      </c>
      <c r="L574">
        <v>42</v>
      </c>
      <c r="M574" t="s">
        <v>47</v>
      </c>
      <c r="N574" t="s">
        <v>42</v>
      </c>
      <c r="O574" t="s">
        <v>31</v>
      </c>
      <c r="P574">
        <v>2</v>
      </c>
      <c r="Q574" t="s">
        <v>51</v>
      </c>
      <c r="R574" t="s">
        <v>37</v>
      </c>
      <c r="S574">
        <v>3</v>
      </c>
      <c r="T574">
        <v>2</v>
      </c>
      <c r="U574">
        <v>10</v>
      </c>
      <c r="V574">
        <v>4</v>
      </c>
      <c r="W574">
        <v>10</v>
      </c>
      <c r="X574">
        <v>2</v>
      </c>
      <c r="Y574">
        <v>2</v>
      </c>
      <c r="Z574">
        <v>2</v>
      </c>
      <c r="AA574" t="str">
        <f t="shared" si="48"/>
        <v>Long Tenure</v>
      </c>
      <c r="AB574" s="5">
        <v>45484</v>
      </c>
      <c r="AC574">
        <f t="shared" si="49"/>
        <v>1</v>
      </c>
      <c r="AD574" t="s">
        <v>38</v>
      </c>
      <c r="AE574">
        <f>VLOOKUP(A574,'Employee Engagement Survey'!A433:B1902,2,FALSE)</f>
        <v>3</v>
      </c>
      <c r="AF574">
        <f>VLOOKUP(A574,'Employee Engagement Survey'!A433:C1902,3,FALSE)</f>
        <v>4</v>
      </c>
      <c r="AG574">
        <f>VLOOKUP(A574,'Employee Engagement Survey'!A433:D1902,4,FALSE)</f>
        <v>2</v>
      </c>
      <c r="AH574">
        <f>VLOOKUP(A574,'Employee Engagement Survey'!A433:E1902,5,FALSE)</f>
        <v>3</v>
      </c>
      <c r="AI574">
        <f t="shared" si="47"/>
        <v>3</v>
      </c>
    </row>
    <row r="575" spans="1:35" hidden="1" x14ac:dyDescent="0.4">
      <c r="A575">
        <v>1349</v>
      </c>
      <c r="B575" t="s">
        <v>34</v>
      </c>
      <c r="C575">
        <f t="shared" si="50"/>
        <v>1</v>
      </c>
      <c r="D575" t="s">
        <v>57</v>
      </c>
      <c r="E575">
        <f t="shared" si="46"/>
        <v>0</v>
      </c>
      <c r="F575" t="s">
        <v>40</v>
      </c>
      <c r="G575">
        <v>6</v>
      </c>
      <c r="H575" s="1">
        <v>61236</v>
      </c>
      <c r="I575" s="10">
        <v>0.17</v>
      </c>
      <c r="J575">
        <v>37.5</v>
      </c>
      <c r="K575" t="s">
        <v>34</v>
      </c>
      <c r="L575">
        <v>41</v>
      </c>
      <c r="M575" t="s">
        <v>47</v>
      </c>
      <c r="N575" t="s">
        <v>48</v>
      </c>
      <c r="O575" t="s">
        <v>44</v>
      </c>
      <c r="P575">
        <v>1</v>
      </c>
      <c r="Q575" t="s">
        <v>43</v>
      </c>
      <c r="R575" t="s">
        <v>56</v>
      </c>
      <c r="S575">
        <v>3</v>
      </c>
      <c r="T575">
        <v>1</v>
      </c>
      <c r="U575">
        <v>10</v>
      </c>
      <c r="V575">
        <v>2</v>
      </c>
      <c r="W575">
        <v>9</v>
      </c>
      <c r="X575">
        <v>3</v>
      </c>
      <c r="Y575">
        <v>1</v>
      </c>
      <c r="Z575">
        <v>7</v>
      </c>
      <c r="AA575" t="str">
        <f t="shared" si="48"/>
        <v>Mid Tenure</v>
      </c>
      <c r="AB575" s="5">
        <v>45042</v>
      </c>
      <c r="AC575">
        <f t="shared" si="49"/>
        <v>0</v>
      </c>
      <c r="AD575" t="s">
        <v>38</v>
      </c>
      <c r="AE575">
        <f>VLOOKUP(A575,'Employee Engagement Survey'!A435:B1904,2,FALSE)</f>
        <v>3</v>
      </c>
      <c r="AF575">
        <f>VLOOKUP(A575,'Employee Engagement Survey'!A435:C1904,3,FALSE)</f>
        <v>1</v>
      </c>
      <c r="AG575">
        <f>VLOOKUP(A575,'Employee Engagement Survey'!A435:D1904,4,FALSE)</f>
        <v>4</v>
      </c>
      <c r="AH575">
        <f>VLOOKUP(A575,'Employee Engagement Survey'!A435:E1904,5,FALSE)</f>
        <v>3</v>
      </c>
      <c r="AI575">
        <f t="shared" si="47"/>
        <v>2.75</v>
      </c>
    </row>
    <row r="576" spans="1:35" hidden="1" x14ac:dyDescent="0.4">
      <c r="A576">
        <v>599</v>
      </c>
      <c r="B576" t="s">
        <v>34</v>
      </c>
      <c r="C576">
        <f t="shared" si="50"/>
        <v>1</v>
      </c>
      <c r="D576" t="s">
        <v>57</v>
      </c>
      <c r="E576">
        <f t="shared" si="46"/>
        <v>0</v>
      </c>
      <c r="F576" t="s">
        <v>40</v>
      </c>
      <c r="G576">
        <v>8</v>
      </c>
      <c r="H576" s="1">
        <v>86760</v>
      </c>
      <c r="I576" s="10">
        <v>0.14000000000000001</v>
      </c>
      <c r="J576">
        <v>37.5</v>
      </c>
      <c r="K576" t="s">
        <v>34</v>
      </c>
      <c r="L576">
        <v>41</v>
      </c>
      <c r="M576" t="s">
        <v>29</v>
      </c>
      <c r="N576" t="s">
        <v>30</v>
      </c>
      <c r="O576" t="s">
        <v>35</v>
      </c>
      <c r="P576">
        <v>10</v>
      </c>
      <c r="Q576" t="s">
        <v>36</v>
      </c>
      <c r="R576" t="s">
        <v>37</v>
      </c>
      <c r="S576">
        <v>3</v>
      </c>
      <c r="T576">
        <v>0</v>
      </c>
      <c r="U576">
        <v>16</v>
      </c>
      <c r="V576">
        <v>3</v>
      </c>
      <c r="W576">
        <v>14</v>
      </c>
      <c r="X576">
        <v>3</v>
      </c>
      <c r="Y576">
        <v>1</v>
      </c>
      <c r="Z576">
        <v>10</v>
      </c>
      <c r="AA576" t="str">
        <f t="shared" si="48"/>
        <v>Long Tenure</v>
      </c>
      <c r="AB576" s="5">
        <v>45551</v>
      </c>
      <c r="AC576">
        <f t="shared" si="49"/>
        <v>1</v>
      </c>
      <c r="AD576" t="s">
        <v>38</v>
      </c>
      <c r="AE576">
        <f>VLOOKUP(A576,'Employee Engagement Survey'!A436:B1905,2,FALSE)</f>
        <v>4</v>
      </c>
      <c r="AF576">
        <f>VLOOKUP(A576,'Employee Engagement Survey'!A436:C1905,3,FALSE)</f>
        <v>4</v>
      </c>
      <c r="AG576">
        <f>VLOOKUP(A576,'Employee Engagement Survey'!A436:D1905,4,FALSE)</f>
        <v>4</v>
      </c>
      <c r="AH576">
        <f>VLOOKUP(A576,'Employee Engagement Survey'!A436:E1905,5,FALSE)</f>
        <v>3</v>
      </c>
      <c r="AI576">
        <f t="shared" si="47"/>
        <v>3.75</v>
      </c>
    </row>
    <row r="577" spans="1:35" hidden="1" x14ac:dyDescent="0.4">
      <c r="A577">
        <v>1062</v>
      </c>
      <c r="B577" t="s">
        <v>34</v>
      </c>
      <c r="C577">
        <f t="shared" si="50"/>
        <v>1</v>
      </c>
      <c r="D577" t="s">
        <v>55</v>
      </c>
      <c r="E577">
        <f t="shared" si="46"/>
        <v>0</v>
      </c>
      <c r="F577" t="s">
        <v>28</v>
      </c>
      <c r="G577">
        <v>6</v>
      </c>
      <c r="H577" s="1">
        <v>61284</v>
      </c>
      <c r="I577" s="10">
        <v>0.15</v>
      </c>
      <c r="J577">
        <v>37.5</v>
      </c>
      <c r="K577" t="s">
        <v>34</v>
      </c>
      <c r="L577">
        <v>37</v>
      </c>
      <c r="M577" t="s">
        <v>47</v>
      </c>
      <c r="N577" t="s">
        <v>30</v>
      </c>
      <c r="O577" t="s">
        <v>31</v>
      </c>
      <c r="P577">
        <v>3</v>
      </c>
      <c r="Q577" t="s">
        <v>43</v>
      </c>
      <c r="R577" t="s">
        <v>53</v>
      </c>
      <c r="S577">
        <v>3</v>
      </c>
      <c r="T577">
        <v>0</v>
      </c>
      <c r="U577">
        <v>8</v>
      </c>
      <c r="V577">
        <v>3</v>
      </c>
      <c r="W577">
        <v>4</v>
      </c>
      <c r="X577">
        <v>3</v>
      </c>
      <c r="Y577">
        <v>0</v>
      </c>
      <c r="Z577">
        <v>1</v>
      </c>
      <c r="AA577" t="str">
        <f t="shared" si="48"/>
        <v>Mid Tenure</v>
      </c>
      <c r="AB577" s="5">
        <v>45258</v>
      </c>
      <c r="AC577">
        <f t="shared" si="49"/>
        <v>0</v>
      </c>
      <c r="AD577" t="s">
        <v>49</v>
      </c>
      <c r="AE577">
        <f>VLOOKUP(A577,'Employee Engagement Survey'!A437:B1906,2,FALSE)</f>
        <v>4</v>
      </c>
      <c r="AF577">
        <f>VLOOKUP(A577,'Employee Engagement Survey'!A437:C1906,3,FALSE)</f>
        <v>2</v>
      </c>
      <c r="AG577">
        <f>VLOOKUP(A577,'Employee Engagement Survey'!A437:D1906,4,FALSE)</f>
        <v>1</v>
      </c>
      <c r="AH577">
        <f>VLOOKUP(A577,'Employee Engagement Survey'!A437:E1906,5,FALSE)</f>
        <v>2</v>
      </c>
      <c r="AI577">
        <f t="shared" si="47"/>
        <v>2.25</v>
      </c>
    </row>
    <row r="578" spans="1:35" hidden="1" x14ac:dyDescent="0.4">
      <c r="A578">
        <v>600</v>
      </c>
      <c r="B578" t="s">
        <v>34</v>
      </c>
      <c r="C578">
        <f t="shared" si="50"/>
        <v>1</v>
      </c>
      <c r="D578" t="s">
        <v>57</v>
      </c>
      <c r="E578">
        <f t="shared" ref="E578:E641" si="51">IF(OR(D578="Manager, HR", D578="Manager, Sales", D578="Manager, R&amp;D", D578="Manufacturing Director",D578="Research Director", D578="VP, HR", D578="CEO"),1,0)</f>
        <v>0</v>
      </c>
      <c r="F578" t="s">
        <v>40</v>
      </c>
      <c r="G578">
        <v>6</v>
      </c>
      <c r="H578" s="1">
        <v>68604</v>
      </c>
      <c r="I578" s="10">
        <v>0.11</v>
      </c>
      <c r="J578">
        <v>37.5</v>
      </c>
      <c r="K578" t="s">
        <v>34</v>
      </c>
      <c r="L578">
        <v>35</v>
      </c>
      <c r="M578" t="s">
        <v>29</v>
      </c>
      <c r="N578" t="s">
        <v>42</v>
      </c>
      <c r="O578" t="s">
        <v>31</v>
      </c>
      <c r="P578">
        <v>1</v>
      </c>
      <c r="Q578" t="s">
        <v>43</v>
      </c>
      <c r="R578" t="s">
        <v>56</v>
      </c>
      <c r="S578">
        <v>3</v>
      </c>
      <c r="T578">
        <v>0</v>
      </c>
      <c r="U578">
        <v>15</v>
      </c>
      <c r="V578">
        <v>2</v>
      </c>
      <c r="W578">
        <v>11</v>
      </c>
      <c r="X578">
        <v>9</v>
      </c>
      <c r="Y578">
        <v>6</v>
      </c>
      <c r="Z578">
        <v>9</v>
      </c>
      <c r="AA578" t="str">
        <f t="shared" si="48"/>
        <v>Long Tenure</v>
      </c>
      <c r="AB578" s="5">
        <v>45938</v>
      </c>
      <c r="AC578">
        <f t="shared" si="49"/>
        <v>1</v>
      </c>
      <c r="AD578" t="s">
        <v>49</v>
      </c>
      <c r="AE578">
        <f>VLOOKUP(A578,'Employee Engagement Survey'!A438:B1907,2,FALSE)</f>
        <v>2</v>
      </c>
      <c r="AF578">
        <f>VLOOKUP(A578,'Employee Engagement Survey'!A438:C1907,3,FALSE)</f>
        <v>3</v>
      </c>
      <c r="AG578">
        <f>VLOOKUP(A578,'Employee Engagement Survey'!A438:D1907,4,FALSE)</f>
        <v>3</v>
      </c>
      <c r="AH578">
        <f>VLOOKUP(A578,'Employee Engagement Survey'!A438:E1907,5,FALSE)</f>
        <v>3</v>
      </c>
      <c r="AI578">
        <f t="shared" ref="AI578:AI641" si="52">AVERAGE(AE578:AH578)</f>
        <v>2.75</v>
      </c>
    </row>
    <row r="579" spans="1:35" hidden="1" x14ac:dyDescent="0.4">
      <c r="A579">
        <v>604</v>
      </c>
      <c r="B579" t="s">
        <v>34</v>
      </c>
      <c r="C579">
        <f t="shared" si="50"/>
        <v>1</v>
      </c>
      <c r="D579" t="s">
        <v>57</v>
      </c>
      <c r="E579">
        <f t="shared" si="51"/>
        <v>0</v>
      </c>
      <c r="F579" t="s">
        <v>40</v>
      </c>
      <c r="G579">
        <v>8</v>
      </c>
      <c r="H579" s="1">
        <v>90984</v>
      </c>
      <c r="I579" s="10">
        <v>0.13</v>
      </c>
      <c r="J579">
        <v>37.5</v>
      </c>
      <c r="K579" t="s">
        <v>26</v>
      </c>
      <c r="L579">
        <v>31</v>
      </c>
      <c r="M579" t="s">
        <v>29</v>
      </c>
      <c r="N579" t="s">
        <v>30</v>
      </c>
      <c r="O579" t="s">
        <v>31</v>
      </c>
      <c r="P579">
        <v>2</v>
      </c>
      <c r="Q579" t="s">
        <v>32</v>
      </c>
      <c r="R579" t="s">
        <v>37</v>
      </c>
      <c r="S579">
        <v>3</v>
      </c>
      <c r="T579">
        <v>0</v>
      </c>
      <c r="U579">
        <v>10</v>
      </c>
      <c r="V579">
        <v>2</v>
      </c>
      <c r="W579">
        <v>6</v>
      </c>
      <c r="X579">
        <v>5</v>
      </c>
      <c r="Y579">
        <v>0</v>
      </c>
      <c r="Z579">
        <v>5</v>
      </c>
      <c r="AA579" t="str">
        <f t="shared" ref="AA579:AA642" si="53">IF(W579&lt;=2,"Early Tenure",IF(W579&lt;=9,"Mid Tenure","Long Tenure"))</f>
        <v>Mid Tenure</v>
      </c>
      <c r="AB579" s="5">
        <v>45486</v>
      </c>
      <c r="AC579">
        <f t="shared" ref="AC579:AC642" si="54">IF(AND(AB579&lt;&gt;"",AB579&gt;DATE(2024,1,1)),1,0)</f>
        <v>1</v>
      </c>
      <c r="AD579" t="s">
        <v>49</v>
      </c>
      <c r="AE579">
        <f>VLOOKUP(A579,'Employee Engagement Survey'!A439:B1908,2,FALSE)</f>
        <v>2</v>
      </c>
      <c r="AF579">
        <f>VLOOKUP(A579,'Employee Engagement Survey'!A439:C1908,3,FALSE)</f>
        <v>4</v>
      </c>
      <c r="AG579">
        <f>VLOOKUP(A579,'Employee Engagement Survey'!A439:D1908,4,FALSE)</f>
        <v>3</v>
      </c>
      <c r="AH579">
        <f>VLOOKUP(A579,'Employee Engagement Survey'!A439:E1908,5,FALSE)</f>
        <v>4</v>
      </c>
      <c r="AI579">
        <f t="shared" si="52"/>
        <v>3.25</v>
      </c>
    </row>
    <row r="580" spans="1:35" hidden="1" x14ac:dyDescent="0.4">
      <c r="A580">
        <v>605</v>
      </c>
      <c r="B580" t="s">
        <v>34</v>
      </c>
      <c r="C580">
        <f t="shared" si="50"/>
        <v>1</v>
      </c>
      <c r="D580" t="s">
        <v>54</v>
      </c>
      <c r="E580">
        <f t="shared" si="51"/>
        <v>1</v>
      </c>
      <c r="F580" t="s">
        <v>28</v>
      </c>
      <c r="G580">
        <v>9</v>
      </c>
      <c r="H580" s="1">
        <v>100872</v>
      </c>
      <c r="I580" s="10">
        <v>0.21</v>
      </c>
      <c r="J580">
        <v>37.5</v>
      </c>
      <c r="K580" t="s">
        <v>26</v>
      </c>
      <c r="L580">
        <v>42</v>
      </c>
      <c r="M580" t="s">
        <v>29</v>
      </c>
      <c r="N580" t="s">
        <v>42</v>
      </c>
      <c r="O580" t="s">
        <v>31</v>
      </c>
      <c r="P580">
        <v>24</v>
      </c>
      <c r="Q580" t="s">
        <v>43</v>
      </c>
      <c r="R580" t="s">
        <v>33</v>
      </c>
      <c r="S580">
        <v>4</v>
      </c>
      <c r="T580">
        <v>1</v>
      </c>
      <c r="U580">
        <v>10</v>
      </c>
      <c r="V580">
        <v>5</v>
      </c>
      <c r="W580">
        <v>10</v>
      </c>
      <c r="X580">
        <v>9</v>
      </c>
      <c r="Y580">
        <v>5</v>
      </c>
      <c r="Z580">
        <v>8</v>
      </c>
      <c r="AA580" t="str">
        <f t="shared" si="53"/>
        <v>Long Tenure</v>
      </c>
      <c r="AB580" s="5">
        <v>45653</v>
      </c>
      <c r="AC580">
        <f t="shared" si="54"/>
        <v>1</v>
      </c>
      <c r="AD580" t="s">
        <v>38</v>
      </c>
      <c r="AE580">
        <f>VLOOKUP(A580,'Employee Engagement Survey'!A440:B1909,2,FALSE)</f>
        <v>4</v>
      </c>
      <c r="AF580">
        <f>VLOOKUP(A580,'Employee Engagement Survey'!A440:C1909,3,FALSE)</f>
        <v>1</v>
      </c>
      <c r="AG580">
        <f>VLOOKUP(A580,'Employee Engagement Survey'!A440:D1909,4,FALSE)</f>
        <v>4</v>
      </c>
      <c r="AH580">
        <f>VLOOKUP(A580,'Employee Engagement Survey'!A440:E1909,5,FALSE)</f>
        <v>2</v>
      </c>
      <c r="AI580">
        <f t="shared" si="52"/>
        <v>2.75</v>
      </c>
    </row>
    <row r="581" spans="1:35" hidden="1" x14ac:dyDescent="0.4">
      <c r="A581">
        <v>606</v>
      </c>
      <c r="B581" t="s">
        <v>34</v>
      </c>
      <c r="C581">
        <f t="shared" si="50"/>
        <v>1</v>
      </c>
      <c r="D581" t="s">
        <v>57</v>
      </c>
      <c r="E581">
        <f t="shared" si="51"/>
        <v>0</v>
      </c>
      <c r="F581" t="s">
        <v>40</v>
      </c>
      <c r="G581">
        <v>6</v>
      </c>
      <c r="H581" s="1">
        <v>69660</v>
      </c>
      <c r="I581" s="10">
        <v>0.19</v>
      </c>
      <c r="J581">
        <v>37.5</v>
      </c>
      <c r="K581" t="s">
        <v>34</v>
      </c>
      <c r="L581">
        <v>45</v>
      </c>
      <c r="M581" t="s">
        <v>29</v>
      </c>
      <c r="N581" t="s">
        <v>42</v>
      </c>
      <c r="O581" t="s">
        <v>31</v>
      </c>
      <c r="P581">
        <v>2</v>
      </c>
      <c r="Q581" t="s">
        <v>43</v>
      </c>
      <c r="R581" t="s">
        <v>53</v>
      </c>
      <c r="S581">
        <v>3</v>
      </c>
      <c r="T581">
        <v>1</v>
      </c>
      <c r="U581">
        <v>9</v>
      </c>
      <c r="V581">
        <v>3</v>
      </c>
      <c r="W581">
        <v>8</v>
      </c>
      <c r="X581">
        <v>7</v>
      </c>
      <c r="Y581">
        <v>3</v>
      </c>
      <c r="Z581">
        <v>7</v>
      </c>
      <c r="AA581" t="str">
        <f t="shared" si="53"/>
        <v>Mid Tenure</v>
      </c>
      <c r="AB581" s="5">
        <v>44658</v>
      </c>
      <c r="AC581">
        <f t="shared" si="54"/>
        <v>0</v>
      </c>
      <c r="AD581" t="s">
        <v>49</v>
      </c>
      <c r="AE581">
        <f>VLOOKUP(A581,'Employee Engagement Survey'!A441:B1910,2,FALSE)</f>
        <v>4</v>
      </c>
      <c r="AF581">
        <f>VLOOKUP(A581,'Employee Engagement Survey'!A441:C1910,3,FALSE)</f>
        <v>2</v>
      </c>
      <c r="AG581">
        <f>VLOOKUP(A581,'Employee Engagement Survey'!A441:D1910,4,FALSE)</f>
        <v>2</v>
      </c>
      <c r="AH581">
        <f>VLOOKUP(A581,'Employee Engagement Survey'!A441:E1910,5,FALSE)</f>
        <v>4</v>
      </c>
      <c r="AI581">
        <f t="shared" si="52"/>
        <v>3</v>
      </c>
    </row>
    <row r="582" spans="1:35" hidden="1" x14ac:dyDescent="0.4">
      <c r="A582">
        <v>1192</v>
      </c>
      <c r="B582" t="s">
        <v>34</v>
      </c>
      <c r="C582">
        <f t="shared" si="50"/>
        <v>1</v>
      </c>
      <c r="D582" t="s">
        <v>46</v>
      </c>
      <c r="E582">
        <f t="shared" si="51"/>
        <v>0</v>
      </c>
      <c r="F582" t="s">
        <v>28</v>
      </c>
      <c r="G582">
        <v>6</v>
      </c>
      <c r="H582" s="1">
        <v>61572</v>
      </c>
      <c r="I582" s="10">
        <v>0.13</v>
      </c>
      <c r="J582">
        <v>37.5</v>
      </c>
      <c r="K582" t="s">
        <v>34</v>
      </c>
      <c r="L582">
        <v>29</v>
      </c>
      <c r="M582" t="s">
        <v>47</v>
      </c>
      <c r="N582" t="s">
        <v>42</v>
      </c>
      <c r="O582" t="s">
        <v>31</v>
      </c>
      <c r="P582">
        <v>6</v>
      </c>
      <c r="Q582" t="s">
        <v>32</v>
      </c>
      <c r="R582" t="s">
        <v>33</v>
      </c>
      <c r="S582">
        <v>3</v>
      </c>
      <c r="T582">
        <v>1</v>
      </c>
      <c r="U582">
        <v>10</v>
      </c>
      <c r="V582">
        <v>5</v>
      </c>
      <c r="W582">
        <v>10</v>
      </c>
      <c r="X582">
        <v>8</v>
      </c>
      <c r="Y582">
        <v>0</v>
      </c>
      <c r="Z582">
        <v>8</v>
      </c>
      <c r="AA582" t="str">
        <f t="shared" si="53"/>
        <v>Long Tenure</v>
      </c>
      <c r="AB582" s="5">
        <v>44793</v>
      </c>
      <c r="AC582">
        <f t="shared" si="54"/>
        <v>0</v>
      </c>
      <c r="AD582" t="s">
        <v>38</v>
      </c>
      <c r="AE582">
        <f>VLOOKUP(A582,'Employee Engagement Survey'!A442:B1911,2,FALSE)</f>
        <v>2</v>
      </c>
      <c r="AF582">
        <f>VLOOKUP(A582,'Employee Engagement Survey'!A442:C1911,3,FALSE)</f>
        <v>4</v>
      </c>
      <c r="AG582">
        <f>VLOOKUP(A582,'Employee Engagement Survey'!A442:D1911,4,FALSE)</f>
        <v>1</v>
      </c>
      <c r="AH582">
        <f>VLOOKUP(A582,'Employee Engagement Survey'!A442:E1911,5,FALSE)</f>
        <v>3</v>
      </c>
      <c r="AI582">
        <f t="shared" si="52"/>
        <v>2.5</v>
      </c>
    </row>
    <row r="583" spans="1:35" hidden="1" x14ac:dyDescent="0.4">
      <c r="A583">
        <v>611</v>
      </c>
      <c r="B583" t="s">
        <v>34</v>
      </c>
      <c r="C583">
        <f t="shared" si="50"/>
        <v>1</v>
      </c>
      <c r="D583" t="s">
        <v>54</v>
      </c>
      <c r="E583">
        <f t="shared" si="51"/>
        <v>1</v>
      </c>
      <c r="F583" t="s">
        <v>28</v>
      </c>
      <c r="G583">
        <v>6</v>
      </c>
      <c r="H583" s="1">
        <v>63144</v>
      </c>
      <c r="I583" s="10">
        <v>0.12</v>
      </c>
      <c r="J583">
        <v>37.5</v>
      </c>
      <c r="K583" t="s">
        <v>34</v>
      </c>
      <c r="L583">
        <v>29</v>
      </c>
      <c r="M583" t="s">
        <v>29</v>
      </c>
      <c r="N583" t="s">
        <v>48</v>
      </c>
      <c r="O583" t="s">
        <v>31</v>
      </c>
      <c r="P583">
        <v>19</v>
      </c>
      <c r="Q583" t="s">
        <v>43</v>
      </c>
      <c r="R583" t="s">
        <v>45</v>
      </c>
      <c r="S583">
        <v>3</v>
      </c>
      <c r="T583">
        <v>2</v>
      </c>
      <c r="U583">
        <v>8</v>
      </c>
      <c r="V583">
        <v>2</v>
      </c>
      <c r="W583">
        <v>3</v>
      </c>
      <c r="X583">
        <v>2</v>
      </c>
      <c r="Y583">
        <v>1</v>
      </c>
      <c r="Z583">
        <v>2</v>
      </c>
      <c r="AA583" t="str">
        <f t="shared" si="53"/>
        <v>Mid Tenure</v>
      </c>
      <c r="AB583" s="5">
        <v>44806</v>
      </c>
      <c r="AC583">
        <f t="shared" si="54"/>
        <v>0</v>
      </c>
      <c r="AD583" t="s">
        <v>38</v>
      </c>
      <c r="AE583">
        <f>VLOOKUP(A583,'Employee Engagement Survey'!A444:B1913,2,FALSE)</f>
        <v>4</v>
      </c>
      <c r="AF583">
        <f>VLOOKUP(A583,'Employee Engagement Survey'!A444:C1913,3,FALSE)</f>
        <v>4</v>
      </c>
      <c r="AG583">
        <f>VLOOKUP(A583,'Employee Engagement Survey'!A444:D1913,4,FALSE)</f>
        <v>2</v>
      </c>
      <c r="AH583">
        <f>VLOOKUP(A583,'Employee Engagement Survey'!A444:E1913,5,FALSE)</f>
        <v>4</v>
      </c>
      <c r="AI583">
        <f t="shared" si="52"/>
        <v>3.5</v>
      </c>
    </row>
    <row r="584" spans="1:35" hidden="1" x14ac:dyDescent="0.4">
      <c r="A584">
        <v>1011</v>
      </c>
      <c r="B584" t="s">
        <v>34</v>
      </c>
      <c r="C584">
        <f t="shared" si="50"/>
        <v>1</v>
      </c>
      <c r="D584" t="s">
        <v>54</v>
      </c>
      <c r="E584">
        <f t="shared" si="51"/>
        <v>1</v>
      </c>
      <c r="F584" t="s">
        <v>28</v>
      </c>
      <c r="G584">
        <v>6</v>
      </c>
      <c r="H584" s="1">
        <v>61776</v>
      </c>
      <c r="I584" s="10">
        <v>0.12</v>
      </c>
      <c r="J584">
        <v>37.5</v>
      </c>
      <c r="K584" t="s">
        <v>34</v>
      </c>
      <c r="L584">
        <v>31</v>
      </c>
      <c r="M584" t="s">
        <v>47</v>
      </c>
      <c r="N584" t="s">
        <v>42</v>
      </c>
      <c r="O584" t="s">
        <v>44</v>
      </c>
      <c r="P584">
        <v>1</v>
      </c>
      <c r="Q584" t="s">
        <v>32</v>
      </c>
      <c r="R584" t="s">
        <v>37</v>
      </c>
      <c r="S584">
        <v>3</v>
      </c>
      <c r="T584">
        <v>1</v>
      </c>
      <c r="U584">
        <v>4</v>
      </c>
      <c r="V584">
        <v>1</v>
      </c>
      <c r="W584">
        <v>4</v>
      </c>
      <c r="X584">
        <v>3</v>
      </c>
      <c r="Y584">
        <v>0</v>
      </c>
      <c r="Z584">
        <v>3</v>
      </c>
      <c r="AA584" t="str">
        <f t="shared" si="53"/>
        <v>Mid Tenure</v>
      </c>
      <c r="AB584" s="5">
        <v>45361</v>
      </c>
      <c r="AC584">
        <f t="shared" si="54"/>
        <v>1</v>
      </c>
      <c r="AD584" t="s">
        <v>49</v>
      </c>
      <c r="AE584">
        <f>VLOOKUP(A584,'Employee Engagement Survey'!A445:B1914,2,FALSE)</f>
        <v>3</v>
      </c>
      <c r="AF584">
        <f>VLOOKUP(A584,'Employee Engagement Survey'!A445:C1914,3,FALSE)</f>
        <v>1</v>
      </c>
      <c r="AG584">
        <f>VLOOKUP(A584,'Employee Engagement Survey'!A445:D1914,4,FALSE)</f>
        <v>3</v>
      </c>
      <c r="AH584">
        <f>VLOOKUP(A584,'Employee Engagement Survey'!A445:E1914,5,FALSE)</f>
        <v>3</v>
      </c>
      <c r="AI584">
        <f t="shared" si="52"/>
        <v>2.5</v>
      </c>
    </row>
    <row r="585" spans="1:35" hidden="1" x14ac:dyDescent="0.4">
      <c r="A585">
        <v>1630</v>
      </c>
      <c r="B585" t="s">
        <v>34</v>
      </c>
      <c r="C585">
        <f t="shared" si="50"/>
        <v>1</v>
      </c>
      <c r="D585" t="s">
        <v>55</v>
      </c>
      <c r="E585">
        <f t="shared" si="51"/>
        <v>0</v>
      </c>
      <c r="F585" t="s">
        <v>28</v>
      </c>
      <c r="G585">
        <v>6</v>
      </c>
      <c r="H585" s="1">
        <v>61776</v>
      </c>
      <c r="I585" s="10">
        <v>0.12</v>
      </c>
      <c r="J585">
        <v>37.5</v>
      </c>
      <c r="K585" t="s">
        <v>34</v>
      </c>
      <c r="L585">
        <v>35</v>
      </c>
      <c r="M585" t="s">
        <v>47</v>
      </c>
      <c r="N585" t="s">
        <v>42</v>
      </c>
      <c r="O585" t="s">
        <v>35</v>
      </c>
      <c r="P585">
        <v>8</v>
      </c>
      <c r="Q585" t="s">
        <v>51</v>
      </c>
      <c r="R585" t="s">
        <v>37</v>
      </c>
      <c r="S585">
        <v>3</v>
      </c>
      <c r="T585">
        <v>1</v>
      </c>
      <c r="U585">
        <v>15</v>
      </c>
      <c r="V585">
        <v>5</v>
      </c>
      <c r="W585">
        <v>14</v>
      </c>
      <c r="X585">
        <v>11</v>
      </c>
      <c r="Y585">
        <v>2</v>
      </c>
      <c r="Z585">
        <v>9</v>
      </c>
      <c r="AA585" t="str">
        <f t="shared" si="53"/>
        <v>Long Tenure</v>
      </c>
      <c r="AB585" s="5">
        <v>45063</v>
      </c>
      <c r="AC585">
        <f t="shared" si="54"/>
        <v>0</v>
      </c>
      <c r="AD585" t="s">
        <v>38</v>
      </c>
      <c r="AE585">
        <f>VLOOKUP(A585,'Employee Engagement Survey'!A446:B1915,2,FALSE)</f>
        <v>3</v>
      </c>
      <c r="AF585">
        <f>VLOOKUP(A585,'Employee Engagement Survey'!A446:C1915,3,FALSE)</f>
        <v>3</v>
      </c>
      <c r="AG585">
        <f>VLOOKUP(A585,'Employee Engagement Survey'!A446:D1915,4,FALSE)</f>
        <v>4</v>
      </c>
      <c r="AH585">
        <f>VLOOKUP(A585,'Employee Engagement Survey'!A446:E1915,5,FALSE)</f>
        <v>3</v>
      </c>
      <c r="AI585">
        <f t="shared" si="52"/>
        <v>3.25</v>
      </c>
    </row>
    <row r="586" spans="1:35" hidden="1" x14ac:dyDescent="0.4">
      <c r="A586">
        <v>813</v>
      </c>
      <c r="B586" t="s">
        <v>34</v>
      </c>
      <c r="C586">
        <f t="shared" si="50"/>
        <v>1</v>
      </c>
      <c r="D586" t="s">
        <v>46</v>
      </c>
      <c r="E586">
        <f t="shared" si="51"/>
        <v>0</v>
      </c>
      <c r="F586" t="s">
        <v>28</v>
      </c>
      <c r="G586">
        <v>6</v>
      </c>
      <c r="H586" s="1">
        <v>61788</v>
      </c>
      <c r="I586" s="10">
        <v>0.2</v>
      </c>
      <c r="J586">
        <v>37.5</v>
      </c>
      <c r="K586" t="s">
        <v>34</v>
      </c>
      <c r="L586">
        <v>52</v>
      </c>
      <c r="M586" t="s">
        <v>47</v>
      </c>
      <c r="N586" t="s">
        <v>42</v>
      </c>
      <c r="O586" t="s">
        <v>31</v>
      </c>
      <c r="P586">
        <v>11</v>
      </c>
      <c r="Q586" t="s">
        <v>51</v>
      </c>
      <c r="R586" t="s">
        <v>37</v>
      </c>
      <c r="S586">
        <v>4</v>
      </c>
      <c r="T586">
        <v>1</v>
      </c>
      <c r="U586">
        <v>9</v>
      </c>
      <c r="V586">
        <v>3</v>
      </c>
      <c r="W586">
        <v>5</v>
      </c>
      <c r="X586">
        <v>2</v>
      </c>
      <c r="Y586">
        <v>1</v>
      </c>
      <c r="Z586">
        <v>4</v>
      </c>
      <c r="AA586" t="str">
        <f t="shared" si="53"/>
        <v>Mid Tenure</v>
      </c>
      <c r="AB586" s="5">
        <v>45000</v>
      </c>
      <c r="AC586">
        <f t="shared" si="54"/>
        <v>0</v>
      </c>
      <c r="AD586" t="s">
        <v>49</v>
      </c>
      <c r="AE586">
        <f>VLOOKUP(A586,'Employee Engagement Survey'!A447:B1916,2,FALSE)</f>
        <v>4</v>
      </c>
      <c r="AF586">
        <f>VLOOKUP(A586,'Employee Engagement Survey'!A447:C1916,3,FALSE)</f>
        <v>3</v>
      </c>
      <c r="AG586">
        <f>VLOOKUP(A586,'Employee Engagement Survey'!A447:D1916,4,FALSE)</f>
        <v>2</v>
      </c>
      <c r="AH586">
        <f>VLOOKUP(A586,'Employee Engagement Survey'!A447:E1916,5,FALSE)</f>
        <v>3</v>
      </c>
      <c r="AI586">
        <f t="shared" si="52"/>
        <v>3</v>
      </c>
    </row>
    <row r="587" spans="1:35" hidden="1" x14ac:dyDescent="0.4">
      <c r="A587">
        <v>613</v>
      </c>
      <c r="B587" t="s">
        <v>34</v>
      </c>
      <c r="C587">
        <f t="shared" si="50"/>
        <v>1</v>
      </c>
      <c r="D587" t="s">
        <v>110</v>
      </c>
      <c r="E587">
        <f t="shared" si="51"/>
        <v>1</v>
      </c>
      <c r="F587" t="s">
        <v>40</v>
      </c>
      <c r="G587">
        <v>10</v>
      </c>
      <c r="H587" s="1">
        <v>150684</v>
      </c>
      <c r="I587" s="10">
        <v>0.21</v>
      </c>
      <c r="J587">
        <v>37.5</v>
      </c>
      <c r="K587" t="s">
        <v>34</v>
      </c>
      <c r="L587">
        <v>31</v>
      </c>
      <c r="M587" t="s">
        <v>29</v>
      </c>
      <c r="N587" t="s">
        <v>48</v>
      </c>
      <c r="O587" t="s">
        <v>31</v>
      </c>
      <c r="P587">
        <v>7</v>
      </c>
      <c r="Q587" t="s">
        <v>43</v>
      </c>
      <c r="R587" t="s">
        <v>37</v>
      </c>
      <c r="S587">
        <v>4</v>
      </c>
      <c r="T587">
        <v>1</v>
      </c>
      <c r="U587">
        <v>10</v>
      </c>
      <c r="V587">
        <v>3</v>
      </c>
      <c r="W587">
        <v>5</v>
      </c>
      <c r="X587">
        <v>4</v>
      </c>
      <c r="Y587">
        <v>0</v>
      </c>
      <c r="Z587">
        <v>1</v>
      </c>
      <c r="AA587" t="str">
        <f t="shared" si="53"/>
        <v>Mid Tenure</v>
      </c>
      <c r="AB587" s="5">
        <v>45419</v>
      </c>
      <c r="AC587">
        <f t="shared" si="54"/>
        <v>1</v>
      </c>
      <c r="AD587" t="s">
        <v>49</v>
      </c>
      <c r="AE587">
        <f>VLOOKUP(A587,'Employee Engagement Survey'!A448:B1917,2,FALSE)</f>
        <v>3</v>
      </c>
      <c r="AF587">
        <f>VLOOKUP(A587,'Employee Engagement Survey'!A448:C1917,3,FALSE)</f>
        <v>4</v>
      </c>
      <c r="AG587">
        <f>VLOOKUP(A587,'Employee Engagement Survey'!A448:D1917,4,FALSE)</f>
        <v>3</v>
      </c>
      <c r="AH587">
        <f>VLOOKUP(A587,'Employee Engagement Survey'!A448:E1917,5,FALSE)</f>
        <v>2</v>
      </c>
      <c r="AI587">
        <f t="shared" si="52"/>
        <v>3</v>
      </c>
    </row>
    <row r="588" spans="1:35" hidden="1" x14ac:dyDescent="0.4">
      <c r="A588">
        <v>72</v>
      </c>
      <c r="B588" t="s">
        <v>34</v>
      </c>
      <c r="C588">
        <f t="shared" si="50"/>
        <v>1</v>
      </c>
      <c r="D588" t="s">
        <v>57</v>
      </c>
      <c r="E588">
        <f t="shared" si="51"/>
        <v>0</v>
      </c>
      <c r="F588" t="s">
        <v>40</v>
      </c>
      <c r="G588">
        <v>6</v>
      </c>
      <c r="H588" s="1">
        <v>61884</v>
      </c>
      <c r="I588" s="10">
        <v>0.19</v>
      </c>
      <c r="J588">
        <v>37.5</v>
      </c>
      <c r="K588" t="s">
        <v>26</v>
      </c>
      <c r="L588">
        <v>26</v>
      </c>
      <c r="M588" t="s">
        <v>47</v>
      </c>
      <c r="N588" t="s">
        <v>42</v>
      </c>
      <c r="O588" t="s">
        <v>31</v>
      </c>
      <c r="P588">
        <v>23</v>
      </c>
      <c r="Q588" t="s">
        <v>43</v>
      </c>
      <c r="R588" t="s">
        <v>56</v>
      </c>
      <c r="S588">
        <v>3</v>
      </c>
      <c r="T588">
        <v>1</v>
      </c>
      <c r="U588">
        <v>5</v>
      </c>
      <c r="V588">
        <v>2</v>
      </c>
      <c r="W588">
        <v>2</v>
      </c>
      <c r="X588">
        <v>2</v>
      </c>
      <c r="Y588">
        <v>0</v>
      </c>
      <c r="Z588">
        <v>0</v>
      </c>
      <c r="AA588" t="str">
        <f t="shared" si="53"/>
        <v>Early Tenure</v>
      </c>
      <c r="AB588" s="5">
        <v>45324</v>
      </c>
      <c r="AC588">
        <f t="shared" si="54"/>
        <v>1</v>
      </c>
      <c r="AD588" t="s">
        <v>49</v>
      </c>
      <c r="AE588">
        <f>VLOOKUP(A588,'Employee Engagement Survey'!A449:B1918,2,FALSE)</f>
        <v>3</v>
      </c>
      <c r="AF588">
        <f>VLOOKUP(A588,'Employee Engagement Survey'!A449:C1918,3,FALSE)</f>
        <v>4</v>
      </c>
      <c r="AG588">
        <f>VLOOKUP(A588,'Employee Engagement Survey'!A449:D1918,4,FALSE)</f>
        <v>3</v>
      </c>
      <c r="AH588">
        <f>VLOOKUP(A588,'Employee Engagement Survey'!A449:E1918,5,FALSE)</f>
        <v>2</v>
      </c>
      <c r="AI588">
        <f t="shared" si="52"/>
        <v>3</v>
      </c>
    </row>
    <row r="589" spans="1:35" hidden="1" x14ac:dyDescent="0.4">
      <c r="A589">
        <v>615</v>
      </c>
      <c r="B589" t="s">
        <v>34</v>
      </c>
      <c r="C589">
        <f t="shared" si="50"/>
        <v>1</v>
      </c>
      <c r="D589" t="s">
        <v>57</v>
      </c>
      <c r="E589">
        <f t="shared" si="51"/>
        <v>0</v>
      </c>
      <c r="F589" t="s">
        <v>40</v>
      </c>
      <c r="G589">
        <v>10</v>
      </c>
      <c r="H589" s="1">
        <v>143184</v>
      </c>
      <c r="I589" s="10">
        <v>0.15</v>
      </c>
      <c r="J589">
        <v>37.5</v>
      </c>
      <c r="K589" t="s">
        <v>34</v>
      </c>
      <c r="L589">
        <v>40</v>
      </c>
      <c r="M589" t="s">
        <v>29</v>
      </c>
      <c r="N589" t="s">
        <v>48</v>
      </c>
      <c r="O589" t="s">
        <v>35</v>
      </c>
      <c r="P589">
        <v>28</v>
      </c>
      <c r="Q589" t="s">
        <v>43</v>
      </c>
      <c r="R589" t="s">
        <v>53</v>
      </c>
      <c r="S589">
        <v>3</v>
      </c>
      <c r="T589">
        <v>1</v>
      </c>
      <c r="U589">
        <v>20</v>
      </c>
      <c r="V589">
        <v>2</v>
      </c>
      <c r="W589">
        <v>1</v>
      </c>
      <c r="X589">
        <v>0</v>
      </c>
      <c r="Y589">
        <v>0</v>
      </c>
      <c r="Z589">
        <v>1</v>
      </c>
      <c r="AA589" t="str">
        <f t="shared" si="53"/>
        <v>Early Tenure</v>
      </c>
      <c r="AB589" s="5">
        <v>44857</v>
      </c>
      <c r="AC589">
        <f t="shared" si="54"/>
        <v>0</v>
      </c>
      <c r="AD589" t="s">
        <v>49</v>
      </c>
      <c r="AE589">
        <f>VLOOKUP(A589,'Employee Engagement Survey'!A451:B1920,2,FALSE)</f>
        <v>3</v>
      </c>
      <c r="AF589">
        <f>VLOOKUP(A589,'Employee Engagement Survey'!A451:C1920,3,FALSE)</f>
        <v>1</v>
      </c>
      <c r="AG589">
        <f>VLOOKUP(A589,'Employee Engagement Survey'!A451:D1920,4,FALSE)</f>
        <v>3</v>
      </c>
      <c r="AH589">
        <f>VLOOKUP(A589,'Employee Engagement Survey'!A451:E1920,5,FALSE)</f>
        <v>3</v>
      </c>
      <c r="AI589">
        <f t="shared" si="52"/>
        <v>2.5</v>
      </c>
    </row>
    <row r="590" spans="1:35" hidden="1" x14ac:dyDescent="0.4">
      <c r="A590">
        <v>618</v>
      </c>
      <c r="B590" t="s">
        <v>34</v>
      </c>
      <c r="C590">
        <f t="shared" si="50"/>
        <v>1</v>
      </c>
      <c r="D590" t="s">
        <v>57</v>
      </c>
      <c r="E590">
        <f t="shared" si="51"/>
        <v>0</v>
      </c>
      <c r="F590" t="s">
        <v>40</v>
      </c>
      <c r="G590">
        <v>6</v>
      </c>
      <c r="H590" s="1">
        <v>63672</v>
      </c>
      <c r="I590" s="10">
        <v>0.12</v>
      </c>
      <c r="J590">
        <v>37.5</v>
      </c>
      <c r="K590" t="s">
        <v>34</v>
      </c>
      <c r="L590">
        <v>26</v>
      </c>
      <c r="M590" t="s">
        <v>29</v>
      </c>
      <c r="N590" t="s">
        <v>48</v>
      </c>
      <c r="O590" t="s">
        <v>31</v>
      </c>
      <c r="P590">
        <v>29</v>
      </c>
      <c r="Q590" t="s">
        <v>36</v>
      </c>
      <c r="R590" t="s">
        <v>33</v>
      </c>
      <c r="S590">
        <v>3</v>
      </c>
      <c r="T590">
        <v>2</v>
      </c>
      <c r="U590">
        <v>8</v>
      </c>
      <c r="V590">
        <v>5</v>
      </c>
      <c r="W590">
        <v>0</v>
      </c>
      <c r="X590">
        <v>0</v>
      </c>
      <c r="Y590">
        <v>0</v>
      </c>
      <c r="Z590">
        <v>0</v>
      </c>
      <c r="AA590" t="str">
        <f t="shared" si="53"/>
        <v>Early Tenure</v>
      </c>
      <c r="AB590" s="5">
        <v>45949</v>
      </c>
      <c r="AC590">
        <f t="shared" si="54"/>
        <v>1</v>
      </c>
      <c r="AD590" t="s">
        <v>38</v>
      </c>
      <c r="AE590">
        <f>VLOOKUP(A590,'Employee Engagement Survey'!A452:B1921,2,FALSE)</f>
        <v>1</v>
      </c>
      <c r="AF590">
        <f>VLOOKUP(A590,'Employee Engagement Survey'!A452:C1921,3,FALSE)</f>
        <v>3</v>
      </c>
      <c r="AG590">
        <f>VLOOKUP(A590,'Employee Engagement Survey'!A452:D1921,4,FALSE)</f>
        <v>1</v>
      </c>
      <c r="AH590">
        <f>VLOOKUP(A590,'Employee Engagement Survey'!A452:E1921,5,FALSE)</f>
        <v>3</v>
      </c>
      <c r="AI590">
        <f t="shared" si="52"/>
        <v>2</v>
      </c>
    </row>
    <row r="591" spans="1:35" hidden="1" x14ac:dyDescent="0.4">
      <c r="A591">
        <v>1445</v>
      </c>
      <c r="B591" t="s">
        <v>34</v>
      </c>
      <c r="C591">
        <f t="shared" si="50"/>
        <v>1</v>
      </c>
      <c r="D591" t="s">
        <v>57</v>
      </c>
      <c r="E591">
        <f t="shared" si="51"/>
        <v>0</v>
      </c>
      <c r="F591" t="s">
        <v>40</v>
      </c>
      <c r="G591">
        <v>6</v>
      </c>
      <c r="H591" s="1">
        <v>61944</v>
      </c>
      <c r="I591" s="10">
        <v>0.12</v>
      </c>
      <c r="J591">
        <v>37.5</v>
      </c>
      <c r="K591" t="s">
        <v>26</v>
      </c>
      <c r="L591">
        <v>24</v>
      </c>
      <c r="M591" t="s">
        <v>47</v>
      </c>
      <c r="N591" t="s">
        <v>42</v>
      </c>
      <c r="O591" t="s">
        <v>31</v>
      </c>
      <c r="P591">
        <v>4</v>
      </c>
      <c r="Q591" t="s">
        <v>32</v>
      </c>
      <c r="R591" t="s">
        <v>33</v>
      </c>
      <c r="S591">
        <v>3</v>
      </c>
      <c r="T591">
        <v>2</v>
      </c>
      <c r="U591">
        <v>5</v>
      </c>
      <c r="V591">
        <v>3</v>
      </c>
      <c r="W591">
        <v>5</v>
      </c>
      <c r="X591">
        <v>4</v>
      </c>
      <c r="Y591">
        <v>0</v>
      </c>
      <c r="Z591">
        <v>3</v>
      </c>
      <c r="AA591" t="str">
        <f t="shared" si="53"/>
        <v>Mid Tenure</v>
      </c>
      <c r="AB591" s="5">
        <v>45057</v>
      </c>
      <c r="AC591">
        <f t="shared" si="54"/>
        <v>0</v>
      </c>
      <c r="AD591" t="s">
        <v>38</v>
      </c>
      <c r="AE591">
        <f>VLOOKUP(A591,'Employee Engagement Survey'!A453:B1922,2,FALSE)</f>
        <v>4</v>
      </c>
      <c r="AF591">
        <f>VLOOKUP(A591,'Employee Engagement Survey'!A453:C1922,3,FALSE)</f>
        <v>3</v>
      </c>
      <c r="AG591">
        <f>VLOOKUP(A591,'Employee Engagement Survey'!A453:D1922,4,FALSE)</f>
        <v>3</v>
      </c>
      <c r="AH591">
        <f>VLOOKUP(A591,'Employee Engagement Survey'!A453:E1922,5,FALSE)</f>
        <v>3</v>
      </c>
      <c r="AI591">
        <f t="shared" si="52"/>
        <v>3.25</v>
      </c>
    </row>
    <row r="592" spans="1:35" hidden="1" x14ac:dyDescent="0.4">
      <c r="A592">
        <v>1003</v>
      </c>
      <c r="B592" t="s">
        <v>34</v>
      </c>
      <c r="C592">
        <f t="shared" si="50"/>
        <v>1</v>
      </c>
      <c r="D592" t="s">
        <v>57</v>
      </c>
      <c r="E592">
        <f t="shared" si="51"/>
        <v>0</v>
      </c>
      <c r="F592" t="s">
        <v>40</v>
      </c>
      <c r="G592">
        <v>6</v>
      </c>
      <c r="H592" s="1">
        <v>61956</v>
      </c>
      <c r="I592" s="10">
        <v>0.17</v>
      </c>
      <c r="J592">
        <v>37.5</v>
      </c>
      <c r="K592" t="s">
        <v>26</v>
      </c>
      <c r="L592">
        <v>47</v>
      </c>
      <c r="M592" t="s">
        <v>47</v>
      </c>
      <c r="N592" t="s">
        <v>30</v>
      </c>
      <c r="O592" t="s">
        <v>31</v>
      </c>
      <c r="P592">
        <v>4</v>
      </c>
      <c r="Q592" t="s">
        <v>36</v>
      </c>
      <c r="R592" t="s">
        <v>37</v>
      </c>
      <c r="S592">
        <v>3</v>
      </c>
      <c r="T592">
        <v>0</v>
      </c>
      <c r="U592">
        <v>9</v>
      </c>
      <c r="V592">
        <v>0</v>
      </c>
      <c r="W592">
        <v>9</v>
      </c>
      <c r="X592">
        <v>0</v>
      </c>
      <c r="Y592">
        <v>0</v>
      </c>
      <c r="Z592">
        <v>7</v>
      </c>
      <c r="AA592" t="str">
        <f t="shared" si="53"/>
        <v>Mid Tenure</v>
      </c>
      <c r="AB592" s="5">
        <v>44996</v>
      </c>
      <c r="AC592">
        <f t="shared" si="54"/>
        <v>0</v>
      </c>
      <c r="AD592" t="s">
        <v>38</v>
      </c>
      <c r="AE592">
        <f>VLOOKUP(A592,'Employee Engagement Survey'!A454:B1923,2,FALSE)</f>
        <v>4</v>
      </c>
      <c r="AF592">
        <f>VLOOKUP(A592,'Employee Engagement Survey'!A454:C1923,3,FALSE)</f>
        <v>4</v>
      </c>
      <c r="AG592">
        <f>VLOOKUP(A592,'Employee Engagement Survey'!A454:D1923,4,FALSE)</f>
        <v>3</v>
      </c>
      <c r="AH592">
        <f>VLOOKUP(A592,'Employee Engagement Survey'!A454:E1923,5,FALSE)</f>
        <v>3</v>
      </c>
      <c r="AI592">
        <f t="shared" si="52"/>
        <v>3.5</v>
      </c>
    </row>
    <row r="593" spans="1:35" hidden="1" x14ac:dyDescent="0.4">
      <c r="A593">
        <v>621</v>
      </c>
      <c r="B593" t="s">
        <v>34</v>
      </c>
      <c r="C593">
        <f t="shared" si="50"/>
        <v>1</v>
      </c>
      <c r="D593" t="s">
        <v>57</v>
      </c>
      <c r="E593">
        <f t="shared" si="51"/>
        <v>0</v>
      </c>
      <c r="F593" t="s">
        <v>40</v>
      </c>
      <c r="G593">
        <v>7</v>
      </c>
      <c r="H593" s="1">
        <v>76044</v>
      </c>
      <c r="I593" s="10">
        <v>0.12</v>
      </c>
      <c r="J593">
        <v>37.5</v>
      </c>
      <c r="K593" t="s">
        <v>34</v>
      </c>
      <c r="L593">
        <v>34</v>
      </c>
      <c r="M593" t="s">
        <v>29</v>
      </c>
      <c r="N593" t="s">
        <v>30</v>
      </c>
      <c r="O593" t="s">
        <v>31</v>
      </c>
      <c r="P593">
        <v>21</v>
      </c>
      <c r="Q593" t="s">
        <v>51</v>
      </c>
      <c r="R593" t="s">
        <v>37</v>
      </c>
      <c r="S593">
        <v>3</v>
      </c>
      <c r="T593">
        <v>0</v>
      </c>
      <c r="U593">
        <v>10</v>
      </c>
      <c r="V593">
        <v>3</v>
      </c>
      <c r="W593">
        <v>10</v>
      </c>
      <c r="X593">
        <v>7</v>
      </c>
      <c r="Y593">
        <v>5</v>
      </c>
      <c r="Z593">
        <v>7</v>
      </c>
      <c r="AA593" t="str">
        <f t="shared" si="53"/>
        <v>Long Tenure</v>
      </c>
      <c r="AB593" s="5">
        <v>45973</v>
      </c>
      <c r="AC593">
        <f t="shared" si="54"/>
        <v>1</v>
      </c>
      <c r="AD593" t="s">
        <v>49</v>
      </c>
      <c r="AE593">
        <f>VLOOKUP(A593,'Employee Engagement Survey'!A456:B1925,2,FALSE)</f>
        <v>4</v>
      </c>
      <c r="AF593">
        <f>VLOOKUP(A593,'Employee Engagement Survey'!A456:C1925,3,FALSE)</f>
        <v>4</v>
      </c>
      <c r="AG593">
        <f>VLOOKUP(A593,'Employee Engagement Survey'!A456:D1925,4,FALSE)</f>
        <v>4</v>
      </c>
      <c r="AH593">
        <f>VLOOKUP(A593,'Employee Engagement Survey'!A456:E1925,5,FALSE)</f>
        <v>3</v>
      </c>
      <c r="AI593">
        <f t="shared" si="52"/>
        <v>3.75</v>
      </c>
    </row>
    <row r="594" spans="1:35" hidden="1" x14ac:dyDescent="0.4">
      <c r="A594">
        <v>1513</v>
      </c>
      <c r="B594" t="s">
        <v>34</v>
      </c>
      <c r="C594">
        <f t="shared" si="50"/>
        <v>1</v>
      </c>
      <c r="D594" t="s">
        <v>46</v>
      </c>
      <c r="E594">
        <f t="shared" si="51"/>
        <v>0</v>
      </c>
      <c r="F594" t="s">
        <v>28</v>
      </c>
      <c r="G594">
        <v>6</v>
      </c>
      <c r="H594" s="1">
        <v>62160</v>
      </c>
      <c r="I594" s="10">
        <v>0.13</v>
      </c>
      <c r="J594">
        <v>37.5</v>
      </c>
      <c r="K594" t="s">
        <v>34</v>
      </c>
      <c r="L594">
        <v>29</v>
      </c>
      <c r="M594" t="s">
        <v>47</v>
      </c>
      <c r="N594" t="s">
        <v>42</v>
      </c>
      <c r="O594" t="s">
        <v>44</v>
      </c>
      <c r="P594">
        <v>2</v>
      </c>
      <c r="Q594" t="s">
        <v>32</v>
      </c>
      <c r="R594" t="s">
        <v>37</v>
      </c>
      <c r="S594">
        <v>3</v>
      </c>
      <c r="T594">
        <v>3</v>
      </c>
      <c r="U594">
        <v>4</v>
      </c>
      <c r="V594">
        <v>3</v>
      </c>
      <c r="W594">
        <v>3</v>
      </c>
      <c r="X594">
        <v>2</v>
      </c>
      <c r="Y594">
        <v>0</v>
      </c>
      <c r="Z594">
        <v>2</v>
      </c>
      <c r="AA594" t="str">
        <f t="shared" si="53"/>
        <v>Mid Tenure</v>
      </c>
      <c r="AB594" s="5">
        <v>46000</v>
      </c>
      <c r="AC594">
        <f t="shared" si="54"/>
        <v>1</v>
      </c>
      <c r="AD594" t="s">
        <v>38</v>
      </c>
      <c r="AE594">
        <f>VLOOKUP(A594,'Employee Engagement Survey'!A457:B1926,2,FALSE)</f>
        <v>4</v>
      </c>
      <c r="AF594">
        <f>VLOOKUP(A594,'Employee Engagement Survey'!A457:C1926,3,FALSE)</f>
        <v>2</v>
      </c>
      <c r="AG594">
        <f>VLOOKUP(A594,'Employee Engagement Survey'!A457:D1926,4,FALSE)</f>
        <v>3</v>
      </c>
      <c r="AH594">
        <f>VLOOKUP(A594,'Employee Engagement Survey'!A457:E1926,5,FALSE)</f>
        <v>3</v>
      </c>
      <c r="AI594">
        <f t="shared" si="52"/>
        <v>3</v>
      </c>
    </row>
    <row r="595" spans="1:35" hidden="1" x14ac:dyDescent="0.4">
      <c r="A595">
        <v>626</v>
      </c>
      <c r="B595" t="s">
        <v>34</v>
      </c>
      <c r="C595">
        <f t="shared" si="50"/>
        <v>1</v>
      </c>
      <c r="D595" t="s">
        <v>57</v>
      </c>
      <c r="E595">
        <f t="shared" si="51"/>
        <v>0</v>
      </c>
      <c r="F595" t="s">
        <v>40</v>
      </c>
      <c r="G595">
        <v>9</v>
      </c>
      <c r="H595" s="1">
        <v>118008</v>
      </c>
      <c r="I595" s="10">
        <v>0.13</v>
      </c>
      <c r="J595">
        <v>37.5</v>
      </c>
      <c r="K595" t="s">
        <v>34</v>
      </c>
      <c r="L595">
        <v>37</v>
      </c>
      <c r="M595" t="s">
        <v>29</v>
      </c>
      <c r="N595" t="s">
        <v>48</v>
      </c>
      <c r="O595" t="s">
        <v>35</v>
      </c>
      <c r="P595">
        <v>9</v>
      </c>
      <c r="Q595" t="s">
        <v>51</v>
      </c>
      <c r="R595" t="s">
        <v>33</v>
      </c>
      <c r="S595">
        <v>3</v>
      </c>
      <c r="T595">
        <v>1</v>
      </c>
      <c r="U595">
        <v>9</v>
      </c>
      <c r="V595">
        <v>6</v>
      </c>
      <c r="W595">
        <v>9</v>
      </c>
      <c r="X595">
        <v>5</v>
      </c>
      <c r="Y595">
        <v>7</v>
      </c>
      <c r="Z595">
        <v>7</v>
      </c>
      <c r="AA595" t="str">
        <f t="shared" si="53"/>
        <v>Mid Tenure</v>
      </c>
      <c r="AB595" s="5">
        <v>45558</v>
      </c>
      <c r="AC595">
        <f t="shared" si="54"/>
        <v>1</v>
      </c>
      <c r="AD595" t="s">
        <v>49</v>
      </c>
      <c r="AE595">
        <f>VLOOKUP(A595,'Employee Engagement Survey'!A459:B1928,2,FALSE)</f>
        <v>1</v>
      </c>
      <c r="AF595">
        <f>VLOOKUP(A595,'Employee Engagement Survey'!A459:C1928,3,FALSE)</f>
        <v>2</v>
      </c>
      <c r="AG595">
        <f>VLOOKUP(A595,'Employee Engagement Survey'!A459:D1928,4,FALSE)</f>
        <v>4</v>
      </c>
      <c r="AH595">
        <f>VLOOKUP(A595,'Employee Engagement Survey'!A459:E1928,5,FALSE)</f>
        <v>3</v>
      </c>
      <c r="AI595">
        <f t="shared" si="52"/>
        <v>2.5</v>
      </c>
    </row>
    <row r="596" spans="1:35" hidden="1" x14ac:dyDescent="0.4">
      <c r="A596">
        <v>15</v>
      </c>
      <c r="B596" t="s">
        <v>34</v>
      </c>
      <c r="C596">
        <f t="shared" si="50"/>
        <v>1</v>
      </c>
      <c r="D596" t="s">
        <v>46</v>
      </c>
      <c r="E596">
        <f t="shared" si="51"/>
        <v>0</v>
      </c>
      <c r="F596" t="s">
        <v>28</v>
      </c>
      <c r="G596">
        <v>6</v>
      </c>
      <c r="H596" s="1">
        <v>62316</v>
      </c>
      <c r="I596" s="10">
        <v>0.12</v>
      </c>
      <c r="J596">
        <v>37.5</v>
      </c>
      <c r="K596" t="s">
        <v>26</v>
      </c>
      <c r="L596">
        <v>29</v>
      </c>
      <c r="M596" t="s">
        <v>47</v>
      </c>
      <c r="N596" t="s">
        <v>30</v>
      </c>
      <c r="O596" t="s">
        <v>31</v>
      </c>
      <c r="P596">
        <v>15</v>
      </c>
      <c r="Q596" t="s">
        <v>36</v>
      </c>
      <c r="R596" t="s">
        <v>37</v>
      </c>
      <c r="S596">
        <v>3</v>
      </c>
      <c r="T596">
        <v>0</v>
      </c>
      <c r="U596">
        <v>10</v>
      </c>
      <c r="V596">
        <v>3</v>
      </c>
      <c r="W596">
        <v>9</v>
      </c>
      <c r="X596">
        <v>5</v>
      </c>
      <c r="Y596">
        <v>0</v>
      </c>
      <c r="Z596">
        <v>8</v>
      </c>
      <c r="AA596" t="str">
        <f t="shared" si="53"/>
        <v>Mid Tenure</v>
      </c>
      <c r="AB596" s="5">
        <v>45993</v>
      </c>
      <c r="AC596">
        <f t="shared" si="54"/>
        <v>1</v>
      </c>
      <c r="AD596" t="s">
        <v>49</v>
      </c>
      <c r="AE596">
        <f>VLOOKUP(A596,'Employee Engagement Survey'!A460:B1929,2,FALSE)</f>
        <v>4</v>
      </c>
      <c r="AF596">
        <f>VLOOKUP(A596,'Employee Engagement Survey'!A460:C1929,3,FALSE)</f>
        <v>3</v>
      </c>
      <c r="AG596">
        <f>VLOOKUP(A596,'Employee Engagement Survey'!A460:D1929,4,FALSE)</f>
        <v>4</v>
      </c>
      <c r="AH596">
        <f>VLOOKUP(A596,'Employee Engagement Survey'!A460:E1929,5,FALSE)</f>
        <v>3</v>
      </c>
      <c r="AI596">
        <f t="shared" si="52"/>
        <v>3.5</v>
      </c>
    </row>
    <row r="597" spans="1:35" hidden="1" x14ac:dyDescent="0.4">
      <c r="A597">
        <v>630</v>
      </c>
      <c r="B597" t="s">
        <v>34</v>
      </c>
      <c r="C597">
        <f t="shared" si="50"/>
        <v>1</v>
      </c>
      <c r="D597" t="s">
        <v>27</v>
      </c>
      <c r="E597">
        <f t="shared" si="51"/>
        <v>0</v>
      </c>
      <c r="F597" t="s">
        <v>28</v>
      </c>
      <c r="G597">
        <v>7</v>
      </c>
      <c r="H597" s="1">
        <v>78924</v>
      </c>
      <c r="I597" s="10">
        <v>0.12</v>
      </c>
      <c r="J597">
        <v>37.5</v>
      </c>
      <c r="K597" t="s">
        <v>26</v>
      </c>
      <c r="L597">
        <v>52</v>
      </c>
      <c r="M597" t="s">
        <v>29</v>
      </c>
      <c r="N597" t="s">
        <v>48</v>
      </c>
      <c r="O597" t="s">
        <v>31</v>
      </c>
      <c r="P597">
        <v>6</v>
      </c>
      <c r="Q597" t="s">
        <v>36</v>
      </c>
      <c r="R597" t="s">
        <v>45</v>
      </c>
      <c r="S597">
        <v>3</v>
      </c>
      <c r="T597">
        <v>2</v>
      </c>
      <c r="U597">
        <v>18</v>
      </c>
      <c r="V597">
        <v>3</v>
      </c>
      <c r="W597">
        <v>10</v>
      </c>
      <c r="X597">
        <v>9</v>
      </c>
      <c r="Y597">
        <v>6</v>
      </c>
      <c r="Z597">
        <v>9</v>
      </c>
      <c r="AA597" t="str">
        <f t="shared" si="53"/>
        <v>Long Tenure</v>
      </c>
      <c r="AB597" s="5">
        <v>45775</v>
      </c>
      <c r="AC597">
        <f t="shared" si="54"/>
        <v>1</v>
      </c>
      <c r="AD597" t="s">
        <v>49</v>
      </c>
      <c r="AE597">
        <f>VLOOKUP(A597,'Employee Engagement Survey'!A461:B1930,2,FALSE)</f>
        <v>4</v>
      </c>
      <c r="AF597">
        <f>VLOOKUP(A597,'Employee Engagement Survey'!A461:C1930,3,FALSE)</f>
        <v>1</v>
      </c>
      <c r="AG597">
        <f>VLOOKUP(A597,'Employee Engagement Survey'!A461:D1930,4,FALSE)</f>
        <v>2</v>
      </c>
      <c r="AH597">
        <f>VLOOKUP(A597,'Employee Engagement Survey'!A461:E1930,5,FALSE)</f>
        <v>3</v>
      </c>
      <c r="AI597">
        <f t="shared" si="52"/>
        <v>2.5</v>
      </c>
    </row>
    <row r="598" spans="1:35" hidden="1" x14ac:dyDescent="0.4">
      <c r="A598">
        <v>1683</v>
      </c>
      <c r="B598" t="s">
        <v>34</v>
      </c>
      <c r="C598">
        <f t="shared" si="50"/>
        <v>1</v>
      </c>
      <c r="D598" t="s">
        <v>106</v>
      </c>
      <c r="E598">
        <f t="shared" si="51"/>
        <v>0</v>
      </c>
      <c r="F598" t="s">
        <v>59</v>
      </c>
      <c r="G598">
        <v>6</v>
      </c>
      <c r="H598" s="1">
        <v>62340</v>
      </c>
      <c r="I598" s="10">
        <v>0.18</v>
      </c>
      <c r="J598">
        <v>37.5</v>
      </c>
      <c r="K598" t="s">
        <v>26</v>
      </c>
      <c r="L598">
        <v>44</v>
      </c>
      <c r="M598" t="s">
        <v>47</v>
      </c>
      <c r="N598" t="s">
        <v>48</v>
      </c>
      <c r="O598" t="s">
        <v>31</v>
      </c>
      <c r="P598">
        <v>1</v>
      </c>
      <c r="Q598" t="s">
        <v>43</v>
      </c>
      <c r="R598" t="s">
        <v>37</v>
      </c>
      <c r="S598">
        <v>3</v>
      </c>
      <c r="T598">
        <v>3</v>
      </c>
      <c r="U598">
        <v>8</v>
      </c>
      <c r="V598">
        <v>2</v>
      </c>
      <c r="W598">
        <v>2</v>
      </c>
      <c r="X598">
        <v>2</v>
      </c>
      <c r="Y598">
        <v>2</v>
      </c>
      <c r="Z598">
        <v>2</v>
      </c>
      <c r="AA598" t="str">
        <f t="shared" si="53"/>
        <v>Early Tenure</v>
      </c>
      <c r="AB598" s="5">
        <v>46008</v>
      </c>
      <c r="AC598">
        <f t="shared" si="54"/>
        <v>1</v>
      </c>
      <c r="AD598" t="s">
        <v>49</v>
      </c>
      <c r="AE598">
        <f>VLOOKUP(A598,'Employee Engagement Survey'!A462:B1931,2,FALSE)</f>
        <v>3</v>
      </c>
      <c r="AF598">
        <f>VLOOKUP(A598,'Employee Engagement Survey'!A462:C1931,3,FALSE)</f>
        <v>4</v>
      </c>
      <c r="AG598">
        <f>VLOOKUP(A598,'Employee Engagement Survey'!A462:D1931,4,FALSE)</f>
        <v>1</v>
      </c>
      <c r="AH598">
        <f>VLOOKUP(A598,'Employee Engagement Survey'!A462:E1931,5,FALSE)</f>
        <v>3</v>
      </c>
      <c r="AI598">
        <f t="shared" si="52"/>
        <v>2.75</v>
      </c>
    </row>
    <row r="599" spans="1:35" hidden="1" x14ac:dyDescent="0.4">
      <c r="A599">
        <v>632</v>
      </c>
      <c r="B599" t="s">
        <v>34</v>
      </c>
      <c r="C599">
        <f t="shared" si="50"/>
        <v>1</v>
      </c>
      <c r="D599" t="s">
        <v>39</v>
      </c>
      <c r="E599">
        <f t="shared" si="51"/>
        <v>0</v>
      </c>
      <c r="F599" t="s">
        <v>40</v>
      </c>
      <c r="G599">
        <v>4</v>
      </c>
      <c r="H599" s="1">
        <v>52800</v>
      </c>
      <c r="I599" s="10">
        <v>0.13</v>
      </c>
      <c r="J599">
        <v>37.5</v>
      </c>
      <c r="K599" t="s">
        <v>34</v>
      </c>
      <c r="L599">
        <v>24</v>
      </c>
      <c r="M599" t="s">
        <v>29</v>
      </c>
      <c r="N599" t="s">
        <v>42</v>
      </c>
      <c r="O599" t="s">
        <v>44</v>
      </c>
      <c r="P599">
        <v>24</v>
      </c>
      <c r="Q599" t="s">
        <v>43</v>
      </c>
      <c r="R599" t="s">
        <v>33</v>
      </c>
      <c r="S599">
        <v>3</v>
      </c>
      <c r="T599">
        <v>2</v>
      </c>
      <c r="U599">
        <v>3</v>
      </c>
      <c r="V599">
        <v>3</v>
      </c>
      <c r="W599">
        <v>2</v>
      </c>
      <c r="X599">
        <v>2</v>
      </c>
      <c r="Y599">
        <v>2</v>
      </c>
      <c r="Z599">
        <v>1</v>
      </c>
      <c r="AA599" t="str">
        <f t="shared" si="53"/>
        <v>Early Tenure</v>
      </c>
      <c r="AB599" s="5">
        <v>45329</v>
      </c>
      <c r="AC599">
        <f t="shared" si="54"/>
        <v>1</v>
      </c>
      <c r="AD599" t="s">
        <v>49</v>
      </c>
      <c r="AE599">
        <f>VLOOKUP(A599,'Employee Engagement Survey'!A464:B1933,2,FALSE)</f>
        <v>4</v>
      </c>
      <c r="AF599">
        <f>VLOOKUP(A599,'Employee Engagement Survey'!A464:C1933,3,FALSE)</f>
        <v>4</v>
      </c>
      <c r="AG599">
        <f>VLOOKUP(A599,'Employee Engagement Survey'!A464:D1933,4,FALSE)</f>
        <v>3</v>
      </c>
      <c r="AH599">
        <f>VLOOKUP(A599,'Employee Engagement Survey'!A464:E1933,5,FALSE)</f>
        <v>3</v>
      </c>
      <c r="AI599">
        <f t="shared" si="52"/>
        <v>3.5</v>
      </c>
    </row>
    <row r="600" spans="1:35" hidden="1" x14ac:dyDescent="0.4">
      <c r="A600">
        <v>638</v>
      </c>
      <c r="B600" t="s">
        <v>34</v>
      </c>
      <c r="C600">
        <f t="shared" si="50"/>
        <v>1</v>
      </c>
      <c r="D600" t="s">
        <v>60</v>
      </c>
      <c r="E600">
        <f t="shared" si="51"/>
        <v>1</v>
      </c>
      <c r="F600" t="s">
        <v>28</v>
      </c>
      <c r="G600">
        <v>5</v>
      </c>
      <c r="H600" s="1">
        <v>246024</v>
      </c>
      <c r="I600" s="10">
        <v>0.17</v>
      </c>
      <c r="J600">
        <v>37.5</v>
      </c>
      <c r="K600" t="s">
        <v>26</v>
      </c>
      <c r="L600">
        <v>49</v>
      </c>
      <c r="M600" t="s">
        <v>29</v>
      </c>
      <c r="N600" t="s">
        <v>48</v>
      </c>
      <c r="O600" t="s">
        <v>31</v>
      </c>
      <c r="P600">
        <v>18</v>
      </c>
      <c r="Q600" t="s">
        <v>51</v>
      </c>
      <c r="R600" t="s">
        <v>37</v>
      </c>
      <c r="S600">
        <v>3</v>
      </c>
      <c r="T600">
        <v>1</v>
      </c>
      <c r="U600">
        <v>31</v>
      </c>
      <c r="V600">
        <v>5</v>
      </c>
      <c r="W600">
        <v>31</v>
      </c>
      <c r="X600">
        <v>9</v>
      </c>
      <c r="Y600">
        <v>0</v>
      </c>
      <c r="Z600">
        <v>9</v>
      </c>
      <c r="AA600" t="str">
        <f t="shared" si="53"/>
        <v>Long Tenure</v>
      </c>
      <c r="AB600" s="5">
        <v>45702</v>
      </c>
      <c r="AC600">
        <f t="shared" si="54"/>
        <v>1</v>
      </c>
      <c r="AD600" t="s">
        <v>38</v>
      </c>
      <c r="AE600">
        <f>VLOOKUP(A600,'Employee Engagement Survey'!A465:B1934,2,FALSE)</f>
        <v>4</v>
      </c>
      <c r="AF600">
        <f>VLOOKUP(A600,'Employee Engagement Survey'!A465:C1934,3,FALSE)</f>
        <v>3</v>
      </c>
      <c r="AG600">
        <f>VLOOKUP(A600,'Employee Engagement Survey'!A465:D1934,4,FALSE)</f>
        <v>3</v>
      </c>
      <c r="AH600">
        <f>VLOOKUP(A600,'Employee Engagement Survey'!A465:E1934,5,FALSE)</f>
        <v>3</v>
      </c>
      <c r="AI600">
        <f t="shared" si="52"/>
        <v>3.25</v>
      </c>
    </row>
    <row r="601" spans="1:35" hidden="1" x14ac:dyDescent="0.4">
      <c r="A601">
        <v>1583</v>
      </c>
      <c r="B601" t="s">
        <v>34</v>
      </c>
      <c r="C601">
        <f t="shared" si="50"/>
        <v>1</v>
      </c>
      <c r="D601" t="s">
        <v>57</v>
      </c>
      <c r="E601">
        <f t="shared" si="51"/>
        <v>0</v>
      </c>
      <c r="F601" t="s">
        <v>40</v>
      </c>
      <c r="G601">
        <v>6</v>
      </c>
      <c r="H601" s="1">
        <v>62376</v>
      </c>
      <c r="I601" s="10">
        <v>0.12</v>
      </c>
      <c r="J601">
        <v>37.5</v>
      </c>
      <c r="K601" t="s">
        <v>34</v>
      </c>
      <c r="L601">
        <v>38</v>
      </c>
      <c r="M601" t="s">
        <v>47</v>
      </c>
      <c r="N601" t="s">
        <v>30</v>
      </c>
      <c r="O601" t="s">
        <v>31</v>
      </c>
      <c r="P601">
        <v>16</v>
      </c>
      <c r="Q601" t="s">
        <v>43</v>
      </c>
      <c r="R601" t="s">
        <v>37</v>
      </c>
      <c r="S601">
        <v>3</v>
      </c>
      <c r="T601">
        <v>0</v>
      </c>
      <c r="U601">
        <v>8</v>
      </c>
      <c r="V601">
        <v>5</v>
      </c>
      <c r="W601">
        <v>3</v>
      </c>
      <c r="X601">
        <v>2</v>
      </c>
      <c r="Y601">
        <v>1</v>
      </c>
      <c r="Z601">
        <v>2</v>
      </c>
      <c r="AA601" t="str">
        <f t="shared" si="53"/>
        <v>Mid Tenure</v>
      </c>
      <c r="AB601" s="5">
        <v>45461</v>
      </c>
      <c r="AC601">
        <f t="shared" si="54"/>
        <v>1</v>
      </c>
      <c r="AD601" t="s">
        <v>49</v>
      </c>
      <c r="AE601">
        <f>VLOOKUP(A601,'Employee Engagement Survey'!A466:B1935,2,FALSE)</f>
        <v>2</v>
      </c>
      <c r="AF601">
        <f>VLOOKUP(A601,'Employee Engagement Survey'!A466:C1935,3,FALSE)</f>
        <v>2</v>
      </c>
      <c r="AG601">
        <f>VLOOKUP(A601,'Employee Engagement Survey'!A466:D1935,4,FALSE)</f>
        <v>2</v>
      </c>
      <c r="AH601">
        <f>VLOOKUP(A601,'Employee Engagement Survey'!A466:E1935,5,FALSE)</f>
        <v>4</v>
      </c>
      <c r="AI601">
        <f t="shared" si="52"/>
        <v>2.5</v>
      </c>
    </row>
    <row r="602" spans="1:35" hidden="1" x14ac:dyDescent="0.4">
      <c r="A602">
        <v>639</v>
      </c>
      <c r="B602" t="s">
        <v>34</v>
      </c>
      <c r="C602">
        <f t="shared" si="50"/>
        <v>1</v>
      </c>
      <c r="D602" t="s">
        <v>27</v>
      </c>
      <c r="E602">
        <f t="shared" si="51"/>
        <v>0</v>
      </c>
      <c r="F602" t="s">
        <v>28</v>
      </c>
      <c r="G602">
        <v>5</v>
      </c>
      <c r="H602" s="1">
        <v>56700</v>
      </c>
      <c r="I602" s="10">
        <v>0.11</v>
      </c>
      <c r="J602">
        <v>37.5</v>
      </c>
      <c r="K602" t="s">
        <v>26</v>
      </c>
      <c r="L602">
        <v>24</v>
      </c>
      <c r="M602" t="s">
        <v>29</v>
      </c>
      <c r="N602" t="s">
        <v>42</v>
      </c>
      <c r="O602" t="s">
        <v>31</v>
      </c>
      <c r="P602">
        <v>23</v>
      </c>
      <c r="Q602" t="s">
        <v>43</v>
      </c>
      <c r="R602" t="s">
        <v>33</v>
      </c>
      <c r="S602">
        <v>3</v>
      </c>
      <c r="T602">
        <v>2</v>
      </c>
      <c r="U602">
        <v>6</v>
      </c>
      <c r="V602">
        <v>3</v>
      </c>
      <c r="W602">
        <v>6</v>
      </c>
      <c r="X602">
        <v>5</v>
      </c>
      <c r="Y602">
        <v>1</v>
      </c>
      <c r="Z602">
        <v>4</v>
      </c>
      <c r="AA602" t="str">
        <f t="shared" si="53"/>
        <v>Mid Tenure</v>
      </c>
      <c r="AB602" s="5">
        <v>44583</v>
      </c>
      <c r="AC602">
        <f t="shared" si="54"/>
        <v>0</v>
      </c>
      <c r="AD602" t="s">
        <v>38</v>
      </c>
      <c r="AE602">
        <f>VLOOKUP(A602,'Employee Engagement Survey'!A468:B1937,2,FALSE)</f>
        <v>2</v>
      </c>
      <c r="AF602">
        <f>VLOOKUP(A602,'Employee Engagement Survey'!A468:C1937,3,FALSE)</f>
        <v>4</v>
      </c>
      <c r="AG602">
        <f>VLOOKUP(A602,'Employee Engagement Survey'!A468:D1937,4,FALSE)</f>
        <v>2</v>
      </c>
      <c r="AH602">
        <f>VLOOKUP(A602,'Employee Engagement Survey'!A468:E1937,5,FALSE)</f>
        <v>3</v>
      </c>
      <c r="AI602">
        <f t="shared" si="52"/>
        <v>2.75</v>
      </c>
    </row>
    <row r="603" spans="1:35" hidden="1" x14ac:dyDescent="0.4">
      <c r="A603">
        <v>197</v>
      </c>
      <c r="B603" t="s">
        <v>34</v>
      </c>
      <c r="C603">
        <f t="shared" si="50"/>
        <v>1</v>
      </c>
      <c r="D603" t="s">
        <v>27</v>
      </c>
      <c r="E603">
        <f t="shared" si="51"/>
        <v>0</v>
      </c>
      <c r="F603" t="s">
        <v>28</v>
      </c>
      <c r="G603">
        <v>6</v>
      </c>
      <c r="H603" s="1">
        <v>62448</v>
      </c>
      <c r="I603" s="10">
        <v>0.14000000000000001</v>
      </c>
      <c r="J603">
        <v>37.5</v>
      </c>
      <c r="K603" t="s">
        <v>34</v>
      </c>
      <c r="L603">
        <v>30</v>
      </c>
      <c r="M603" t="s">
        <v>47</v>
      </c>
      <c r="N603" t="s">
        <v>48</v>
      </c>
      <c r="O603" t="s">
        <v>31</v>
      </c>
      <c r="P603">
        <v>5</v>
      </c>
      <c r="Q603" t="s">
        <v>43</v>
      </c>
      <c r="R603" t="s">
        <v>45</v>
      </c>
      <c r="S603">
        <v>3</v>
      </c>
      <c r="T603">
        <v>1</v>
      </c>
      <c r="U603">
        <v>8</v>
      </c>
      <c r="V603">
        <v>3</v>
      </c>
      <c r="W603">
        <v>3</v>
      </c>
      <c r="X603">
        <v>2</v>
      </c>
      <c r="Y603">
        <v>2</v>
      </c>
      <c r="Z603">
        <v>2</v>
      </c>
      <c r="AA603" t="str">
        <f t="shared" si="53"/>
        <v>Mid Tenure</v>
      </c>
      <c r="AB603" s="5">
        <v>44902</v>
      </c>
      <c r="AC603">
        <f t="shared" si="54"/>
        <v>0</v>
      </c>
      <c r="AD603" t="s">
        <v>49</v>
      </c>
      <c r="AE603">
        <f>VLOOKUP(A603,'Employee Engagement Survey'!A470:B1939,2,FALSE)</f>
        <v>4</v>
      </c>
      <c r="AF603">
        <f>VLOOKUP(A603,'Employee Engagement Survey'!A470:C1939,3,FALSE)</f>
        <v>1</v>
      </c>
      <c r="AG603">
        <f>VLOOKUP(A603,'Employee Engagement Survey'!A470:D1939,4,FALSE)</f>
        <v>4</v>
      </c>
      <c r="AH603">
        <f>VLOOKUP(A603,'Employee Engagement Survey'!A470:E1939,5,FALSE)</f>
        <v>3</v>
      </c>
      <c r="AI603">
        <f t="shared" si="52"/>
        <v>3</v>
      </c>
    </row>
    <row r="604" spans="1:35" hidden="1" x14ac:dyDescent="0.4">
      <c r="A604">
        <v>641</v>
      </c>
      <c r="B604" t="s">
        <v>34</v>
      </c>
      <c r="C604">
        <f t="shared" si="50"/>
        <v>1</v>
      </c>
      <c r="D604" t="s">
        <v>57</v>
      </c>
      <c r="E604">
        <f t="shared" si="51"/>
        <v>0</v>
      </c>
      <c r="F604" t="s">
        <v>40</v>
      </c>
      <c r="G604">
        <v>8</v>
      </c>
      <c r="H604" s="1">
        <v>87264</v>
      </c>
      <c r="I604" s="10">
        <v>0.2</v>
      </c>
      <c r="J604">
        <v>37.5</v>
      </c>
      <c r="K604" t="s">
        <v>34</v>
      </c>
      <c r="L604">
        <v>26</v>
      </c>
      <c r="M604" t="s">
        <v>29</v>
      </c>
      <c r="N604" t="s">
        <v>42</v>
      </c>
      <c r="O604" t="s">
        <v>31</v>
      </c>
      <c r="P604">
        <v>28</v>
      </c>
      <c r="Q604" t="s">
        <v>36</v>
      </c>
      <c r="R604" t="s">
        <v>56</v>
      </c>
      <c r="S604">
        <v>4</v>
      </c>
      <c r="T604">
        <v>2</v>
      </c>
      <c r="U604">
        <v>6</v>
      </c>
      <c r="V604">
        <v>5</v>
      </c>
      <c r="W604">
        <v>5</v>
      </c>
      <c r="X604">
        <v>3</v>
      </c>
      <c r="Y604">
        <v>1</v>
      </c>
      <c r="Z604">
        <v>4</v>
      </c>
      <c r="AA604" t="str">
        <f t="shared" si="53"/>
        <v>Mid Tenure</v>
      </c>
      <c r="AB604" s="5">
        <v>44947</v>
      </c>
      <c r="AC604">
        <f t="shared" si="54"/>
        <v>0</v>
      </c>
      <c r="AD604" t="s">
        <v>49</v>
      </c>
      <c r="AE604">
        <f>VLOOKUP(A604,'Employee Engagement Survey'!A471:B1940,2,FALSE)</f>
        <v>1</v>
      </c>
      <c r="AF604">
        <f>VLOOKUP(A604,'Employee Engagement Survey'!A471:C1940,3,FALSE)</f>
        <v>2</v>
      </c>
      <c r="AG604">
        <f>VLOOKUP(A604,'Employee Engagement Survey'!A471:D1940,4,FALSE)</f>
        <v>4</v>
      </c>
      <c r="AH604">
        <f>VLOOKUP(A604,'Employee Engagement Survey'!A471:E1940,5,FALSE)</f>
        <v>4</v>
      </c>
      <c r="AI604">
        <f t="shared" si="52"/>
        <v>2.75</v>
      </c>
    </row>
    <row r="605" spans="1:35" hidden="1" x14ac:dyDescent="0.4">
      <c r="A605">
        <v>1617</v>
      </c>
      <c r="B605" t="s">
        <v>34</v>
      </c>
      <c r="C605">
        <f t="shared" si="50"/>
        <v>1</v>
      </c>
      <c r="D605" t="s">
        <v>46</v>
      </c>
      <c r="E605">
        <f t="shared" si="51"/>
        <v>0</v>
      </c>
      <c r="F605" t="s">
        <v>28</v>
      </c>
      <c r="G605">
        <v>6</v>
      </c>
      <c r="H605" s="1">
        <v>62532</v>
      </c>
      <c r="I605" s="10">
        <v>0.14000000000000001</v>
      </c>
      <c r="J605">
        <v>37.5</v>
      </c>
      <c r="K605" t="s">
        <v>34</v>
      </c>
      <c r="L605">
        <v>49</v>
      </c>
      <c r="M605" t="s">
        <v>47</v>
      </c>
      <c r="N605" t="s">
        <v>42</v>
      </c>
      <c r="O605" t="s">
        <v>31</v>
      </c>
      <c r="P605">
        <v>25</v>
      </c>
      <c r="Q605" t="s">
        <v>51</v>
      </c>
      <c r="R605" t="s">
        <v>37</v>
      </c>
      <c r="S605">
        <v>3</v>
      </c>
      <c r="T605">
        <v>1</v>
      </c>
      <c r="U605">
        <v>10</v>
      </c>
      <c r="V605">
        <v>3</v>
      </c>
      <c r="W605">
        <v>9</v>
      </c>
      <c r="X605">
        <v>6</v>
      </c>
      <c r="Y605">
        <v>1</v>
      </c>
      <c r="Z605">
        <v>4</v>
      </c>
      <c r="AA605" t="str">
        <f t="shared" si="53"/>
        <v>Mid Tenure</v>
      </c>
      <c r="AB605" s="5">
        <v>45997</v>
      </c>
      <c r="AC605">
        <f t="shared" si="54"/>
        <v>1</v>
      </c>
      <c r="AD605" t="s">
        <v>38</v>
      </c>
      <c r="AE605">
        <f>VLOOKUP(A605,'Employee Engagement Survey'!A472:B1941,2,FALSE)</f>
        <v>3</v>
      </c>
      <c r="AF605">
        <f>VLOOKUP(A605,'Employee Engagement Survey'!A472:C1941,3,FALSE)</f>
        <v>1</v>
      </c>
      <c r="AG605">
        <f>VLOOKUP(A605,'Employee Engagement Survey'!A472:D1941,4,FALSE)</f>
        <v>4</v>
      </c>
      <c r="AH605">
        <f>VLOOKUP(A605,'Employee Engagement Survey'!A472:E1941,5,FALSE)</f>
        <v>2</v>
      </c>
      <c r="AI605">
        <f t="shared" si="52"/>
        <v>2.5</v>
      </c>
    </row>
    <row r="606" spans="1:35" hidden="1" x14ac:dyDescent="0.4">
      <c r="A606">
        <v>316</v>
      </c>
      <c r="B606" t="s">
        <v>34</v>
      </c>
      <c r="C606">
        <f t="shared" si="50"/>
        <v>1</v>
      </c>
      <c r="D606" t="s">
        <v>46</v>
      </c>
      <c r="E606">
        <f t="shared" si="51"/>
        <v>0</v>
      </c>
      <c r="F606" t="s">
        <v>28</v>
      </c>
      <c r="G606">
        <v>6</v>
      </c>
      <c r="H606" s="1">
        <v>62544</v>
      </c>
      <c r="I606" s="10">
        <v>0.15</v>
      </c>
      <c r="J606">
        <v>37.5</v>
      </c>
      <c r="K606" t="s">
        <v>34</v>
      </c>
      <c r="L606">
        <v>52</v>
      </c>
      <c r="M606" t="s">
        <v>47</v>
      </c>
      <c r="N606" t="s">
        <v>30</v>
      </c>
      <c r="O606" t="s">
        <v>31</v>
      </c>
      <c r="P606">
        <v>2</v>
      </c>
      <c r="Q606" t="s">
        <v>43</v>
      </c>
      <c r="R606" t="s">
        <v>37</v>
      </c>
      <c r="S606">
        <v>3</v>
      </c>
      <c r="T606">
        <v>0</v>
      </c>
      <c r="U606">
        <v>6</v>
      </c>
      <c r="V606">
        <v>3</v>
      </c>
      <c r="W606">
        <v>2</v>
      </c>
      <c r="X606">
        <v>2</v>
      </c>
      <c r="Y606">
        <v>2</v>
      </c>
      <c r="Z606">
        <v>2</v>
      </c>
      <c r="AA606" t="str">
        <f t="shared" si="53"/>
        <v>Early Tenure</v>
      </c>
      <c r="AB606" s="5">
        <v>45795</v>
      </c>
      <c r="AC606">
        <f t="shared" si="54"/>
        <v>1</v>
      </c>
      <c r="AD606" t="s">
        <v>49</v>
      </c>
      <c r="AE606">
        <f>VLOOKUP(A606,'Employee Engagement Survey'!A473:B1942,2,FALSE)</f>
        <v>3</v>
      </c>
      <c r="AF606">
        <f>VLOOKUP(A606,'Employee Engagement Survey'!A473:C1942,3,FALSE)</f>
        <v>4</v>
      </c>
      <c r="AG606">
        <f>VLOOKUP(A606,'Employee Engagement Survey'!A473:D1942,4,FALSE)</f>
        <v>2</v>
      </c>
      <c r="AH606">
        <f>VLOOKUP(A606,'Employee Engagement Survey'!A473:E1942,5,FALSE)</f>
        <v>2</v>
      </c>
      <c r="AI606">
        <f t="shared" si="52"/>
        <v>2.75</v>
      </c>
    </row>
    <row r="607" spans="1:35" hidden="1" x14ac:dyDescent="0.4">
      <c r="A607">
        <v>643</v>
      </c>
      <c r="B607" t="s">
        <v>34</v>
      </c>
      <c r="C607">
        <f t="shared" si="50"/>
        <v>1</v>
      </c>
      <c r="D607" t="s">
        <v>46</v>
      </c>
      <c r="E607">
        <f t="shared" si="51"/>
        <v>0</v>
      </c>
      <c r="F607" t="s">
        <v>28</v>
      </c>
      <c r="G607">
        <v>3</v>
      </c>
      <c r="H607" s="1">
        <v>49524</v>
      </c>
      <c r="I607" s="10">
        <v>0.21</v>
      </c>
      <c r="J607">
        <v>37.5</v>
      </c>
      <c r="K607" t="s">
        <v>34</v>
      </c>
      <c r="L607">
        <v>24</v>
      </c>
      <c r="M607" t="s">
        <v>29</v>
      </c>
      <c r="N607" t="s">
        <v>42</v>
      </c>
      <c r="O607" t="s">
        <v>31</v>
      </c>
      <c r="P607">
        <v>17</v>
      </c>
      <c r="Q607" t="s">
        <v>36</v>
      </c>
      <c r="R607" t="s">
        <v>53</v>
      </c>
      <c r="S607">
        <v>4</v>
      </c>
      <c r="T607">
        <v>1</v>
      </c>
      <c r="U607">
        <v>1</v>
      </c>
      <c r="V607">
        <v>2</v>
      </c>
      <c r="W607">
        <v>1</v>
      </c>
      <c r="X607">
        <v>0</v>
      </c>
      <c r="Y607">
        <v>0</v>
      </c>
      <c r="Z607">
        <v>0</v>
      </c>
      <c r="AA607" t="str">
        <f t="shared" si="53"/>
        <v>Early Tenure</v>
      </c>
      <c r="AB607" s="5">
        <v>45798</v>
      </c>
      <c r="AC607">
        <f t="shared" si="54"/>
        <v>1</v>
      </c>
      <c r="AD607" t="s">
        <v>49</v>
      </c>
      <c r="AE607">
        <f>VLOOKUP(A607,'Employee Engagement Survey'!A474:B1943,2,FALSE)</f>
        <v>4</v>
      </c>
      <c r="AF607">
        <f>VLOOKUP(A607,'Employee Engagement Survey'!A474:C1943,3,FALSE)</f>
        <v>2</v>
      </c>
      <c r="AG607">
        <f>VLOOKUP(A607,'Employee Engagement Survey'!A474:D1943,4,FALSE)</f>
        <v>4</v>
      </c>
      <c r="AH607">
        <f>VLOOKUP(A607,'Employee Engagement Survey'!A474:E1943,5,FALSE)</f>
        <v>3</v>
      </c>
      <c r="AI607">
        <f t="shared" si="52"/>
        <v>3.25</v>
      </c>
    </row>
    <row r="608" spans="1:35" hidden="1" x14ac:dyDescent="0.4">
      <c r="A608">
        <v>644</v>
      </c>
      <c r="B608" t="s">
        <v>34</v>
      </c>
      <c r="C608">
        <f t="shared" si="50"/>
        <v>1</v>
      </c>
      <c r="D608" t="s">
        <v>108</v>
      </c>
      <c r="E608">
        <f t="shared" si="51"/>
        <v>1</v>
      </c>
      <c r="F608" t="s">
        <v>59</v>
      </c>
      <c r="G608">
        <v>5</v>
      </c>
      <c r="H608" s="1">
        <v>230400</v>
      </c>
      <c r="I608" s="10">
        <v>0.11</v>
      </c>
      <c r="J608">
        <v>37.5</v>
      </c>
      <c r="K608" t="s">
        <v>34</v>
      </c>
      <c r="L608">
        <v>50</v>
      </c>
      <c r="M608" t="s">
        <v>29</v>
      </c>
      <c r="N608" t="s">
        <v>42</v>
      </c>
      <c r="O608" t="s">
        <v>44</v>
      </c>
      <c r="P608">
        <v>3</v>
      </c>
      <c r="Q608" t="s">
        <v>43</v>
      </c>
      <c r="R608" t="s">
        <v>33</v>
      </c>
      <c r="S608">
        <v>3</v>
      </c>
      <c r="T608">
        <v>1</v>
      </c>
      <c r="U608">
        <v>32</v>
      </c>
      <c r="V608">
        <v>2</v>
      </c>
      <c r="W608">
        <v>32</v>
      </c>
      <c r="X608">
        <v>5</v>
      </c>
      <c r="Y608">
        <v>10</v>
      </c>
      <c r="Z608">
        <v>7</v>
      </c>
      <c r="AA608" t="str">
        <f t="shared" si="53"/>
        <v>Long Tenure</v>
      </c>
      <c r="AB608" s="5">
        <v>46010</v>
      </c>
      <c r="AC608">
        <f t="shared" si="54"/>
        <v>1</v>
      </c>
      <c r="AD608" t="s">
        <v>49</v>
      </c>
      <c r="AE608">
        <f>VLOOKUP(A608,'Employee Engagement Survey'!A475:B1944,2,FALSE)</f>
        <v>1</v>
      </c>
      <c r="AF608">
        <f>VLOOKUP(A608,'Employee Engagement Survey'!A475:C1944,3,FALSE)</f>
        <v>2</v>
      </c>
      <c r="AG608">
        <f>VLOOKUP(A608,'Employee Engagement Survey'!A475:D1944,4,FALSE)</f>
        <v>3</v>
      </c>
      <c r="AH608">
        <f>VLOOKUP(A608,'Employee Engagement Survey'!A475:E1944,5,FALSE)</f>
        <v>3</v>
      </c>
      <c r="AI608">
        <f t="shared" si="52"/>
        <v>2.25</v>
      </c>
    </row>
    <row r="609" spans="1:35" hidden="1" x14ac:dyDescent="0.4">
      <c r="A609">
        <v>645</v>
      </c>
      <c r="B609" t="s">
        <v>34</v>
      </c>
      <c r="C609">
        <f t="shared" si="50"/>
        <v>1</v>
      </c>
      <c r="D609" t="s">
        <v>39</v>
      </c>
      <c r="E609">
        <f t="shared" si="51"/>
        <v>0</v>
      </c>
      <c r="F609" t="s">
        <v>40</v>
      </c>
      <c r="G609">
        <v>3</v>
      </c>
      <c r="H609" s="1">
        <v>49152</v>
      </c>
      <c r="I609" s="10">
        <v>0.11</v>
      </c>
      <c r="J609">
        <v>37.5</v>
      </c>
      <c r="K609" t="s">
        <v>34</v>
      </c>
      <c r="L609">
        <v>25</v>
      </c>
      <c r="M609" t="s">
        <v>29</v>
      </c>
      <c r="N609" t="s">
        <v>42</v>
      </c>
      <c r="O609" t="s">
        <v>31</v>
      </c>
      <c r="P609">
        <v>13</v>
      </c>
      <c r="Q609" t="s">
        <v>32</v>
      </c>
      <c r="R609" t="s">
        <v>33</v>
      </c>
      <c r="S609">
        <v>3</v>
      </c>
      <c r="T609">
        <v>0</v>
      </c>
      <c r="U609">
        <v>7</v>
      </c>
      <c r="V609">
        <v>1</v>
      </c>
      <c r="W609">
        <v>7</v>
      </c>
      <c r="X609">
        <v>4</v>
      </c>
      <c r="Y609">
        <v>0</v>
      </c>
      <c r="Z609">
        <v>6</v>
      </c>
      <c r="AA609" t="str">
        <f t="shared" si="53"/>
        <v>Mid Tenure</v>
      </c>
      <c r="AB609" s="5">
        <v>45242</v>
      </c>
      <c r="AC609">
        <f t="shared" si="54"/>
        <v>0</v>
      </c>
      <c r="AD609" t="s">
        <v>38</v>
      </c>
      <c r="AE609">
        <f>VLOOKUP(A609,'Employee Engagement Survey'!A476:B1945,2,FALSE)</f>
        <v>2</v>
      </c>
      <c r="AF609">
        <f>VLOOKUP(A609,'Employee Engagement Survey'!A476:C1945,3,FALSE)</f>
        <v>3</v>
      </c>
      <c r="AG609">
        <f>VLOOKUP(A609,'Employee Engagement Survey'!A476:D1945,4,FALSE)</f>
        <v>3</v>
      </c>
      <c r="AH609">
        <f>VLOOKUP(A609,'Employee Engagement Survey'!A476:E1945,5,FALSE)</f>
        <v>3</v>
      </c>
      <c r="AI609">
        <f t="shared" si="52"/>
        <v>2.75</v>
      </c>
    </row>
    <row r="610" spans="1:35" hidden="1" x14ac:dyDescent="0.4">
      <c r="A610">
        <v>1027</v>
      </c>
      <c r="B610" t="s">
        <v>34</v>
      </c>
      <c r="C610">
        <f t="shared" si="50"/>
        <v>1</v>
      </c>
      <c r="D610" t="s">
        <v>54</v>
      </c>
      <c r="E610">
        <f t="shared" si="51"/>
        <v>1</v>
      </c>
      <c r="F610" t="s">
        <v>28</v>
      </c>
      <c r="G610">
        <v>6</v>
      </c>
      <c r="H610" s="1">
        <v>62724</v>
      </c>
      <c r="I610" s="10">
        <v>0.18</v>
      </c>
      <c r="J610">
        <v>37.5</v>
      </c>
      <c r="K610" t="s">
        <v>34</v>
      </c>
      <c r="L610">
        <v>27</v>
      </c>
      <c r="M610" t="s">
        <v>47</v>
      </c>
      <c r="N610" t="s">
        <v>42</v>
      </c>
      <c r="O610" t="s">
        <v>31</v>
      </c>
      <c r="P610">
        <v>2</v>
      </c>
      <c r="Q610" t="s">
        <v>51</v>
      </c>
      <c r="R610" t="s">
        <v>37</v>
      </c>
      <c r="S610">
        <v>3</v>
      </c>
      <c r="T610">
        <v>1</v>
      </c>
      <c r="U610">
        <v>4</v>
      </c>
      <c r="V610">
        <v>2</v>
      </c>
      <c r="W610">
        <v>3</v>
      </c>
      <c r="X610">
        <v>2</v>
      </c>
      <c r="Y610">
        <v>2</v>
      </c>
      <c r="Z610">
        <v>2</v>
      </c>
      <c r="AA610" t="str">
        <f t="shared" si="53"/>
        <v>Mid Tenure</v>
      </c>
      <c r="AB610" s="5">
        <v>45127</v>
      </c>
      <c r="AC610">
        <f t="shared" si="54"/>
        <v>0</v>
      </c>
      <c r="AD610" t="s">
        <v>49</v>
      </c>
      <c r="AE610">
        <f>VLOOKUP(A610,'Employee Engagement Survey'!A477:B1946,2,FALSE)</f>
        <v>1</v>
      </c>
      <c r="AF610">
        <f>VLOOKUP(A610,'Employee Engagement Survey'!A477:C1946,3,FALSE)</f>
        <v>4</v>
      </c>
      <c r="AG610">
        <f>VLOOKUP(A610,'Employee Engagement Survey'!A477:D1946,4,FALSE)</f>
        <v>2</v>
      </c>
      <c r="AH610">
        <f>VLOOKUP(A610,'Employee Engagement Survey'!A477:E1946,5,FALSE)</f>
        <v>3</v>
      </c>
      <c r="AI610">
        <f t="shared" si="52"/>
        <v>2.5</v>
      </c>
    </row>
    <row r="611" spans="1:35" hidden="1" x14ac:dyDescent="0.4">
      <c r="A611">
        <v>649</v>
      </c>
      <c r="B611" t="s">
        <v>34</v>
      </c>
      <c r="C611">
        <f t="shared" si="50"/>
        <v>1</v>
      </c>
      <c r="D611" t="s">
        <v>27</v>
      </c>
      <c r="E611">
        <f t="shared" si="51"/>
        <v>0</v>
      </c>
      <c r="F611" t="s">
        <v>28</v>
      </c>
      <c r="G611">
        <v>6</v>
      </c>
      <c r="H611" s="1">
        <v>67464</v>
      </c>
      <c r="I611" s="10">
        <v>0.13</v>
      </c>
      <c r="J611">
        <v>37.5</v>
      </c>
      <c r="K611" t="s">
        <v>26</v>
      </c>
      <c r="L611">
        <v>34</v>
      </c>
      <c r="M611" t="s">
        <v>29</v>
      </c>
      <c r="N611" t="s">
        <v>42</v>
      </c>
      <c r="O611" t="s">
        <v>31</v>
      </c>
      <c r="P611">
        <v>1</v>
      </c>
      <c r="Q611" t="s">
        <v>36</v>
      </c>
      <c r="R611" t="s">
        <v>37</v>
      </c>
      <c r="S611">
        <v>3</v>
      </c>
      <c r="T611">
        <v>1</v>
      </c>
      <c r="U611">
        <v>6</v>
      </c>
      <c r="V611">
        <v>3</v>
      </c>
      <c r="W611">
        <v>6</v>
      </c>
      <c r="X611">
        <v>5</v>
      </c>
      <c r="Y611">
        <v>1</v>
      </c>
      <c r="Z611">
        <v>3</v>
      </c>
      <c r="AA611" t="str">
        <f t="shared" si="53"/>
        <v>Mid Tenure</v>
      </c>
      <c r="AB611" s="5">
        <v>45359</v>
      </c>
      <c r="AC611">
        <f t="shared" si="54"/>
        <v>1</v>
      </c>
      <c r="AD611" t="s">
        <v>38</v>
      </c>
      <c r="AE611">
        <f>VLOOKUP(A611,'Employee Engagement Survey'!A479:B1948,2,FALSE)</f>
        <v>2</v>
      </c>
      <c r="AF611">
        <f>VLOOKUP(A611,'Employee Engagement Survey'!A479:C1948,3,FALSE)</f>
        <v>4</v>
      </c>
      <c r="AG611">
        <f>VLOOKUP(A611,'Employee Engagement Survey'!A479:D1948,4,FALSE)</f>
        <v>4</v>
      </c>
      <c r="AH611">
        <f>VLOOKUP(A611,'Employee Engagement Survey'!A479:E1948,5,FALSE)</f>
        <v>3</v>
      </c>
      <c r="AI611">
        <f t="shared" si="52"/>
        <v>3.25</v>
      </c>
    </row>
    <row r="612" spans="1:35" hidden="1" x14ac:dyDescent="0.4">
      <c r="A612">
        <v>652</v>
      </c>
      <c r="B612" t="s">
        <v>34</v>
      </c>
      <c r="C612">
        <f t="shared" si="50"/>
        <v>1</v>
      </c>
      <c r="D612" t="s">
        <v>46</v>
      </c>
      <c r="E612">
        <f t="shared" si="51"/>
        <v>0</v>
      </c>
      <c r="F612" t="s">
        <v>28</v>
      </c>
      <c r="G612">
        <v>6</v>
      </c>
      <c r="H612" s="1">
        <v>68172</v>
      </c>
      <c r="I612" s="10">
        <v>0.14000000000000001</v>
      </c>
      <c r="J612">
        <v>37.5</v>
      </c>
      <c r="K612" t="s">
        <v>34</v>
      </c>
      <c r="L612">
        <v>35</v>
      </c>
      <c r="M612" t="s">
        <v>29</v>
      </c>
      <c r="N612" t="s">
        <v>30</v>
      </c>
      <c r="O612" t="s">
        <v>31</v>
      </c>
      <c r="P612">
        <v>25</v>
      </c>
      <c r="Q612" t="s">
        <v>36</v>
      </c>
      <c r="R612" t="s">
        <v>53</v>
      </c>
      <c r="S612">
        <v>3</v>
      </c>
      <c r="T612">
        <v>0</v>
      </c>
      <c r="U612">
        <v>9</v>
      </c>
      <c r="V612">
        <v>3</v>
      </c>
      <c r="W612">
        <v>3</v>
      </c>
      <c r="X612">
        <v>2</v>
      </c>
      <c r="Y612">
        <v>0</v>
      </c>
      <c r="Z612">
        <v>2</v>
      </c>
      <c r="AA612" t="str">
        <f t="shared" si="53"/>
        <v>Mid Tenure</v>
      </c>
      <c r="AB612" s="5">
        <v>44605</v>
      </c>
      <c r="AC612">
        <f t="shared" si="54"/>
        <v>0</v>
      </c>
      <c r="AD612" t="s">
        <v>49</v>
      </c>
      <c r="AE612">
        <f>VLOOKUP(A612,'Employee Engagement Survey'!A481:B1950,2,FALSE)</f>
        <v>1</v>
      </c>
      <c r="AF612">
        <f>VLOOKUP(A612,'Employee Engagement Survey'!A481:C1950,3,FALSE)</f>
        <v>4</v>
      </c>
      <c r="AG612">
        <f>VLOOKUP(A612,'Employee Engagement Survey'!A481:D1950,4,FALSE)</f>
        <v>4</v>
      </c>
      <c r="AH612">
        <f>VLOOKUP(A612,'Employee Engagement Survey'!A481:E1950,5,FALSE)</f>
        <v>3</v>
      </c>
      <c r="AI612">
        <f t="shared" si="52"/>
        <v>3</v>
      </c>
    </row>
    <row r="613" spans="1:35" hidden="1" x14ac:dyDescent="0.4">
      <c r="A613">
        <v>653</v>
      </c>
      <c r="B613" t="s">
        <v>34</v>
      </c>
      <c r="C613">
        <f t="shared" si="50"/>
        <v>1</v>
      </c>
      <c r="D613" t="s">
        <v>57</v>
      </c>
      <c r="E613">
        <f t="shared" si="51"/>
        <v>0</v>
      </c>
      <c r="F613" t="s">
        <v>40</v>
      </c>
      <c r="G613">
        <v>7</v>
      </c>
      <c r="H613" s="1">
        <v>77520</v>
      </c>
      <c r="I613" s="10">
        <v>0.22</v>
      </c>
      <c r="J613">
        <v>37.5</v>
      </c>
      <c r="K613" t="s">
        <v>34</v>
      </c>
      <c r="L613">
        <v>31</v>
      </c>
      <c r="M613" t="s">
        <v>29</v>
      </c>
      <c r="N613" t="s">
        <v>48</v>
      </c>
      <c r="O613" t="s">
        <v>31</v>
      </c>
      <c r="P613">
        <v>6</v>
      </c>
      <c r="Q613" t="s">
        <v>51</v>
      </c>
      <c r="R613" t="s">
        <v>33</v>
      </c>
      <c r="S613">
        <v>4</v>
      </c>
      <c r="T613">
        <v>2</v>
      </c>
      <c r="U613">
        <v>13</v>
      </c>
      <c r="V613">
        <v>4</v>
      </c>
      <c r="W613">
        <v>7</v>
      </c>
      <c r="X613">
        <v>7</v>
      </c>
      <c r="Y613">
        <v>5</v>
      </c>
      <c r="Z613">
        <v>7</v>
      </c>
      <c r="AA613" t="str">
        <f t="shared" si="53"/>
        <v>Mid Tenure</v>
      </c>
      <c r="AB613" s="5">
        <v>45421</v>
      </c>
      <c r="AC613">
        <f t="shared" si="54"/>
        <v>1</v>
      </c>
      <c r="AD613" t="s">
        <v>38</v>
      </c>
      <c r="AE613">
        <f>VLOOKUP(A613,'Employee Engagement Survey'!A482:B1951,2,FALSE)</f>
        <v>1</v>
      </c>
      <c r="AF613">
        <f>VLOOKUP(A613,'Employee Engagement Survey'!A482:C1951,3,FALSE)</f>
        <v>4</v>
      </c>
      <c r="AG613">
        <f>VLOOKUP(A613,'Employee Engagement Survey'!A482:D1951,4,FALSE)</f>
        <v>4</v>
      </c>
      <c r="AH613">
        <f>VLOOKUP(A613,'Employee Engagement Survey'!A482:E1951,5,FALSE)</f>
        <v>4</v>
      </c>
      <c r="AI613">
        <f t="shared" si="52"/>
        <v>3.25</v>
      </c>
    </row>
    <row r="614" spans="1:35" hidden="1" x14ac:dyDescent="0.4">
      <c r="A614">
        <v>807</v>
      </c>
      <c r="B614" t="s">
        <v>34</v>
      </c>
      <c r="C614">
        <f t="shared" si="50"/>
        <v>1</v>
      </c>
      <c r="D614" t="s">
        <v>55</v>
      </c>
      <c r="E614">
        <f t="shared" si="51"/>
        <v>0</v>
      </c>
      <c r="F614" t="s">
        <v>28</v>
      </c>
      <c r="G614">
        <v>6</v>
      </c>
      <c r="H614" s="1">
        <v>62928</v>
      </c>
      <c r="I614" s="10">
        <v>0.24</v>
      </c>
      <c r="J614">
        <v>37.5</v>
      </c>
      <c r="K614" t="s">
        <v>34</v>
      </c>
      <c r="L614">
        <v>40</v>
      </c>
      <c r="M614" t="s">
        <v>47</v>
      </c>
      <c r="N614" t="s">
        <v>42</v>
      </c>
      <c r="O614" t="s">
        <v>44</v>
      </c>
      <c r="P614">
        <v>2</v>
      </c>
      <c r="Q614" t="s">
        <v>36</v>
      </c>
      <c r="R614" t="s">
        <v>33</v>
      </c>
      <c r="S614">
        <v>4</v>
      </c>
      <c r="T614">
        <v>1</v>
      </c>
      <c r="U614">
        <v>8</v>
      </c>
      <c r="V614">
        <v>2</v>
      </c>
      <c r="W614">
        <v>8</v>
      </c>
      <c r="X614">
        <v>7</v>
      </c>
      <c r="Y614">
        <v>3</v>
      </c>
      <c r="Z614">
        <v>7</v>
      </c>
      <c r="AA614" t="str">
        <f t="shared" si="53"/>
        <v>Mid Tenure</v>
      </c>
      <c r="AB614" s="5">
        <v>44652</v>
      </c>
      <c r="AC614">
        <f t="shared" si="54"/>
        <v>0</v>
      </c>
      <c r="AD614" t="s">
        <v>49</v>
      </c>
      <c r="AE614">
        <f>VLOOKUP(A614,'Employee Engagement Survey'!A483:B1952,2,FALSE)</f>
        <v>3</v>
      </c>
      <c r="AF614">
        <f>VLOOKUP(A614,'Employee Engagement Survey'!A483:C1952,3,FALSE)</f>
        <v>2</v>
      </c>
      <c r="AG614">
        <f>VLOOKUP(A614,'Employee Engagement Survey'!A483:D1952,4,FALSE)</f>
        <v>4</v>
      </c>
      <c r="AH614">
        <f>VLOOKUP(A614,'Employee Engagement Survey'!A483:E1952,5,FALSE)</f>
        <v>3</v>
      </c>
      <c r="AI614">
        <f t="shared" si="52"/>
        <v>3</v>
      </c>
    </row>
    <row r="615" spans="1:35" hidden="1" x14ac:dyDescent="0.4">
      <c r="A615">
        <v>656</v>
      </c>
      <c r="B615" t="s">
        <v>34</v>
      </c>
      <c r="C615">
        <f t="shared" si="50"/>
        <v>1</v>
      </c>
      <c r="D615" t="s">
        <v>57</v>
      </c>
      <c r="E615">
        <f t="shared" si="51"/>
        <v>0</v>
      </c>
      <c r="F615" t="s">
        <v>40</v>
      </c>
      <c r="G615">
        <v>9</v>
      </c>
      <c r="H615" s="1">
        <v>127224</v>
      </c>
      <c r="I615" s="10">
        <v>0.11</v>
      </c>
      <c r="J615">
        <v>37.5</v>
      </c>
      <c r="K615" t="s">
        <v>26</v>
      </c>
      <c r="L615">
        <v>37</v>
      </c>
      <c r="M615" t="s">
        <v>29</v>
      </c>
      <c r="N615" t="s">
        <v>42</v>
      </c>
      <c r="O615" t="s">
        <v>31</v>
      </c>
      <c r="P615">
        <v>2</v>
      </c>
      <c r="Q615" t="s">
        <v>43</v>
      </c>
      <c r="R615" t="s">
        <v>56</v>
      </c>
      <c r="S615">
        <v>3</v>
      </c>
      <c r="T615">
        <v>1</v>
      </c>
      <c r="U615">
        <v>17</v>
      </c>
      <c r="V615">
        <v>3</v>
      </c>
      <c r="W615">
        <v>3</v>
      </c>
      <c r="X615">
        <v>0</v>
      </c>
      <c r="Y615">
        <v>1</v>
      </c>
      <c r="Z615">
        <v>0</v>
      </c>
      <c r="AA615" t="str">
        <f t="shared" si="53"/>
        <v>Mid Tenure</v>
      </c>
      <c r="AB615" s="5">
        <v>44670</v>
      </c>
      <c r="AC615">
        <f t="shared" si="54"/>
        <v>0</v>
      </c>
      <c r="AD615" t="s">
        <v>38</v>
      </c>
      <c r="AE615">
        <f>VLOOKUP(A615,'Employee Engagement Survey'!A484:B1953,2,FALSE)</f>
        <v>4</v>
      </c>
      <c r="AF615">
        <f>VLOOKUP(A615,'Employee Engagement Survey'!A484:C1953,3,FALSE)</f>
        <v>3</v>
      </c>
      <c r="AG615">
        <f>VLOOKUP(A615,'Employee Engagement Survey'!A484:D1953,4,FALSE)</f>
        <v>3</v>
      </c>
      <c r="AH615">
        <f>VLOOKUP(A615,'Employee Engagement Survey'!A484:E1953,5,FALSE)</f>
        <v>2</v>
      </c>
      <c r="AI615">
        <f t="shared" si="52"/>
        <v>3</v>
      </c>
    </row>
    <row r="616" spans="1:35" x14ac:dyDescent="0.4">
      <c r="A616">
        <v>661</v>
      </c>
      <c r="B616" t="s">
        <v>34</v>
      </c>
      <c r="C616">
        <f t="shared" si="50"/>
        <v>1</v>
      </c>
      <c r="D616" t="s">
        <v>60</v>
      </c>
      <c r="E616">
        <f t="shared" si="51"/>
        <v>1</v>
      </c>
      <c r="F616" t="s">
        <v>28</v>
      </c>
      <c r="G616">
        <v>4</v>
      </c>
      <c r="H616" s="1">
        <v>211524</v>
      </c>
      <c r="I616" s="10">
        <v>0.14000000000000001</v>
      </c>
      <c r="J616">
        <v>37.5</v>
      </c>
      <c r="K616" t="s">
        <v>26</v>
      </c>
      <c r="L616">
        <v>43</v>
      </c>
      <c r="M616" t="s">
        <v>29</v>
      </c>
      <c r="N616" t="s">
        <v>48</v>
      </c>
      <c r="O616" t="s">
        <v>31</v>
      </c>
      <c r="P616">
        <v>6</v>
      </c>
      <c r="Q616" t="s">
        <v>51</v>
      </c>
      <c r="R616" t="s">
        <v>53</v>
      </c>
      <c r="S616">
        <v>3</v>
      </c>
      <c r="T616">
        <v>1</v>
      </c>
      <c r="U616">
        <v>21</v>
      </c>
      <c r="V616">
        <v>3</v>
      </c>
      <c r="W616">
        <v>1</v>
      </c>
      <c r="X616">
        <v>0</v>
      </c>
      <c r="Y616">
        <v>0</v>
      </c>
      <c r="Z616">
        <v>0</v>
      </c>
      <c r="AA616" t="str">
        <f t="shared" si="53"/>
        <v>Early Tenure</v>
      </c>
      <c r="AB616" s="5">
        <v>45959</v>
      </c>
      <c r="AC616">
        <f t="shared" si="54"/>
        <v>1</v>
      </c>
      <c r="AD616" t="s">
        <v>49</v>
      </c>
      <c r="AE616">
        <f>VLOOKUP(A616,'Employee Engagement Survey'!A485:B1954,2,FALSE)</f>
        <v>2</v>
      </c>
      <c r="AF616">
        <f>VLOOKUP(A616,'Employee Engagement Survey'!A485:C1954,3,FALSE)</f>
        <v>4</v>
      </c>
      <c r="AG616">
        <f>VLOOKUP(A616,'Employee Engagement Survey'!A485:D1954,4,FALSE)</f>
        <v>3</v>
      </c>
      <c r="AH616">
        <f>VLOOKUP(A616,'Employee Engagement Survey'!A485:E1954,5,FALSE)</f>
        <v>2</v>
      </c>
      <c r="AI616">
        <f t="shared" si="52"/>
        <v>2.75</v>
      </c>
    </row>
    <row r="617" spans="1:35" hidden="1" x14ac:dyDescent="0.4">
      <c r="A617">
        <v>241</v>
      </c>
      <c r="B617" t="s">
        <v>34</v>
      </c>
      <c r="C617">
        <f t="shared" si="50"/>
        <v>1</v>
      </c>
      <c r="D617" t="s">
        <v>27</v>
      </c>
      <c r="E617">
        <f t="shared" si="51"/>
        <v>0</v>
      </c>
      <c r="F617" t="s">
        <v>28</v>
      </c>
      <c r="G617">
        <v>6</v>
      </c>
      <c r="H617" s="1">
        <v>63084</v>
      </c>
      <c r="I617" s="10">
        <v>0.18</v>
      </c>
      <c r="J617">
        <v>37.5</v>
      </c>
      <c r="K617" t="s">
        <v>26</v>
      </c>
      <c r="L617">
        <v>56</v>
      </c>
      <c r="M617" t="s">
        <v>47</v>
      </c>
      <c r="N617" t="s">
        <v>48</v>
      </c>
      <c r="O617" t="s">
        <v>31</v>
      </c>
      <c r="P617">
        <v>8</v>
      </c>
      <c r="Q617" t="s">
        <v>43</v>
      </c>
      <c r="R617" t="s">
        <v>37</v>
      </c>
      <c r="S617">
        <v>3</v>
      </c>
      <c r="T617">
        <v>1</v>
      </c>
      <c r="U617">
        <v>19</v>
      </c>
      <c r="V617">
        <v>3</v>
      </c>
      <c r="W617">
        <v>2</v>
      </c>
      <c r="X617">
        <v>2</v>
      </c>
      <c r="Y617">
        <v>2</v>
      </c>
      <c r="Z617">
        <v>2</v>
      </c>
      <c r="AA617" t="str">
        <f t="shared" si="53"/>
        <v>Early Tenure</v>
      </c>
      <c r="AB617" s="5">
        <v>44935</v>
      </c>
      <c r="AC617">
        <f t="shared" si="54"/>
        <v>0</v>
      </c>
      <c r="AD617" t="s">
        <v>38</v>
      </c>
      <c r="AE617">
        <f>VLOOKUP(A617,'Employee Engagement Survey'!A486:B1955,2,FALSE)</f>
        <v>3</v>
      </c>
      <c r="AF617">
        <f>VLOOKUP(A617,'Employee Engagement Survey'!A486:C1955,3,FALSE)</f>
        <v>1</v>
      </c>
      <c r="AG617">
        <f>VLOOKUP(A617,'Employee Engagement Survey'!A486:D1955,4,FALSE)</f>
        <v>3</v>
      </c>
      <c r="AH617">
        <f>VLOOKUP(A617,'Employee Engagement Survey'!A486:E1955,5,FALSE)</f>
        <v>3</v>
      </c>
      <c r="AI617">
        <f t="shared" si="52"/>
        <v>2.5</v>
      </c>
    </row>
    <row r="618" spans="1:35" hidden="1" x14ac:dyDescent="0.4">
      <c r="A618">
        <v>663</v>
      </c>
      <c r="B618" t="s">
        <v>34</v>
      </c>
      <c r="C618">
        <f t="shared" si="50"/>
        <v>1</v>
      </c>
      <c r="D618" t="s">
        <v>46</v>
      </c>
      <c r="E618">
        <f t="shared" si="51"/>
        <v>0</v>
      </c>
      <c r="F618" t="s">
        <v>28</v>
      </c>
      <c r="G618">
        <v>7</v>
      </c>
      <c r="H618" s="1">
        <v>80148</v>
      </c>
      <c r="I618" s="10">
        <v>0.13</v>
      </c>
      <c r="J618">
        <v>37.5</v>
      </c>
      <c r="K618" t="s">
        <v>26</v>
      </c>
      <c r="L618">
        <v>43</v>
      </c>
      <c r="M618" t="s">
        <v>29</v>
      </c>
      <c r="N618" t="s">
        <v>48</v>
      </c>
      <c r="O618" t="s">
        <v>44</v>
      </c>
      <c r="P618">
        <v>9</v>
      </c>
      <c r="Q618" t="s">
        <v>58</v>
      </c>
      <c r="R618" t="s">
        <v>33</v>
      </c>
      <c r="S618">
        <v>3</v>
      </c>
      <c r="T618">
        <v>1</v>
      </c>
      <c r="U618">
        <v>10</v>
      </c>
      <c r="V618">
        <v>3</v>
      </c>
      <c r="W618">
        <v>8</v>
      </c>
      <c r="X618">
        <v>7</v>
      </c>
      <c r="Y618">
        <v>4</v>
      </c>
      <c r="Z618">
        <v>7</v>
      </c>
      <c r="AA618" t="str">
        <f t="shared" si="53"/>
        <v>Mid Tenure</v>
      </c>
      <c r="AB618" s="5">
        <v>45867</v>
      </c>
      <c r="AC618">
        <f t="shared" si="54"/>
        <v>1</v>
      </c>
      <c r="AD618" t="s">
        <v>49</v>
      </c>
      <c r="AE618">
        <f>VLOOKUP(A618,'Employee Engagement Survey'!A487:B1956,2,FALSE)</f>
        <v>4</v>
      </c>
      <c r="AF618">
        <f>VLOOKUP(A618,'Employee Engagement Survey'!A487:C1956,3,FALSE)</f>
        <v>3</v>
      </c>
      <c r="AG618">
        <f>VLOOKUP(A618,'Employee Engagement Survey'!A487:D1956,4,FALSE)</f>
        <v>2</v>
      </c>
      <c r="AH618">
        <f>VLOOKUP(A618,'Employee Engagement Survey'!A487:E1956,5,FALSE)</f>
        <v>3</v>
      </c>
      <c r="AI618">
        <f t="shared" si="52"/>
        <v>3</v>
      </c>
    </row>
    <row r="619" spans="1:35" hidden="1" x14ac:dyDescent="0.4">
      <c r="A619">
        <v>507</v>
      </c>
      <c r="B619" t="s">
        <v>34</v>
      </c>
      <c r="C619">
        <f t="shared" si="50"/>
        <v>1</v>
      </c>
      <c r="D619" t="s">
        <v>57</v>
      </c>
      <c r="E619">
        <f t="shared" si="51"/>
        <v>0</v>
      </c>
      <c r="F619" t="s">
        <v>40</v>
      </c>
      <c r="G619">
        <v>6</v>
      </c>
      <c r="H619" s="1">
        <v>63120</v>
      </c>
      <c r="I619" s="10">
        <v>0.12</v>
      </c>
      <c r="J619">
        <v>37.5</v>
      </c>
      <c r="K619" t="s">
        <v>26</v>
      </c>
      <c r="L619">
        <v>24</v>
      </c>
      <c r="M619" t="s">
        <v>47</v>
      </c>
      <c r="N619" t="s">
        <v>48</v>
      </c>
      <c r="O619" t="s">
        <v>31</v>
      </c>
      <c r="P619">
        <v>10</v>
      </c>
      <c r="Q619" t="s">
        <v>51</v>
      </c>
      <c r="R619" t="s">
        <v>56</v>
      </c>
      <c r="S619">
        <v>3</v>
      </c>
      <c r="T619">
        <v>1</v>
      </c>
      <c r="U619">
        <v>5</v>
      </c>
      <c r="V619">
        <v>2</v>
      </c>
      <c r="W619">
        <v>5</v>
      </c>
      <c r="X619">
        <v>2</v>
      </c>
      <c r="Y619">
        <v>0</v>
      </c>
      <c r="Z619">
        <v>3</v>
      </c>
      <c r="AA619" t="str">
        <f t="shared" si="53"/>
        <v>Mid Tenure</v>
      </c>
      <c r="AB619" s="5">
        <v>44836</v>
      </c>
      <c r="AC619">
        <f t="shared" si="54"/>
        <v>0</v>
      </c>
      <c r="AD619" t="s">
        <v>49</v>
      </c>
      <c r="AE619">
        <f>VLOOKUP(A619,'Employee Engagement Survey'!A488:B1957,2,FALSE)</f>
        <v>4</v>
      </c>
      <c r="AF619">
        <f>VLOOKUP(A619,'Employee Engagement Survey'!A488:C1957,3,FALSE)</f>
        <v>3</v>
      </c>
      <c r="AG619">
        <f>VLOOKUP(A619,'Employee Engagement Survey'!A488:D1957,4,FALSE)</f>
        <v>4</v>
      </c>
      <c r="AH619">
        <f>VLOOKUP(A619,'Employee Engagement Survey'!A488:E1957,5,FALSE)</f>
        <v>4</v>
      </c>
      <c r="AI619">
        <f t="shared" si="52"/>
        <v>3.75</v>
      </c>
    </row>
    <row r="620" spans="1:35" hidden="1" x14ac:dyDescent="0.4">
      <c r="A620">
        <v>669</v>
      </c>
      <c r="B620" t="s">
        <v>34</v>
      </c>
      <c r="C620">
        <f t="shared" si="50"/>
        <v>1</v>
      </c>
      <c r="D620" t="s">
        <v>39</v>
      </c>
      <c r="E620">
        <f t="shared" si="51"/>
        <v>0</v>
      </c>
      <c r="F620" t="s">
        <v>40</v>
      </c>
      <c r="G620">
        <v>6</v>
      </c>
      <c r="H620" s="1">
        <v>65364</v>
      </c>
      <c r="I620" s="10">
        <v>0.11</v>
      </c>
      <c r="J620">
        <v>37.5</v>
      </c>
      <c r="K620" t="s">
        <v>34</v>
      </c>
      <c r="L620">
        <v>21</v>
      </c>
      <c r="M620" t="s">
        <v>29</v>
      </c>
      <c r="N620" t="s">
        <v>30</v>
      </c>
      <c r="O620" t="s">
        <v>31</v>
      </c>
      <c r="P620">
        <v>22</v>
      </c>
      <c r="Q620" t="s">
        <v>32</v>
      </c>
      <c r="R620" t="s">
        <v>45</v>
      </c>
      <c r="S620">
        <v>3</v>
      </c>
      <c r="T620">
        <v>0</v>
      </c>
      <c r="U620">
        <v>3</v>
      </c>
      <c r="V620">
        <v>2</v>
      </c>
      <c r="W620">
        <v>3</v>
      </c>
      <c r="X620">
        <v>2</v>
      </c>
      <c r="Y620">
        <v>1</v>
      </c>
      <c r="Z620">
        <v>2</v>
      </c>
      <c r="AA620" t="str">
        <f t="shared" si="53"/>
        <v>Mid Tenure</v>
      </c>
      <c r="AB620" s="5">
        <v>45619</v>
      </c>
      <c r="AC620">
        <f t="shared" si="54"/>
        <v>1</v>
      </c>
      <c r="AD620" t="s">
        <v>38</v>
      </c>
      <c r="AE620">
        <f>VLOOKUP(A620,'Employee Engagement Survey'!A490:B1959,2,FALSE)</f>
        <v>3</v>
      </c>
      <c r="AF620">
        <f>VLOOKUP(A620,'Employee Engagement Survey'!A490:C1959,3,FALSE)</f>
        <v>3</v>
      </c>
      <c r="AG620">
        <f>VLOOKUP(A620,'Employee Engagement Survey'!A490:D1959,4,FALSE)</f>
        <v>3</v>
      </c>
      <c r="AH620">
        <f>VLOOKUP(A620,'Employee Engagement Survey'!A490:E1959,5,FALSE)</f>
        <v>3</v>
      </c>
      <c r="AI620">
        <f t="shared" si="52"/>
        <v>3</v>
      </c>
    </row>
    <row r="621" spans="1:35" hidden="1" x14ac:dyDescent="0.4">
      <c r="A621">
        <v>797</v>
      </c>
      <c r="B621" t="s">
        <v>34</v>
      </c>
      <c r="C621">
        <f t="shared" si="50"/>
        <v>1</v>
      </c>
      <c r="D621" t="s">
        <v>27</v>
      </c>
      <c r="E621">
        <f t="shared" si="51"/>
        <v>0</v>
      </c>
      <c r="F621" t="s">
        <v>28</v>
      </c>
      <c r="G621">
        <v>6</v>
      </c>
      <c r="H621" s="1">
        <v>63360</v>
      </c>
      <c r="I621" s="10">
        <v>0.16</v>
      </c>
      <c r="J621">
        <v>37.5</v>
      </c>
      <c r="K621" t="s">
        <v>34</v>
      </c>
      <c r="L621">
        <v>34</v>
      </c>
      <c r="M621" t="s">
        <v>47</v>
      </c>
      <c r="N621" t="s">
        <v>30</v>
      </c>
      <c r="O621" t="s">
        <v>31</v>
      </c>
      <c r="P621">
        <v>1</v>
      </c>
      <c r="Q621" t="s">
        <v>51</v>
      </c>
      <c r="R621" t="s">
        <v>37</v>
      </c>
      <c r="S621">
        <v>3</v>
      </c>
      <c r="T621">
        <v>0</v>
      </c>
      <c r="U621">
        <v>10</v>
      </c>
      <c r="V621">
        <v>2</v>
      </c>
      <c r="W621">
        <v>4</v>
      </c>
      <c r="X621">
        <v>2</v>
      </c>
      <c r="Y621">
        <v>1</v>
      </c>
      <c r="Z621">
        <v>3</v>
      </c>
      <c r="AA621" t="str">
        <f t="shared" si="53"/>
        <v>Mid Tenure</v>
      </c>
      <c r="AB621" s="5">
        <v>44599</v>
      </c>
      <c r="AC621">
        <f t="shared" si="54"/>
        <v>0</v>
      </c>
      <c r="AD621" t="s">
        <v>49</v>
      </c>
      <c r="AE621">
        <f>VLOOKUP(A621,'Employee Engagement Survey'!A491:B1960,2,FALSE)</f>
        <v>2</v>
      </c>
      <c r="AF621">
        <f>VLOOKUP(A621,'Employee Engagement Survey'!A491:C1960,3,FALSE)</f>
        <v>4</v>
      </c>
      <c r="AG621">
        <f>VLOOKUP(A621,'Employee Engagement Survey'!A491:D1960,4,FALSE)</f>
        <v>3</v>
      </c>
      <c r="AH621">
        <f>VLOOKUP(A621,'Employee Engagement Survey'!A491:E1960,5,FALSE)</f>
        <v>3</v>
      </c>
      <c r="AI621">
        <f t="shared" si="52"/>
        <v>3</v>
      </c>
    </row>
    <row r="622" spans="1:35" x14ac:dyDescent="0.4">
      <c r="A622">
        <v>671</v>
      </c>
      <c r="B622" t="s">
        <v>34</v>
      </c>
      <c r="C622">
        <f t="shared" si="50"/>
        <v>1</v>
      </c>
      <c r="D622" t="s">
        <v>109</v>
      </c>
      <c r="E622">
        <f t="shared" si="51"/>
        <v>1</v>
      </c>
      <c r="F622" t="s">
        <v>28</v>
      </c>
      <c r="G622">
        <v>5</v>
      </c>
      <c r="H622" s="1">
        <v>246156</v>
      </c>
      <c r="I622" s="10">
        <v>0.12</v>
      </c>
      <c r="J622">
        <v>37.5</v>
      </c>
      <c r="K622" t="s">
        <v>26</v>
      </c>
      <c r="L622">
        <v>44</v>
      </c>
      <c r="M622" t="s">
        <v>29</v>
      </c>
      <c r="N622" t="s">
        <v>42</v>
      </c>
      <c r="O622" t="s">
        <v>31</v>
      </c>
      <c r="P622">
        <v>3</v>
      </c>
      <c r="Q622" t="s">
        <v>51</v>
      </c>
      <c r="R622" t="s">
        <v>53</v>
      </c>
      <c r="S622">
        <v>3</v>
      </c>
      <c r="T622">
        <v>1</v>
      </c>
      <c r="U622">
        <v>26</v>
      </c>
      <c r="V622">
        <v>2</v>
      </c>
      <c r="W622">
        <v>2</v>
      </c>
      <c r="X622">
        <v>2</v>
      </c>
      <c r="Y622">
        <v>0</v>
      </c>
      <c r="Z622">
        <v>1</v>
      </c>
      <c r="AA622" t="str">
        <f t="shared" si="53"/>
        <v>Early Tenure</v>
      </c>
      <c r="AB622" s="5">
        <v>45990</v>
      </c>
      <c r="AC622">
        <f t="shared" si="54"/>
        <v>1</v>
      </c>
      <c r="AD622" t="s">
        <v>38</v>
      </c>
      <c r="AE622">
        <f>VLOOKUP(A622,'Employee Engagement Survey'!A492:B1961,2,FALSE)</f>
        <v>4</v>
      </c>
      <c r="AF622">
        <f>VLOOKUP(A622,'Employee Engagement Survey'!A492:C1961,3,FALSE)</f>
        <v>4</v>
      </c>
      <c r="AG622">
        <f>VLOOKUP(A622,'Employee Engagement Survey'!A492:D1961,4,FALSE)</f>
        <v>1</v>
      </c>
      <c r="AH622">
        <f>VLOOKUP(A622,'Employee Engagement Survey'!A492:E1961,5,FALSE)</f>
        <v>4</v>
      </c>
      <c r="AI622">
        <f t="shared" si="52"/>
        <v>3.25</v>
      </c>
    </row>
    <row r="623" spans="1:35" hidden="1" x14ac:dyDescent="0.4">
      <c r="A623">
        <v>675</v>
      </c>
      <c r="B623" t="s">
        <v>34</v>
      </c>
      <c r="C623">
        <f t="shared" si="50"/>
        <v>1</v>
      </c>
      <c r="D623" t="s">
        <v>27</v>
      </c>
      <c r="E623">
        <f t="shared" si="51"/>
        <v>0</v>
      </c>
      <c r="F623" t="s">
        <v>28</v>
      </c>
      <c r="G623">
        <v>5</v>
      </c>
      <c r="H623" s="1">
        <v>57276</v>
      </c>
      <c r="I623" s="10">
        <v>0.2</v>
      </c>
      <c r="J623">
        <v>37.5</v>
      </c>
      <c r="K623" t="s">
        <v>34</v>
      </c>
      <c r="L623">
        <v>22</v>
      </c>
      <c r="M623" t="s">
        <v>29</v>
      </c>
      <c r="N623" t="s">
        <v>42</v>
      </c>
      <c r="O623" t="s">
        <v>31</v>
      </c>
      <c r="P623">
        <v>6</v>
      </c>
      <c r="Q623" t="s">
        <v>32</v>
      </c>
      <c r="R623" t="s">
        <v>33</v>
      </c>
      <c r="S623">
        <v>4</v>
      </c>
      <c r="T623">
        <v>0</v>
      </c>
      <c r="U623">
        <v>3</v>
      </c>
      <c r="V623">
        <v>3</v>
      </c>
      <c r="W623">
        <v>2</v>
      </c>
      <c r="X623">
        <v>2</v>
      </c>
      <c r="Y623">
        <v>2</v>
      </c>
      <c r="Z623">
        <v>2</v>
      </c>
      <c r="AA623" t="str">
        <f t="shared" si="53"/>
        <v>Early Tenure</v>
      </c>
      <c r="AB623" s="5">
        <v>45278</v>
      </c>
      <c r="AC623">
        <f t="shared" si="54"/>
        <v>0</v>
      </c>
      <c r="AD623" t="s">
        <v>49</v>
      </c>
      <c r="AE623">
        <f>VLOOKUP(A623,'Employee Engagement Survey'!A493:B1962,2,FALSE)</f>
        <v>1</v>
      </c>
      <c r="AF623">
        <f>VLOOKUP(A623,'Employee Engagement Survey'!A493:C1962,3,FALSE)</f>
        <v>3</v>
      </c>
      <c r="AG623">
        <f>VLOOKUP(A623,'Employee Engagement Survey'!A493:D1962,4,FALSE)</f>
        <v>4</v>
      </c>
      <c r="AH623">
        <f>VLOOKUP(A623,'Employee Engagement Survey'!A493:E1962,5,FALSE)</f>
        <v>3</v>
      </c>
      <c r="AI623">
        <f t="shared" si="52"/>
        <v>2.75</v>
      </c>
    </row>
    <row r="624" spans="1:35" hidden="1" x14ac:dyDescent="0.4">
      <c r="A624">
        <v>677</v>
      </c>
      <c r="B624" t="s">
        <v>34</v>
      </c>
      <c r="C624">
        <f t="shared" si="50"/>
        <v>1</v>
      </c>
      <c r="D624" t="s">
        <v>57</v>
      </c>
      <c r="E624">
        <f t="shared" si="51"/>
        <v>0</v>
      </c>
      <c r="F624" t="s">
        <v>40</v>
      </c>
      <c r="G624">
        <v>8</v>
      </c>
      <c r="H624" s="1">
        <v>97248</v>
      </c>
      <c r="I624" s="10">
        <v>0.12</v>
      </c>
      <c r="J624">
        <v>37.5</v>
      </c>
      <c r="K624" t="s">
        <v>34</v>
      </c>
      <c r="L624">
        <v>33</v>
      </c>
      <c r="M624" t="s">
        <v>29</v>
      </c>
      <c r="N624" t="s">
        <v>48</v>
      </c>
      <c r="O624" t="s">
        <v>31</v>
      </c>
      <c r="P624">
        <v>8</v>
      </c>
      <c r="Q624" t="s">
        <v>51</v>
      </c>
      <c r="R624" t="s">
        <v>56</v>
      </c>
      <c r="S624">
        <v>3</v>
      </c>
      <c r="T624">
        <v>0</v>
      </c>
      <c r="U624">
        <v>6</v>
      </c>
      <c r="V624">
        <v>3</v>
      </c>
      <c r="W624">
        <v>5</v>
      </c>
      <c r="X624">
        <v>0</v>
      </c>
      <c r="Y624">
        <v>1</v>
      </c>
      <c r="Z624">
        <v>2</v>
      </c>
      <c r="AA624" t="str">
        <f t="shared" si="53"/>
        <v>Mid Tenure</v>
      </c>
      <c r="AB624" s="5">
        <v>45554</v>
      </c>
      <c r="AC624">
        <f t="shared" si="54"/>
        <v>1</v>
      </c>
      <c r="AD624" t="s">
        <v>38</v>
      </c>
      <c r="AE624">
        <f>VLOOKUP(A624,'Employee Engagement Survey'!A494:B1963,2,FALSE)</f>
        <v>3</v>
      </c>
      <c r="AF624">
        <f>VLOOKUP(A624,'Employee Engagement Survey'!A494:C1963,3,FALSE)</f>
        <v>3</v>
      </c>
      <c r="AG624">
        <f>VLOOKUP(A624,'Employee Engagement Survey'!A494:D1963,4,FALSE)</f>
        <v>4</v>
      </c>
      <c r="AH624">
        <f>VLOOKUP(A624,'Employee Engagement Survey'!A494:E1963,5,FALSE)</f>
        <v>3</v>
      </c>
      <c r="AI624">
        <f t="shared" si="52"/>
        <v>3.25</v>
      </c>
    </row>
    <row r="625" spans="1:35" hidden="1" x14ac:dyDescent="0.4">
      <c r="A625">
        <v>1143</v>
      </c>
      <c r="B625" t="s">
        <v>34</v>
      </c>
      <c r="C625">
        <f t="shared" si="50"/>
        <v>1</v>
      </c>
      <c r="D625" t="s">
        <v>27</v>
      </c>
      <c r="E625">
        <f t="shared" si="51"/>
        <v>0</v>
      </c>
      <c r="F625" t="s">
        <v>28</v>
      </c>
      <c r="G625">
        <v>6</v>
      </c>
      <c r="H625" s="1">
        <v>63492</v>
      </c>
      <c r="I625" s="10">
        <v>0.14000000000000001</v>
      </c>
      <c r="J625">
        <v>37.5</v>
      </c>
      <c r="K625" t="s">
        <v>34</v>
      </c>
      <c r="L625">
        <v>29</v>
      </c>
      <c r="M625" t="s">
        <v>47</v>
      </c>
      <c r="N625" t="s">
        <v>48</v>
      </c>
      <c r="O625" t="s">
        <v>44</v>
      </c>
      <c r="P625">
        <v>10</v>
      </c>
      <c r="Q625" t="s">
        <v>43</v>
      </c>
      <c r="R625" t="s">
        <v>37</v>
      </c>
      <c r="S625">
        <v>3</v>
      </c>
      <c r="T625">
        <v>2</v>
      </c>
      <c r="U625">
        <v>8</v>
      </c>
      <c r="V625">
        <v>2</v>
      </c>
      <c r="W625">
        <v>7</v>
      </c>
      <c r="X625">
        <v>5</v>
      </c>
      <c r="Y625">
        <v>1</v>
      </c>
      <c r="Z625">
        <v>1</v>
      </c>
      <c r="AA625" t="str">
        <f t="shared" si="53"/>
        <v>Mid Tenure</v>
      </c>
      <c r="AB625" s="5">
        <v>45534</v>
      </c>
      <c r="AC625">
        <f t="shared" si="54"/>
        <v>1</v>
      </c>
      <c r="AD625" t="s">
        <v>38</v>
      </c>
      <c r="AE625">
        <f>VLOOKUP(A625,'Employee Engagement Survey'!A496:B1965,2,FALSE)</f>
        <v>4</v>
      </c>
      <c r="AF625">
        <f>VLOOKUP(A625,'Employee Engagement Survey'!A496:C1965,3,FALSE)</f>
        <v>2</v>
      </c>
      <c r="AG625">
        <f>VLOOKUP(A625,'Employee Engagement Survey'!A496:D1965,4,FALSE)</f>
        <v>4</v>
      </c>
      <c r="AH625">
        <f>VLOOKUP(A625,'Employee Engagement Survey'!A496:E1965,5,FALSE)</f>
        <v>2</v>
      </c>
      <c r="AI625">
        <f t="shared" si="52"/>
        <v>3</v>
      </c>
    </row>
    <row r="626" spans="1:35" hidden="1" x14ac:dyDescent="0.4">
      <c r="A626">
        <v>925</v>
      </c>
      <c r="B626" t="s">
        <v>34</v>
      </c>
      <c r="C626">
        <f t="shared" ref="C626:C689" si="55">IF(B626="No",1,0)</f>
        <v>1</v>
      </c>
      <c r="D626" t="s">
        <v>39</v>
      </c>
      <c r="E626">
        <f t="shared" si="51"/>
        <v>0</v>
      </c>
      <c r="F626" t="s">
        <v>40</v>
      </c>
      <c r="G626">
        <v>6</v>
      </c>
      <c r="H626" s="1">
        <v>63528</v>
      </c>
      <c r="I626" s="10">
        <v>0.18</v>
      </c>
      <c r="J626">
        <v>37.5</v>
      </c>
      <c r="K626" t="s">
        <v>26</v>
      </c>
      <c r="L626">
        <v>47</v>
      </c>
      <c r="M626" t="s">
        <v>47</v>
      </c>
      <c r="N626" t="s">
        <v>30</v>
      </c>
      <c r="O626" t="s">
        <v>31</v>
      </c>
      <c r="P626">
        <v>2</v>
      </c>
      <c r="Q626" t="s">
        <v>51</v>
      </c>
      <c r="R626" t="s">
        <v>37</v>
      </c>
      <c r="S626">
        <v>3</v>
      </c>
      <c r="T626">
        <v>0</v>
      </c>
      <c r="U626">
        <v>3</v>
      </c>
      <c r="V626">
        <v>3</v>
      </c>
      <c r="W626">
        <v>3</v>
      </c>
      <c r="X626">
        <v>2</v>
      </c>
      <c r="Y626">
        <v>1</v>
      </c>
      <c r="Z626">
        <v>2</v>
      </c>
      <c r="AA626" t="str">
        <f t="shared" si="53"/>
        <v>Mid Tenure</v>
      </c>
      <c r="AB626" s="5">
        <v>45219</v>
      </c>
      <c r="AC626">
        <f t="shared" si="54"/>
        <v>0</v>
      </c>
      <c r="AD626" t="s">
        <v>49</v>
      </c>
      <c r="AE626">
        <f>VLOOKUP(A626,'Employee Engagement Survey'!A497:B1966,2,FALSE)</f>
        <v>4</v>
      </c>
      <c r="AF626">
        <f>VLOOKUP(A626,'Employee Engagement Survey'!A497:C1966,3,FALSE)</f>
        <v>4</v>
      </c>
      <c r="AG626">
        <f>VLOOKUP(A626,'Employee Engagement Survey'!A497:D1966,4,FALSE)</f>
        <v>1</v>
      </c>
      <c r="AH626">
        <f>VLOOKUP(A626,'Employee Engagement Survey'!A497:E1966,5,FALSE)</f>
        <v>2</v>
      </c>
      <c r="AI626">
        <f t="shared" si="52"/>
        <v>2.75</v>
      </c>
    </row>
    <row r="627" spans="1:35" hidden="1" x14ac:dyDescent="0.4">
      <c r="A627">
        <v>1447</v>
      </c>
      <c r="B627" t="s">
        <v>34</v>
      </c>
      <c r="C627">
        <f t="shared" si="55"/>
        <v>1</v>
      </c>
      <c r="D627" t="s">
        <v>46</v>
      </c>
      <c r="E627">
        <f t="shared" si="51"/>
        <v>0</v>
      </c>
      <c r="F627" t="s">
        <v>28</v>
      </c>
      <c r="G627">
        <v>6</v>
      </c>
      <c r="H627" s="1">
        <v>63528</v>
      </c>
      <c r="I627" s="10">
        <v>0.17</v>
      </c>
      <c r="J627">
        <v>37.5</v>
      </c>
      <c r="K627" t="s">
        <v>34</v>
      </c>
      <c r="L627">
        <v>34</v>
      </c>
      <c r="M627" t="s">
        <v>47</v>
      </c>
      <c r="N627" t="s">
        <v>42</v>
      </c>
      <c r="O627" t="s">
        <v>31</v>
      </c>
      <c r="P627">
        <v>1</v>
      </c>
      <c r="Q627" t="s">
        <v>43</v>
      </c>
      <c r="R627" t="s">
        <v>37</v>
      </c>
      <c r="S627">
        <v>3</v>
      </c>
      <c r="T627">
        <v>1</v>
      </c>
      <c r="U627">
        <v>7</v>
      </c>
      <c r="V627">
        <v>2</v>
      </c>
      <c r="W627">
        <v>5</v>
      </c>
      <c r="X627">
        <v>4</v>
      </c>
      <c r="Y627">
        <v>0</v>
      </c>
      <c r="Z627">
        <v>2</v>
      </c>
      <c r="AA627" t="str">
        <f t="shared" si="53"/>
        <v>Mid Tenure</v>
      </c>
      <c r="AB627" s="5">
        <v>45157</v>
      </c>
      <c r="AC627">
        <f t="shared" si="54"/>
        <v>0</v>
      </c>
      <c r="AD627" t="s">
        <v>49</v>
      </c>
      <c r="AE627">
        <f>VLOOKUP(A627,'Employee Engagement Survey'!A498:B1967,2,FALSE)</f>
        <v>4</v>
      </c>
      <c r="AF627">
        <f>VLOOKUP(A627,'Employee Engagement Survey'!A498:C1967,3,FALSE)</f>
        <v>2</v>
      </c>
      <c r="AG627">
        <f>VLOOKUP(A627,'Employee Engagement Survey'!A498:D1967,4,FALSE)</f>
        <v>1</v>
      </c>
      <c r="AH627">
        <f>VLOOKUP(A627,'Employee Engagement Survey'!A498:E1967,5,FALSE)</f>
        <v>2</v>
      </c>
      <c r="AI627">
        <f t="shared" si="52"/>
        <v>2.25</v>
      </c>
    </row>
    <row r="628" spans="1:35" hidden="1" x14ac:dyDescent="0.4">
      <c r="A628">
        <v>683</v>
      </c>
      <c r="B628" t="s">
        <v>34</v>
      </c>
      <c r="C628">
        <f t="shared" si="55"/>
        <v>1</v>
      </c>
      <c r="D628" t="s">
        <v>27</v>
      </c>
      <c r="E628">
        <f t="shared" si="51"/>
        <v>0</v>
      </c>
      <c r="F628" t="s">
        <v>28</v>
      </c>
      <c r="G628">
        <v>5</v>
      </c>
      <c r="H628" s="1">
        <v>56292</v>
      </c>
      <c r="I628" s="10">
        <v>0.12</v>
      </c>
      <c r="J628">
        <v>37.5</v>
      </c>
      <c r="K628" t="s">
        <v>34</v>
      </c>
      <c r="L628">
        <v>34</v>
      </c>
      <c r="M628" t="s">
        <v>29</v>
      </c>
      <c r="N628" t="s">
        <v>42</v>
      </c>
      <c r="O628" t="s">
        <v>31</v>
      </c>
      <c r="P628">
        <v>1</v>
      </c>
      <c r="Q628" t="s">
        <v>58</v>
      </c>
      <c r="R628" t="s">
        <v>37</v>
      </c>
      <c r="S628">
        <v>3</v>
      </c>
      <c r="T628">
        <v>1</v>
      </c>
      <c r="U628">
        <v>10</v>
      </c>
      <c r="V628">
        <v>4</v>
      </c>
      <c r="W628">
        <v>10</v>
      </c>
      <c r="X628">
        <v>9</v>
      </c>
      <c r="Y628">
        <v>8</v>
      </c>
      <c r="Z628">
        <v>8</v>
      </c>
      <c r="AA628" t="str">
        <f t="shared" si="53"/>
        <v>Long Tenure</v>
      </c>
      <c r="AB628" s="5">
        <v>45389</v>
      </c>
      <c r="AC628">
        <f t="shared" si="54"/>
        <v>1</v>
      </c>
      <c r="AD628" t="s">
        <v>49</v>
      </c>
      <c r="AE628">
        <f>VLOOKUP(A628,'Employee Engagement Survey'!A499:B1968,2,FALSE)</f>
        <v>2</v>
      </c>
      <c r="AF628">
        <f>VLOOKUP(A628,'Employee Engagement Survey'!A499:C1968,3,FALSE)</f>
        <v>4</v>
      </c>
      <c r="AG628">
        <f>VLOOKUP(A628,'Employee Engagement Survey'!A499:D1968,4,FALSE)</f>
        <v>4</v>
      </c>
      <c r="AH628">
        <f>VLOOKUP(A628,'Employee Engagement Survey'!A499:E1968,5,FALSE)</f>
        <v>2</v>
      </c>
      <c r="AI628">
        <f t="shared" si="52"/>
        <v>3</v>
      </c>
    </row>
    <row r="629" spans="1:35" hidden="1" x14ac:dyDescent="0.4">
      <c r="A629">
        <v>1735</v>
      </c>
      <c r="B629" t="s">
        <v>34</v>
      </c>
      <c r="C629">
        <f t="shared" si="55"/>
        <v>1</v>
      </c>
      <c r="D629" t="s">
        <v>46</v>
      </c>
      <c r="E629">
        <f t="shared" si="51"/>
        <v>0</v>
      </c>
      <c r="F629" t="s">
        <v>28</v>
      </c>
      <c r="G629">
        <v>6</v>
      </c>
      <c r="H629" s="1">
        <v>63540</v>
      </c>
      <c r="I629" s="10">
        <v>0.13</v>
      </c>
      <c r="J629">
        <v>37.5</v>
      </c>
      <c r="K629" t="s">
        <v>34</v>
      </c>
      <c r="L629">
        <v>23</v>
      </c>
      <c r="M629" t="s">
        <v>47</v>
      </c>
      <c r="N629" t="s">
        <v>30</v>
      </c>
      <c r="O629" t="s">
        <v>31</v>
      </c>
      <c r="P629">
        <v>4</v>
      </c>
      <c r="Q629" t="s">
        <v>32</v>
      </c>
      <c r="R629" t="s">
        <v>33</v>
      </c>
      <c r="S629">
        <v>3</v>
      </c>
      <c r="T629">
        <v>0</v>
      </c>
      <c r="U629">
        <v>3</v>
      </c>
      <c r="V629">
        <v>3</v>
      </c>
      <c r="W629">
        <v>3</v>
      </c>
      <c r="X629">
        <v>2</v>
      </c>
      <c r="Y629">
        <v>1</v>
      </c>
      <c r="Z629">
        <v>2</v>
      </c>
      <c r="AA629" t="str">
        <f t="shared" si="53"/>
        <v>Mid Tenure</v>
      </c>
      <c r="AB629" s="5">
        <v>44716</v>
      </c>
      <c r="AC629">
        <f t="shared" si="54"/>
        <v>0</v>
      </c>
      <c r="AD629" t="s">
        <v>38</v>
      </c>
      <c r="AE629">
        <f>VLOOKUP(A629,'Employee Engagement Survey'!A500:B1969,2,FALSE)</f>
        <v>3</v>
      </c>
      <c r="AF629">
        <f>VLOOKUP(A629,'Employee Engagement Survey'!A500:C1969,3,FALSE)</f>
        <v>2</v>
      </c>
      <c r="AG629">
        <f>VLOOKUP(A629,'Employee Engagement Survey'!A500:D1969,4,FALSE)</f>
        <v>3</v>
      </c>
      <c r="AH629">
        <f>VLOOKUP(A629,'Employee Engagement Survey'!A500:E1969,5,FALSE)</f>
        <v>1</v>
      </c>
      <c r="AI629">
        <f t="shared" si="52"/>
        <v>2.25</v>
      </c>
    </row>
    <row r="630" spans="1:35" hidden="1" x14ac:dyDescent="0.4">
      <c r="A630">
        <v>689</v>
      </c>
      <c r="B630" t="s">
        <v>34</v>
      </c>
      <c r="C630">
        <f t="shared" si="55"/>
        <v>1</v>
      </c>
      <c r="D630" t="s">
        <v>54</v>
      </c>
      <c r="E630">
        <f t="shared" si="51"/>
        <v>1</v>
      </c>
      <c r="F630" t="s">
        <v>28</v>
      </c>
      <c r="G630">
        <v>9</v>
      </c>
      <c r="H630" s="1">
        <v>125208</v>
      </c>
      <c r="I630" s="10">
        <v>0.15</v>
      </c>
      <c r="J630">
        <v>37.5</v>
      </c>
      <c r="K630" t="s">
        <v>34</v>
      </c>
      <c r="L630">
        <v>37</v>
      </c>
      <c r="M630" t="s">
        <v>29</v>
      </c>
      <c r="N630" t="s">
        <v>42</v>
      </c>
      <c r="O630" t="s">
        <v>31</v>
      </c>
      <c r="P630">
        <v>3</v>
      </c>
      <c r="Q630" t="s">
        <v>43</v>
      </c>
      <c r="R630" t="s">
        <v>53</v>
      </c>
      <c r="S630">
        <v>3</v>
      </c>
      <c r="T630">
        <v>1</v>
      </c>
      <c r="U630">
        <v>10</v>
      </c>
      <c r="V630">
        <v>2</v>
      </c>
      <c r="W630">
        <v>10</v>
      </c>
      <c r="X630">
        <v>7</v>
      </c>
      <c r="Y630">
        <v>7</v>
      </c>
      <c r="Z630">
        <v>8</v>
      </c>
      <c r="AA630" t="str">
        <f t="shared" si="53"/>
        <v>Long Tenure</v>
      </c>
      <c r="AB630" s="5">
        <v>45060</v>
      </c>
      <c r="AC630">
        <f t="shared" si="54"/>
        <v>0</v>
      </c>
      <c r="AD630" t="s">
        <v>38</v>
      </c>
      <c r="AE630">
        <f>VLOOKUP(A630,'Employee Engagement Survey'!A501:B1970,2,FALSE)</f>
        <v>3</v>
      </c>
      <c r="AF630">
        <f>VLOOKUP(A630,'Employee Engagement Survey'!A501:C1970,3,FALSE)</f>
        <v>3</v>
      </c>
      <c r="AG630">
        <f>VLOOKUP(A630,'Employee Engagement Survey'!A501:D1970,4,FALSE)</f>
        <v>3</v>
      </c>
      <c r="AH630">
        <f>VLOOKUP(A630,'Employee Engagement Survey'!A501:E1970,5,FALSE)</f>
        <v>3</v>
      </c>
      <c r="AI630">
        <f t="shared" si="52"/>
        <v>3</v>
      </c>
    </row>
    <row r="631" spans="1:35" hidden="1" x14ac:dyDescent="0.4">
      <c r="A631">
        <v>691</v>
      </c>
      <c r="B631" t="s">
        <v>34</v>
      </c>
      <c r="C631">
        <f t="shared" si="55"/>
        <v>1</v>
      </c>
      <c r="D631" t="s">
        <v>27</v>
      </c>
      <c r="E631">
        <f t="shared" si="51"/>
        <v>0</v>
      </c>
      <c r="F631" t="s">
        <v>28</v>
      </c>
      <c r="G631">
        <v>8</v>
      </c>
      <c r="H631" s="1">
        <v>91752</v>
      </c>
      <c r="I631" s="10">
        <v>0.13</v>
      </c>
      <c r="J631">
        <v>37.5</v>
      </c>
      <c r="K631" t="s">
        <v>34</v>
      </c>
      <c r="L631">
        <v>35</v>
      </c>
      <c r="M631" t="s">
        <v>29</v>
      </c>
      <c r="N631" t="s">
        <v>30</v>
      </c>
      <c r="O631" t="s">
        <v>31</v>
      </c>
      <c r="P631">
        <v>6</v>
      </c>
      <c r="Q631" t="s">
        <v>51</v>
      </c>
      <c r="R631" t="s">
        <v>37</v>
      </c>
      <c r="S631">
        <v>3</v>
      </c>
      <c r="T631">
        <v>0</v>
      </c>
      <c r="U631">
        <v>17</v>
      </c>
      <c r="V631">
        <v>3</v>
      </c>
      <c r="W631">
        <v>17</v>
      </c>
      <c r="X631">
        <v>11</v>
      </c>
      <c r="Y631">
        <v>11</v>
      </c>
      <c r="Z631">
        <v>8</v>
      </c>
      <c r="AA631" t="str">
        <f t="shared" si="53"/>
        <v>Long Tenure</v>
      </c>
      <c r="AB631" s="5">
        <v>44947</v>
      </c>
      <c r="AC631">
        <f t="shared" si="54"/>
        <v>0</v>
      </c>
      <c r="AD631" t="s">
        <v>49</v>
      </c>
      <c r="AE631">
        <f>VLOOKUP(A631,'Employee Engagement Survey'!A502:B1971,2,FALSE)</f>
        <v>2</v>
      </c>
      <c r="AF631">
        <f>VLOOKUP(A631,'Employee Engagement Survey'!A502:C1971,3,FALSE)</f>
        <v>4</v>
      </c>
      <c r="AG631">
        <f>VLOOKUP(A631,'Employee Engagement Survey'!A502:D1971,4,FALSE)</f>
        <v>2</v>
      </c>
      <c r="AH631">
        <f>VLOOKUP(A631,'Employee Engagement Survey'!A502:E1971,5,FALSE)</f>
        <v>3</v>
      </c>
      <c r="AI631">
        <f t="shared" si="52"/>
        <v>2.75</v>
      </c>
    </row>
    <row r="632" spans="1:35" hidden="1" x14ac:dyDescent="0.4">
      <c r="A632">
        <v>1114</v>
      </c>
      <c r="B632" t="s">
        <v>34</v>
      </c>
      <c r="C632">
        <f t="shared" si="55"/>
        <v>1</v>
      </c>
      <c r="D632" t="s">
        <v>57</v>
      </c>
      <c r="E632">
        <f t="shared" si="51"/>
        <v>0</v>
      </c>
      <c r="F632" t="s">
        <v>40</v>
      </c>
      <c r="G632">
        <v>6</v>
      </c>
      <c r="H632" s="1">
        <v>63624</v>
      </c>
      <c r="I632" s="10">
        <v>0.17</v>
      </c>
      <c r="J632">
        <v>37.5</v>
      </c>
      <c r="K632" t="s">
        <v>34</v>
      </c>
      <c r="L632">
        <v>33</v>
      </c>
      <c r="M632" t="s">
        <v>47</v>
      </c>
      <c r="N632" t="s">
        <v>42</v>
      </c>
      <c r="O632" t="s">
        <v>44</v>
      </c>
      <c r="P632">
        <v>7</v>
      </c>
      <c r="Q632" t="s">
        <v>43</v>
      </c>
      <c r="R632" t="s">
        <v>37</v>
      </c>
      <c r="S632">
        <v>3</v>
      </c>
      <c r="T632">
        <v>1</v>
      </c>
      <c r="U632">
        <v>4</v>
      </c>
      <c r="V632">
        <v>3</v>
      </c>
      <c r="W632">
        <v>3</v>
      </c>
      <c r="X632">
        <v>2</v>
      </c>
      <c r="Y632">
        <v>0</v>
      </c>
      <c r="Z632">
        <v>2</v>
      </c>
      <c r="AA632" t="str">
        <f t="shared" si="53"/>
        <v>Mid Tenure</v>
      </c>
      <c r="AB632" s="5">
        <v>45815</v>
      </c>
      <c r="AC632">
        <f t="shared" si="54"/>
        <v>1</v>
      </c>
      <c r="AD632" t="s">
        <v>38</v>
      </c>
      <c r="AE632">
        <f>VLOOKUP(A632,'Employee Engagement Survey'!A503:B1972,2,FALSE)</f>
        <v>4</v>
      </c>
      <c r="AF632">
        <f>VLOOKUP(A632,'Employee Engagement Survey'!A503:C1972,3,FALSE)</f>
        <v>2</v>
      </c>
      <c r="AG632">
        <f>VLOOKUP(A632,'Employee Engagement Survey'!A503:D1972,4,FALSE)</f>
        <v>3</v>
      </c>
      <c r="AH632">
        <f>VLOOKUP(A632,'Employee Engagement Survey'!A503:E1972,5,FALSE)</f>
        <v>3</v>
      </c>
      <c r="AI632">
        <f t="shared" si="52"/>
        <v>3</v>
      </c>
    </row>
    <row r="633" spans="1:35" hidden="1" x14ac:dyDescent="0.4">
      <c r="A633">
        <v>1687</v>
      </c>
      <c r="B633" t="s">
        <v>34</v>
      </c>
      <c r="C633">
        <f t="shared" si="55"/>
        <v>1</v>
      </c>
      <c r="D633" t="s">
        <v>46</v>
      </c>
      <c r="E633">
        <f t="shared" si="51"/>
        <v>0</v>
      </c>
      <c r="F633" t="s">
        <v>28</v>
      </c>
      <c r="G633">
        <v>6</v>
      </c>
      <c r="H633" s="1">
        <v>63672</v>
      </c>
      <c r="I633" s="10">
        <v>0.19</v>
      </c>
      <c r="J633">
        <v>37.5</v>
      </c>
      <c r="K633" t="s">
        <v>34</v>
      </c>
      <c r="L633">
        <v>38</v>
      </c>
      <c r="M633" t="s">
        <v>47</v>
      </c>
      <c r="N633" t="s">
        <v>42</v>
      </c>
      <c r="O633" t="s">
        <v>31</v>
      </c>
      <c r="P633">
        <v>4</v>
      </c>
      <c r="Q633" t="s">
        <v>36</v>
      </c>
      <c r="R633" t="s">
        <v>33</v>
      </c>
      <c r="S633">
        <v>3</v>
      </c>
      <c r="T633">
        <v>1</v>
      </c>
      <c r="U633">
        <v>7</v>
      </c>
      <c r="V633">
        <v>5</v>
      </c>
      <c r="W633">
        <v>0</v>
      </c>
      <c r="X633">
        <v>0</v>
      </c>
      <c r="Y633">
        <v>0</v>
      </c>
      <c r="Z633">
        <v>0</v>
      </c>
      <c r="AA633" t="str">
        <f t="shared" si="53"/>
        <v>Early Tenure</v>
      </c>
      <c r="AB633" s="5">
        <v>44775</v>
      </c>
      <c r="AC633">
        <f t="shared" si="54"/>
        <v>0</v>
      </c>
      <c r="AD633" t="s">
        <v>38</v>
      </c>
      <c r="AE633">
        <f>VLOOKUP(A633,'Employee Engagement Survey'!A504:B1973,2,FALSE)</f>
        <v>4</v>
      </c>
      <c r="AF633">
        <f>VLOOKUP(A633,'Employee Engagement Survey'!A504:C1973,3,FALSE)</f>
        <v>3</v>
      </c>
      <c r="AG633">
        <f>VLOOKUP(A633,'Employee Engagement Survey'!A504:D1973,4,FALSE)</f>
        <v>4</v>
      </c>
      <c r="AH633">
        <f>VLOOKUP(A633,'Employee Engagement Survey'!A504:E1973,5,FALSE)</f>
        <v>2</v>
      </c>
      <c r="AI633">
        <f t="shared" si="52"/>
        <v>3.25</v>
      </c>
    </row>
    <row r="634" spans="1:35" hidden="1" x14ac:dyDescent="0.4">
      <c r="A634">
        <v>524</v>
      </c>
      <c r="B634" t="s">
        <v>34</v>
      </c>
      <c r="C634">
        <f t="shared" si="55"/>
        <v>1</v>
      </c>
      <c r="D634" t="s">
        <v>54</v>
      </c>
      <c r="E634">
        <f t="shared" si="51"/>
        <v>1</v>
      </c>
      <c r="F634" t="s">
        <v>28</v>
      </c>
      <c r="G634">
        <v>6</v>
      </c>
      <c r="H634" s="1">
        <v>63672</v>
      </c>
      <c r="I634" s="10">
        <v>0.12</v>
      </c>
      <c r="J634">
        <v>37.5</v>
      </c>
      <c r="K634" t="s">
        <v>34</v>
      </c>
      <c r="L634">
        <v>31</v>
      </c>
      <c r="M634" t="s">
        <v>47</v>
      </c>
      <c r="N634" t="s">
        <v>42</v>
      </c>
      <c r="O634" t="s">
        <v>31</v>
      </c>
      <c r="P634">
        <v>7</v>
      </c>
      <c r="Q634" t="s">
        <v>36</v>
      </c>
      <c r="R634" t="s">
        <v>33</v>
      </c>
      <c r="S634">
        <v>3</v>
      </c>
      <c r="T634">
        <v>1</v>
      </c>
      <c r="U634">
        <v>13</v>
      </c>
      <c r="V634">
        <v>5</v>
      </c>
      <c r="W634">
        <v>13</v>
      </c>
      <c r="X634">
        <v>10</v>
      </c>
      <c r="Y634">
        <v>3</v>
      </c>
      <c r="Z634">
        <v>12</v>
      </c>
      <c r="AA634" t="str">
        <f t="shared" si="53"/>
        <v>Long Tenure</v>
      </c>
      <c r="AB634" s="5">
        <v>44706</v>
      </c>
      <c r="AC634">
        <f t="shared" si="54"/>
        <v>0</v>
      </c>
      <c r="AD634" t="s">
        <v>49</v>
      </c>
      <c r="AE634">
        <f>VLOOKUP(A634,'Employee Engagement Survey'!A505:B1974,2,FALSE)</f>
        <v>2</v>
      </c>
      <c r="AF634">
        <f>VLOOKUP(A634,'Employee Engagement Survey'!A505:C1974,3,FALSE)</f>
        <v>1</v>
      </c>
      <c r="AG634">
        <f>VLOOKUP(A634,'Employee Engagement Survey'!A505:D1974,4,FALSE)</f>
        <v>2</v>
      </c>
      <c r="AH634">
        <f>VLOOKUP(A634,'Employee Engagement Survey'!A505:E1974,5,FALSE)</f>
        <v>1</v>
      </c>
      <c r="AI634">
        <f t="shared" si="52"/>
        <v>1.5</v>
      </c>
    </row>
    <row r="635" spans="1:35" hidden="1" x14ac:dyDescent="0.4">
      <c r="A635">
        <v>692</v>
      </c>
      <c r="B635" t="s">
        <v>34</v>
      </c>
      <c r="C635">
        <f t="shared" si="55"/>
        <v>1</v>
      </c>
      <c r="D635" t="s">
        <v>55</v>
      </c>
      <c r="E635">
        <f t="shared" si="51"/>
        <v>0</v>
      </c>
      <c r="F635" t="s">
        <v>28</v>
      </c>
      <c r="G635">
        <v>9</v>
      </c>
      <c r="H635" s="1">
        <v>104700</v>
      </c>
      <c r="I635" s="10">
        <v>0.23</v>
      </c>
      <c r="J635">
        <v>37.5</v>
      </c>
      <c r="K635" t="s">
        <v>34</v>
      </c>
      <c r="L635">
        <v>33</v>
      </c>
      <c r="M635" t="s">
        <v>29</v>
      </c>
      <c r="N635" t="s">
        <v>48</v>
      </c>
      <c r="O635" t="s">
        <v>44</v>
      </c>
      <c r="P635">
        <v>6</v>
      </c>
      <c r="Q635" t="s">
        <v>43</v>
      </c>
      <c r="R635" t="s">
        <v>37</v>
      </c>
      <c r="S635">
        <v>4</v>
      </c>
      <c r="T635">
        <v>1</v>
      </c>
      <c r="U635">
        <v>15</v>
      </c>
      <c r="V635">
        <v>2</v>
      </c>
      <c r="W635">
        <v>13</v>
      </c>
      <c r="X635">
        <v>11</v>
      </c>
      <c r="Y635">
        <v>4</v>
      </c>
      <c r="Z635">
        <v>7</v>
      </c>
      <c r="AA635" t="str">
        <f t="shared" si="53"/>
        <v>Long Tenure</v>
      </c>
      <c r="AB635" s="5">
        <v>45839</v>
      </c>
      <c r="AC635">
        <f t="shared" si="54"/>
        <v>1</v>
      </c>
      <c r="AD635" t="s">
        <v>49</v>
      </c>
      <c r="AE635">
        <f>VLOOKUP(A635,'Employee Engagement Survey'!A506:B1975,2,FALSE)</f>
        <v>3</v>
      </c>
      <c r="AF635">
        <f>VLOOKUP(A635,'Employee Engagement Survey'!A506:C1975,3,FALSE)</f>
        <v>4</v>
      </c>
      <c r="AG635">
        <f>VLOOKUP(A635,'Employee Engagement Survey'!A506:D1975,4,FALSE)</f>
        <v>3</v>
      </c>
      <c r="AH635">
        <f>VLOOKUP(A635,'Employee Engagement Survey'!A506:E1975,5,FALSE)</f>
        <v>1</v>
      </c>
      <c r="AI635">
        <f t="shared" si="52"/>
        <v>2.75</v>
      </c>
    </row>
    <row r="636" spans="1:35" hidden="1" x14ac:dyDescent="0.4">
      <c r="A636">
        <v>395</v>
      </c>
      <c r="B636" t="s">
        <v>34</v>
      </c>
      <c r="C636">
        <f t="shared" si="55"/>
        <v>1</v>
      </c>
      <c r="D636" t="s">
        <v>27</v>
      </c>
      <c r="E636">
        <f t="shared" si="51"/>
        <v>0</v>
      </c>
      <c r="F636" t="s">
        <v>28</v>
      </c>
      <c r="G636">
        <v>6</v>
      </c>
      <c r="H636" s="1">
        <v>63720</v>
      </c>
      <c r="I636" s="10">
        <v>0.21</v>
      </c>
      <c r="J636">
        <v>37.5</v>
      </c>
      <c r="K636" t="s">
        <v>34</v>
      </c>
      <c r="L636">
        <v>28</v>
      </c>
      <c r="M636" t="s">
        <v>47</v>
      </c>
      <c r="N636" t="s">
        <v>30</v>
      </c>
      <c r="O636" t="s">
        <v>31</v>
      </c>
      <c r="P636">
        <v>8</v>
      </c>
      <c r="Q636" t="s">
        <v>36</v>
      </c>
      <c r="R636" t="s">
        <v>37</v>
      </c>
      <c r="S636">
        <v>4</v>
      </c>
      <c r="T636">
        <v>0</v>
      </c>
      <c r="U636">
        <v>5</v>
      </c>
      <c r="V636">
        <v>3</v>
      </c>
      <c r="W636">
        <v>5</v>
      </c>
      <c r="X636">
        <v>3</v>
      </c>
      <c r="Y636">
        <v>0</v>
      </c>
      <c r="Z636">
        <v>2</v>
      </c>
      <c r="AA636" t="str">
        <f t="shared" si="53"/>
        <v>Mid Tenure</v>
      </c>
      <c r="AB636" s="5">
        <v>44792</v>
      </c>
      <c r="AC636">
        <f t="shared" si="54"/>
        <v>0</v>
      </c>
      <c r="AD636" t="s">
        <v>49</v>
      </c>
      <c r="AE636">
        <f>VLOOKUP(A636,'Employee Engagement Survey'!A507:B1976,2,FALSE)</f>
        <v>4</v>
      </c>
      <c r="AF636">
        <f>VLOOKUP(A636,'Employee Engagement Survey'!A507:C1976,3,FALSE)</f>
        <v>4</v>
      </c>
      <c r="AG636">
        <f>VLOOKUP(A636,'Employee Engagement Survey'!A507:D1976,4,FALSE)</f>
        <v>4</v>
      </c>
      <c r="AH636">
        <f>VLOOKUP(A636,'Employee Engagement Survey'!A507:E1976,5,FALSE)</f>
        <v>3</v>
      </c>
      <c r="AI636">
        <f t="shared" si="52"/>
        <v>3.75</v>
      </c>
    </row>
    <row r="637" spans="1:35" hidden="1" x14ac:dyDescent="0.4">
      <c r="A637">
        <v>1607</v>
      </c>
      <c r="B637" t="s">
        <v>34</v>
      </c>
      <c r="C637">
        <f t="shared" si="55"/>
        <v>1</v>
      </c>
      <c r="D637" t="s">
        <v>27</v>
      </c>
      <c r="E637">
        <f t="shared" si="51"/>
        <v>0</v>
      </c>
      <c r="F637" t="s">
        <v>28</v>
      </c>
      <c r="G637">
        <v>6</v>
      </c>
      <c r="H637" s="1">
        <v>63744</v>
      </c>
      <c r="I637" s="10">
        <v>0.17</v>
      </c>
      <c r="J637">
        <v>37.5</v>
      </c>
      <c r="K637" t="s">
        <v>34</v>
      </c>
      <c r="L637">
        <v>32</v>
      </c>
      <c r="M637" t="s">
        <v>47</v>
      </c>
      <c r="N637" t="s">
        <v>42</v>
      </c>
      <c r="O637" t="s">
        <v>31</v>
      </c>
      <c r="P637">
        <v>5</v>
      </c>
      <c r="Q637" t="s">
        <v>51</v>
      </c>
      <c r="R637" t="s">
        <v>53</v>
      </c>
      <c r="S637">
        <v>3</v>
      </c>
      <c r="T637">
        <v>2</v>
      </c>
      <c r="U637">
        <v>6</v>
      </c>
      <c r="V637">
        <v>3</v>
      </c>
      <c r="W637">
        <v>3</v>
      </c>
      <c r="X637">
        <v>2</v>
      </c>
      <c r="Y637">
        <v>0</v>
      </c>
      <c r="Z637">
        <v>2</v>
      </c>
      <c r="AA637" t="str">
        <f t="shared" si="53"/>
        <v>Mid Tenure</v>
      </c>
      <c r="AB637" s="5">
        <v>45322</v>
      </c>
      <c r="AC637">
        <f t="shared" si="54"/>
        <v>1</v>
      </c>
      <c r="AD637" t="s">
        <v>49</v>
      </c>
      <c r="AE637">
        <f>VLOOKUP(A637,'Employee Engagement Survey'!A508:B1977,2,FALSE)</f>
        <v>2</v>
      </c>
      <c r="AF637">
        <f>VLOOKUP(A637,'Employee Engagement Survey'!A508:C1977,3,FALSE)</f>
        <v>4</v>
      </c>
      <c r="AG637">
        <f>VLOOKUP(A637,'Employee Engagement Survey'!A508:D1977,4,FALSE)</f>
        <v>4</v>
      </c>
      <c r="AH637">
        <f>VLOOKUP(A637,'Employee Engagement Survey'!A508:E1977,5,FALSE)</f>
        <v>3</v>
      </c>
      <c r="AI637">
        <f t="shared" si="52"/>
        <v>3.25</v>
      </c>
    </row>
    <row r="638" spans="1:35" hidden="1" x14ac:dyDescent="0.4">
      <c r="A638">
        <v>698</v>
      </c>
      <c r="B638" t="s">
        <v>34</v>
      </c>
      <c r="C638">
        <f t="shared" si="55"/>
        <v>1</v>
      </c>
      <c r="D638" t="s">
        <v>106</v>
      </c>
      <c r="E638">
        <f t="shared" si="51"/>
        <v>0</v>
      </c>
      <c r="F638" t="s">
        <v>59</v>
      </c>
      <c r="G638">
        <v>10</v>
      </c>
      <c r="H638" s="1">
        <v>140700</v>
      </c>
      <c r="I638" s="10">
        <v>0.15</v>
      </c>
      <c r="J638">
        <v>37.5</v>
      </c>
      <c r="K638" t="s">
        <v>34</v>
      </c>
      <c r="L638">
        <v>54</v>
      </c>
      <c r="M638" t="s">
        <v>29</v>
      </c>
      <c r="N638" t="s">
        <v>42</v>
      </c>
      <c r="O638" t="s">
        <v>31</v>
      </c>
      <c r="P638">
        <v>19</v>
      </c>
      <c r="Q638" t="s">
        <v>51</v>
      </c>
      <c r="R638" t="s">
        <v>33</v>
      </c>
      <c r="S638">
        <v>3</v>
      </c>
      <c r="T638">
        <v>1</v>
      </c>
      <c r="U638">
        <v>16</v>
      </c>
      <c r="V638">
        <v>1</v>
      </c>
      <c r="W638">
        <v>9</v>
      </c>
      <c r="X638">
        <v>7</v>
      </c>
      <c r="Y638">
        <v>7</v>
      </c>
      <c r="Z638">
        <v>1</v>
      </c>
      <c r="AA638" t="str">
        <f t="shared" si="53"/>
        <v>Mid Tenure</v>
      </c>
      <c r="AB638" s="5">
        <v>45111</v>
      </c>
      <c r="AC638">
        <f t="shared" si="54"/>
        <v>0</v>
      </c>
      <c r="AD638" t="s">
        <v>49</v>
      </c>
      <c r="AE638">
        <f>VLOOKUP(A638,'Employee Engagement Survey'!A509:B1978,2,FALSE)</f>
        <v>3</v>
      </c>
      <c r="AF638">
        <f>VLOOKUP(A638,'Employee Engagement Survey'!A509:C1978,3,FALSE)</f>
        <v>2</v>
      </c>
      <c r="AG638">
        <f>VLOOKUP(A638,'Employee Engagement Survey'!A509:D1978,4,FALSE)</f>
        <v>3</v>
      </c>
      <c r="AH638">
        <f>VLOOKUP(A638,'Employee Engagement Survey'!A509:E1978,5,FALSE)</f>
        <v>4</v>
      </c>
      <c r="AI638">
        <f t="shared" si="52"/>
        <v>3</v>
      </c>
    </row>
    <row r="639" spans="1:35" hidden="1" x14ac:dyDescent="0.4">
      <c r="A639">
        <v>193</v>
      </c>
      <c r="B639" t="s">
        <v>34</v>
      </c>
      <c r="C639">
        <f t="shared" si="55"/>
        <v>1</v>
      </c>
      <c r="D639" t="s">
        <v>27</v>
      </c>
      <c r="E639">
        <f t="shared" si="51"/>
        <v>0</v>
      </c>
      <c r="F639" t="s">
        <v>28</v>
      </c>
      <c r="G639">
        <v>6</v>
      </c>
      <c r="H639" s="1">
        <v>63804</v>
      </c>
      <c r="I639" s="10">
        <v>0.2</v>
      </c>
      <c r="J639">
        <v>37.5</v>
      </c>
      <c r="K639" t="s">
        <v>26</v>
      </c>
      <c r="L639">
        <v>38</v>
      </c>
      <c r="M639" t="s">
        <v>47</v>
      </c>
      <c r="N639" t="s">
        <v>30</v>
      </c>
      <c r="O639" t="s">
        <v>31</v>
      </c>
      <c r="P639">
        <v>3</v>
      </c>
      <c r="Q639" t="s">
        <v>58</v>
      </c>
      <c r="R639" t="s">
        <v>45</v>
      </c>
      <c r="S639">
        <v>4</v>
      </c>
      <c r="T639">
        <v>0</v>
      </c>
      <c r="U639">
        <v>19</v>
      </c>
      <c r="V639">
        <v>2</v>
      </c>
      <c r="W639">
        <v>3</v>
      </c>
      <c r="X639">
        <v>2</v>
      </c>
      <c r="Y639">
        <v>2</v>
      </c>
      <c r="Z639">
        <v>2</v>
      </c>
      <c r="AA639" t="str">
        <f t="shared" si="53"/>
        <v>Mid Tenure</v>
      </c>
      <c r="AB639" s="5">
        <v>45120</v>
      </c>
      <c r="AC639">
        <f t="shared" si="54"/>
        <v>0</v>
      </c>
      <c r="AD639" t="s">
        <v>49</v>
      </c>
      <c r="AE639">
        <f>VLOOKUP(A639,'Employee Engagement Survey'!A510:B1979,2,FALSE)</f>
        <v>4</v>
      </c>
      <c r="AF639">
        <f>VLOOKUP(A639,'Employee Engagement Survey'!A510:C1979,3,FALSE)</f>
        <v>3</v>
      </c>
      <c r="AG639">
        <f>VLOOKUP(A639,'Employee Engagement Survey'!A510:D1979,4,FALSE)</f>
        <v>2</v>
      </c>
      <c r="AH639">
        <f>VLOOKUP(A639,'Employee Engagement Survey'!A510:E1979,5,FALSE)</f>
        <v>3</v>
      </c>
      <c r="AI639">
        <f t="shared" si="52"/>
        <v>3</v>
      </c>
    </row>
    <row r="640" spans="1:35" hidden="1" x14ac:dyDescent="0.4">
      <c r="A640">
        <v>699</v>
      </c>
      <c r="B640" t="s">
        <v>34</v>
      </c>
      <c r="C640">
        <f t="shared" si="55"/>
        <v>1</v>
      </c>
      <c r="D640" t="s">
        <v>54</v>
      </c>
      <c r="E640">
        <f t="shared" si="51"/>
        <v>1</v>
      </c>
      <c r="F640" t="s">
        <v>28</v>
      </c>
      <c r="G640">
        <v>9</v>
      </c>
      <c r="H640" s="1">
        <v>118164</v>
      </c>
      <c r="I640" s="10">
        <v>0.11</v>
      </c>
      <c r="J640">
        <v>37.5</v>
      </c>
      <c r="K640" t="s">
        <v>26</v>
      </c>
      <c r="L640">
        <v>36</v>
      </c>
      <c r="M640" t="s">
        <v>29</v>
      </c>
      <c r="N640" t="s">
        <v>48</v>
      </c>
      <c r="O640" t="s">
        <v>31</v>
      </c>
      <c r="P640">
        <v>9</v>
      </c>
      <c r="Q640" t="s">
        <v>36</v>
      </c>
      <c r="R640" t="s">
        <v>33</v>
      </c>
      <c r="S640">
        <v>3</v>
      </c>
      <c r="T640">
        <v>1</v>
      </c>
      <c r="U640">
        <v>13</v>
      </c>
      <c r="V640">
        <v>2</v>
      </c>
      <c r="W640">
        <v>3</v>
      </c>
      <c r="X640">
        <v>2</v>
      </c>
      <c r="Y640">
        <v>0</v>
      </c>
      <c r="Z640">
        <v>2</v>
      </c>
      <c r="AA640" t="str">
        <f t="shared" si="53"/>
        <v>Mid Tenure</v>
      </c>
      <c r="AB640" s="5">
        <v>45515</v>
      </c>
      <c r="AC640">
        <f t="shared" si="54"/>
        <v>1</v>
      </c>
      <c r="AD640" t="s">
        <v>49</v>
      </c>
      <c r="AE640">
        <f>VLOOKUP(A640,'Employee Engagement Survey'!A511:B1980,2,FALSE)</f>
        <v>2</v>
      </c>
      <c r="AF640">
        <f>VLOOKUP(A640,'Employee Engagement Survey'!A511:C1980,3,FALSE)</f>
        <v>2</v>
      </c>
      <c r="AG640">
        <f>VLOOKUP(A640,'Employee Engagement Survey'!A511:D1980,4,FALSE)</f>
        <v>3</v>
      </c>
      <c r="AH640">
        <f>VLOOKUP(A640,'Employee Engagement Survey'!A511:E1980,5,FALSE)</f>
        <v>3</v>
      </c>
      <c r="AI640">
        <f t="shared" si="52"/>
        <v>2.5</v>
      </c>
    </row>
    <row r="641" spans="1:35" hidden="1" x14ac:dyDescent="0.4">
      <c r="A641">
        <v>700</v>
      </c>
      <c r="B641" t="s">
        <v>34</v>
      </c>
      <c r="C641">
        <f t="shared" si="55"/>
        <v>1</v>
      </c>
      <c r="D641" t="s">
        <v>27</v>
      </c>
      <c r="E641">
        <f t="shared" si="51"/>
        <v>0</v>
      </c>
      <c r="F641" t="s">
        <v>28</v>
      </c>
      <c r="G641">
        <v>3</v>
      </c>
      <c r="H641" s="1">
        <v>48540</v>
      </c>
      <c r="I641" s="10">
        <v>0.13</v>
      </c>
      <c r="J641">
        <v>37.5</v>
      </c>
      <c r="K641" t="s">
        <v>34</v>
      </c>
      <c r="L641">
        <v>27</v>
      </c>
      <c r="M641" t="s">
        <v>29</v>
      </c>
      <c r="N641" t="s">
        <v>30</v>
      </c>
      <c r="O641" t="s">
        <v>31</v>
      </c>
      <c r="P641">
        <v>3</v>
      </c>
      <c r="Q641" t="s">
        <v>51</v>
      </c>
      <c r="R641" t="s">
        <v>33</v>
      </c>
      <c r="S641">
        <v>3</v>
      </c>
      <c r="T641">
        <v>0</v>
      </c>
      <c r="U641">
        <v>5</v>
      </c>
      <c r="V641">
        <v>0</v>
      </c>
      <c r="W641">
        <v>4</v>
      </c>
      <c r="X641">
        <v>2</v>
      </c>
      <c r="Y641">
        <v>1</v>
      </c>
      <c r="Z641">
        <v>1</v>
      </c>
      <c r="AA641" t="str">
        <f t="shared" si="53"/>
        <v>Mid Tenure</v>
      </c>
      <c r="AB641" s="5">
        <v>44872</v>
      </c>
      <c r="AC641">
        <f t="shared" si="54"/>
        <v>0</v>
      </c>
      <c r="AD641" t="s">
        <v>38</v>
      </c>
      <c r="AE641">
        <f>VLOOKUP(A641,'Employee Engagement Survey'!A512:B1981,2,FALSE)</f>
        <v>1</v>
      </c>
      <c r="AF641">
        <f>VLOOKUP(A641,'Employee Engagement Survey'!A512:C1981,3,FALSE)</f>
        <v>4</v>
      </c>
      <c r="AG641">
        <f>VLOOKUP(A641,'Employee Engagement Survey'!A512:D1981,4,FALSE)</f>
        <v>4</v>
      </c>
      <c r="AH641">
        <f>VLOOKUP(A641,'Employee Engagement Survey'!A512:E1981,5,FALSE)</f>
        <v>3</v>
      </c>
      <c r="AI641">
        <f t="shared" si="52"/>
        <v>3</v>
      </c>
    </row>
    <row r="642" spans="1:35" hidden="1" x14ac:dyDescent="0.4">
      <c r="A642">
        <v>705</v>
      </c>
      <c r="B642" t="s">
        <v>34</v>
      </c>
      <c r="C642">
        <f t="shared" si="55"/>
        <v>1</v>
      </c>
      <c r="D642" t="s">
        <v>27</v>
      </c>
      <c r="E642">
        <f t="shared" ref="E642:E705" si="56">IF(OR(D642="Manager, HR", D642="Manager, Sales", D642="Manager, R&amp;D", D642="Manufacturing Director",D642="Research Director", D642="VP, HR", D642="CEO"),1,0)</f>
        <v>0</v>
      </c>
      <c r="F642" t="s">
        <v>28</v>
      </c>
      <c r="G642">
        <v>5</v>
      </c>
      <c r="H642" s="1">
        <v>57828</v>
      </c>
      <c r="I642" s="10">
        <v>0.16</v>
      </c>
      <c r="J642">
        <v>37.5</v>
      </c>
      <c r="K642" t="s">
        <v>34</v>
      </c>
      <c r="L642">
        <v>23</v>
      </c>
      <c r="M642" t="s">
        <v>29</v>
      </c>
      <c r="N642" t="s">
        <v>42</v>
      </c>
      <c r="O642" t="s">
        <v>31</v>
      </c>
      <c r="P642">
        <v>4</v>
      </c>
      <c r="Q642" t="s">
        <v>43</v>
      </c>
      <c r="R642" t="s">
        <v>33</v>
      </c>
      <c r="S642">
        <v>3</v>
      </c>
      <c r="T642">
        <v>1</v>
      </c>
      <c r="U642">
        <v>5</v>
      </c>
      <c r="V642">
        <v>3</v>
      </c>
      <c r="W642">
        <v>3</v>
      </c>
      <c r="X642">
        <v>2</v>
      </c>
      <c r="Y642">
        <v>0</v>
      </c>
      <c r="Z642">
        <v>2</v>
      </c>
      <c r="AA642" t="str">
        <f t="shared" si="53"/>
        <v>Mid Tenure</v>
      </c>
      <c r="AB642" s="5">
        <v>44980</v>
      </c>
      <c r="AC642">
        <f t="shared" si="54"/>
        <v>0</v>
      </c>
      <c r="AD642" t="s">
        <v>38</v>
      </c>
      <c r="AE642">
        <f>VLOOKUP(A642,'Employee Engagement Survey'!A514:B1983,2,FALSE)</f>
        <v>1</v>
      </c>
      <c r="AF642">
        <f>VLOOKUP(A642,'Employee Engagement Survey'!A514:C1983,3,FALSE)</f>
        <v>1</v>
      </c>
      <c r="AG642">
        <f>VLOOKUP(A642,'Employee Engagement Survey'!A514:D1983,4,FALSE)</f>
        <v>1</v>
      </c>
      <c r="AH642">
        <f>VLOOKUP(A642,'Employee Engagement Survey'!A514:E1983,5,FALSE)</f>
        <v>4</v>
      </c>
      <c r="AI642">
        <f t="shared" ref="AI642:AI705" si="57">AVERAGE(AE642:AH642)</f>
        <v>1.75</v>
      </c>
    </row>
    <row r="643" spans="1:35" hidden="1" x14ac:dyDescent="0.4">
      <c r="A643">
        <v>707</v>
      </c>
      <c r="B643" t="s">
        <v>34</v>
      </c>
      <c r="C643">
        <f t="shared" si="55"/>
        <v>1</v>
      </c>
      <c r="D643" t="s">
        <v>57</v>
      </c>
      <c r="E643">
        <f t="shared" si="56"/>
        <v>0</v>
      </c>
      <c r="F643" t="s">
        <v>40</v>
      </c>
      <c r="G643">
        <v>7</v>
      </c>
      <c r="H643" s="1">
        <v>70212</v>
      </c>
      <c r="I643" s="10">
        <v>0.22</v>
      </c>
      <c r="J643">
        <v>37.5</v>
      </c>
      <c r="K643" t="s">
        <v>34</v>
      </c>
      <c r="L643">
        <v>25</v>
      </c>
      <c r="M643" t="s">
        <v>29</v>
      </c>
      <c r="N643" t="s">
        <v>42</v>
      </c>
      <c r="O643" t="s">
        <v>31</v>
      </c>
      <c r="P643">
        <v>8</v>
      </c>
      <c r="Q643" t="s">
        <v>43</v>
      </c>
      <c r="R643" t="s">
        <v>37</v>
      </c>
      <c r="S643">
        <v>4</v>
      </c>
      <c r="T643">
        <v>1</v>
      </c>
      <c r="U643">
        <v>4</v>
      </c>
      <c r="V643">
        <v>4</v>
      </c>
      <c r="W643">
        <v>3</v>
      </c>
      <c r="X643">
        <v>2</v>
      </c>
      <c r="Y643">
        <v>1</v>
      </c>
      <c r="Z643">
        <v>2</v>
      </c>
      <c r="AA643" t="str">
        <f t="shared" ref="AA643:AA706" si="58">IF(W643&lt;=2,"Early Tenure",IF(W643&lt;=9,"Mid Tenure","Long Tenure"))</f>
        <v>Mid Tenure</v>
      </c>
      <c r="AB643" s="5">
        <v>44945</v>
      </c>
      <c r="AC643">
        <f t="shared" ref="AC643:AC706" si="59">IF(AND(AB643&lt;&gt;"",AB643&gt;DATE(2024,1,1)),1,0)</f>
        <v>0</v>
      </c>
      <c r="AD643" t="s">
        <v>49</v>
      </c>
      <c r="AE643">
        <f>VLOOKUP(A643,'Employee Engagement Survey'!A515:B1984,2,FALSE)</f>
        <v>4</v>
      </c>
      <c r="AF643">
        <f>VLOOKUP(A643,'Employee Engagement Survey'!A515:C1984,3,FALSE)</f>
        <v>2</v>
      </c>
      <c r="AG643">
        <f>VLOOKUP(A643,'Employee Engagement Survey'!A515:D1984,4,FALSE)</f>
        <v>3</v>
      </c>
      <c r="AH643">
        <f>VLOOKUP(A643,'Employee Engagement Survey'!A515:E1984,5,FALSE)</f>
        <v>3</v>
      </c>
      <c r="AI643">
        <f t="shared" si="57"/>
        <v>3</v>
      </c>
    </row>
    <row r="644" spans="1:35" hidden="1" x14ac:dyDescent="0.4">
      <c r="A644">
        <v>710</v>
      </c>
      <c r="B644" t="s">
        <v>34</v>
      </c>
      <c r="C644">
        <f t="shared" si="55"/>
        <v>1</v>
      </c>
      <c r="D644" t="s">
        <v>27</v>
      </c>
      <c r="E644">
        <f t="shared" si="56"/>
        <v>0</v>
      </c>
      <c r="F644" t="s">
        <v>28</v>
      </c>
      <c r="G644">
        <v>5</v>
      </c>
      <c r="H644" s="1">
        <v>56640</v>
      </c>
      <c r="I644" s="10">
        <v>0.18</v>
      </c>
      <c r="J644">
        <v>37.5</v>
      </c>
      <c r="K644" t="s">
        <v>34</v>
      </c>
      <c r="L644">
        <v>29</v>
      </c>
      <c r="M644" t="s">
        <v>29</v>
      </c>
      <c r="N644" t="s">
        <v>48</v>
      </c>
      <c r="O644" t="s">
        <v>44</v>
      </c>
      <c r="P644">
        <v>1</v>
      </c>
      <c r="Q644" t="s">
        <v>51</v>
      </c>
      <c r="R644" t="s">
        <v>37</v>
      </c>
      <c r="S644">
        <v>3</v>
      </c>
      <c r="T644">
        <v>1</v>
      </c>
      <c r="U644">
        <v>10</v>
      </c>
      <c r="V644">
        <v>5</v>
      </c>
      <c r="W644">
        <v>10</v>
      </c>
      <c r="X644">
        <v>7</v>
      </c>
      <c r="Y644">
        <v>2</v>
      </c>
      <c r="Z644">
        <v>8</v>
      </c>
      <c r="AA644" t="str">
        <f t="shared" si="58"/>
        <v>Long Tenure</v>
      </c>
      <c r="AB644" s="5">
        <v>45441</v>
      </c>
      <c r="AC644">
        <f t="shared" si="59"/>
        <v>1</v>
      </c>
      <c r="AD644" t="s">
        <v>49</v>
      </c>
      <c r="AE644">
        <f>VLOOKUP(A644,'Employee Engagement Survey'!A516:B1985,2,FALSE)</f>
        <v>2</v>
      </c>
      <c r="AF644">
        <f>VLOOKUP(A644,'Employee Engagement Survey'!A516:C1985,3,FALSE)</f>
        <v>4</v>
      </c>
      <c r="AG644">
        <f>VLOOKUP(A644,'Employee Engagement Survey'!A516:D1985,4,FALSE)</f>
        <v>4</v>
      </c>
      <c r="AH644">
        <f>VLOOKUP(A644,'Employee Engagement Survey'!A516:E1985,5,FALSE)</f>
        <v>3</v>
      </c>
      <c r="AI644">
        <f t="shared" si="57"/>
        <v>3.25</v>
      </c>
    </row>
    <row r="645" spans="1:35" hidden="1" x14ac:dyDescent="0.4">
      <c r="A645">
        <v>712</v>
      </c>
      <c r="B645" t="s">
        <v>34</v>
      </c>
      <c r="C645">
        <f t="shared" si="55"/>
        <v>1</v>
      </c>
      <c r="D645" t="s">
        <v>57</v>
      </c>
      <c r="E645">
        <f t="shared" si="56"/>
        <v>0</v>
      </c>
      <c r="F645" t="s">
        <v>40</v>
      </c>
      <c r="G645">
        <v>9</v>
      </c>
      <c r="H645" s="1">
        <v>109440</v>
      </c>
      <c r="I645" s="10">
        <v>0.12</v>
      </c>
      <c r="J645">
        <v>37.5</v>
      </c>
      <c r="K645" t="s">
        <v>34</v>
      </c>
      <c r="L645">
        <v>48</v>
      </c>
      <c r="M645" t="s">
        <v>29</v>
      </c>
      <c r="N645" t="s">
        <v>42</v>
      </c>
      <c r="O645" t="s">
        <v>31</v>
      </c>
      <c r="P645">
        <v>2</v>
      </c>
      <c r="Q645" t="s">
        <v>32</v>
      </c>
      <c r="R645" t="s">
        <v>56</v>
      </c>
      <c r="S645">
        <v>3</v>
      </c>
      <c r="T645">
        <v>0</v>
      </c>
      <c r="U645">
        <v>12</v>
      </c>
      <c r="V645">
        <v>3</v>
      </c>
      <c r="W645">
        <v>2</v>
      </c>
      <c r="X645">
        <v>2</v>
      </c>
      <c r="Y645">
        <v>2</v>
      </c>
      <c r="Z645">
        <v>2</v>
      </c>
      <c r="AA645" t="str">
        <f t="shared" si="58"/>
        <v>Early Tenure</v>
      </c>
      <c r="AB645" s="5">
        <v>45590</v>
      </c>
      <c r="AC645">
        <f t="shared" si="59"/>
        <v>1</v>
      </c>
      <c r="AD645" t="s">
        <v>49</v>
      </c>
      <c r="AE645">
        <f>VLOOKUP(A645,'Employee Engagement Survey'!A517:B1986,2,FALSE)</f>
        <v>2</v>
      </c>
      <c r="AF645">
        <f>VLOOKUP(A645,'Employee Engagement Survey'!A517:C1986,3,FALSE)</f>
        <v>2</v>
      </c>
      <c r="AG645">
        <f>VLOOKUP(A645,'Employee Engagement Survey'!A517:D1986,4,FALSE)</f>
        <v>4</v>
      </c>
      <c r="AH645">
        <f>VLOOKUP(A645,'Employee Engagement Survey'!A517:E1986,5,FALSE)</f>
        <v>3</v>
      </c>
      <c r="AI645">
        <f t="shared" si="57"/>
        <v>2.75</v>
      </c>
    </row>
    <row r="646" spans="1:35" hidden="1" x14ac:dyDescent="0.4">
      <c r="A646">
        <v>793</v>
      </c>
      <c r="B646" t="s">
        <v>34</v>
      </c>
      <c r="C646">
        <f t="shared" si="55"/>
        <v>1</v>
      </c>
      <c r="D646" t="s">
        <v>55</v>
      </c>
      <c r="E646">
        <f t="shared" si="56"/>
        <v>0</v>
      </c>
      <c r="F646" t="s">
        <v>28</v>
      </c>
      <c r="G646">
        <v>6</v>
      </c>
      <c r="H646" s="1">
        <v>64020</v>
      </c>
      <c r="I646" s="10">
        <v>0.12</v>
      </c>
      <c r="J646">
        <v>37.5</v>
      </c>
      <c r="K646" t="s">
        <v>34</v>
      </c>
      <c r="L646">
        <v>29</v>
      </c>
      <c r="M646" t="s">
        <v>47</v>
      </c>
      <c r="N646" t="s">
        <v>42</v>
      </c>
      <c r="O646" t="s">
        <v>31</v>
      </c>
      <c r="P646">
        <v>27</v>
      </c>
      <c r="Q646" t="s">
        <v>43</v>
      </c>
      <c r="R646" t="s">
        <v>33</v>
      </c>
      <c r="S646">
        <v>3</v>
      </c>
      <c r="T646">
        <v>1</v>
      </c>
      <c r="U646">
        <v>11</v>
      </c>
      <c r="V646">
        <v>3</v>
      </c>
      <c r="W646">
        <v>8</v>
      </c>
      <c r="X646">
        <v>7</v>
      </c>
      <c r="Y646">
        <v>1</v>
      </c>
      <c r="Z646">
        <v>1</v>
      </c>
      <c r="AA646" t="str">
        <f t="shared" si="58"/>
        <v>Mid Tenure</v>
      </c>
      <c r="AB646" s="5">
        <v>44672</v>
      </c>
      <c r="AC646">
        <f t="shared" si="59"/>
        <v>0</v>
      </c>
      <c r="AD646" t="s">
        <v>49</v>
      </c>
      <c r="AE646">
        <f>VLOOKUP(A646,'Employee Engagement Survey'!A518:B1987,2,FALSE)</f>
        <v>2</v>
      </c>
      <c r="AF646">
        <f>VLOOKUP(A646,'Employee Engagement Survey'!A518:C1987,3,FALSE)</f>
        <v>3</v>
      </c>
      <c r="AG646">
        <f>VLOOKUP(A646,'Employee Engagement Survey'!A518:D1987,4,FALSE)</f>
        <v>1</v>
      </c>
      <c r="AH646">
        <f>VLOOKUP(A646,'Employee Engagement Survey'!A518:E1987,5,FALSE)</f>
        <v>2</v>
      </c>
      <c r="AI646">
        <f t="shared" si="57"/>
        <v>2</v>
      </c>
    </row>
    <row r="647" spans="1:35" hidden="1" x14ac:dyDescent="0.4">
      <c r="A647">
        <v>715</v>
      </c>
      <c r="B647" t="s">
        <v>34</v>
      </c>
      <c r="C647">
        <f t="shared" si="55"/>
        <v>1</v>
      </c>
      <c r="D647" t="s">
        <v>27</v>
      </c>
      <c r="E647">
        <f t="shared" si="56"/>
        <v>0</v>
      </c>
      <c r="F647" t="s">
        <v>28</v>
      </c>
      <c r="G647">
        <v>6</v>
      </c>
      <c r="H647" s="1">
        <v>68160</v>
      </c>
      <c r="I647" s="10">
        <v>0.17</v>
      </c>
      <c r="J647">
        <v>37.5</v>
      </c>
      <c r="K647" t="s">
        <v>34</v>
      </c>
      <c r="L647">
        <v>37</v>
      </c>
      <c r="M647" t="s">
        <v>29</v>
      </c>
      <c r="N647" t="s">
        <v>30</v>
      </c>
      <c r="O647" t="s">
        <v>31</v>
      </c>
      <c r="P647">
        <v>10</v>
      </c>
      <c r="Q647" t="s">
        <v>36</v>
      </c>
      <c r="R647" t="s">
        <v>37</v>
      </c>
      <c r="S647">
        <v>3</v>
      </c>
      <c r="T647">
        <v>0</v>
      </c>
      <c r="U647">
        <v>4</v>
      </c>
      <c r="V647">
        <v>2</v>
      </c>
      <c r="W647">
        <v>1</v>
      </c>
      <c r="X647">
        <v>0</v>
      </c>
      <c r="Y647">
        <v>0</v>
      </c>
      <c r="Z647">
        <v>0</v>
      </c>
      <c r="AA647" t="str">
        <f t="shared" si="58"/>
        <v>Early Tenure</v>
      </c>
      <c r="AB647" s="5">
        <v>45119</v>
      </c>
      <c r="AC647">
        <f t="shared" si="59"/>
        <v>0</v>
      </c>
      <c r="AD647" t="s">
        <v>38</v>
      </c>
      <c r="AE647">
        <f>VLOOKUP(A647,'Employee Engagement Survey'!A520:B1989,2,FALSE)</f>
        <v>4</v>
      </c>
      <c r="AF647">
        <f>VLOOKUP(A647,'Employee Engagement Survey'!A520:C1989,3,FALSE)</f>
        <v>4</v>
      </c>
      <c r="AG647">
        <f>VLOOKUP(A647,'Employee Engagement Survey'!A520:D1989,4,FALSE)</f>
        <v>1</v>
      </c>
      <c r="AH647">
        <f>VLOOKUP(A647,'Employee Engagement Survey'!A520:E1989,5,FALSE)</f>
        <v>3</v>
      </c>
      <c r="AI647">
        <f t="shared" si="57"/>
        <v>3</v>
      </c>
    </row>
    <row r="648" spans="1:35" hidden="1" x14ac:dyDescent="0.4">
      <c r="A648">
        <v>716</v>
      </c>
      <c r="B648" t="s">
        <v>34</v>
      </c>
      <c r="C648">
        <f t="shared" si="55"/>
        <v>1</v>
      </c>
      <c r="D648" t="s">
        <v>46</v>
      </c>
      <c r="E648">
        <f t="shared" si="56"/>
        <v>0</v>
      </c>
      <c r="F648" t="s">
        <v>28</v>
      </c>
      <c r="G648">
        <v>6</v>
      </c>
      <c r="H648" s="1">
        <v>62652</v>
      </c>
      <c r="I648" s="10">
        <v>0.11</v>
      </c>
      <c r="J648">
        <v>37.5</v>
      </c>
      <c r="K648" t="s">
        <v>26</v>
      </c>
      <c r="L648">
        <v>50</v>
      </c>
      <c r="M648" t="s">
        <v>29</v>
      </c>
      <c r="N648" t="s">
        <v>42</v>
      </c>
      <c r="O648" t="s">
        <v>31</v>
      </c>
      <c r="P648">
        <v>28</v>
      </c>
      <c r="Q648" t="s">
        <v>32</v>
      </c>
      <c r="R648" t="s">
        <v>33</v>
      </c>
      <c r="S648">
        <v>3</v>
      </c>
      <c r="T648">
        <v>3</v>
      </c>
      <c r="U648">
        <v>20</v>
      </c>
      <c r="V648">
        <v>3</v>
      </c>
      <c r="W648">
        <v>20</v>
      </c>
      <c r="X648">
        <v>8</v>
      </c>
      <c r="Y648">
        <v>3</v>
      </c>
      <c r="Z648">
        <v>8</v>
      </c>
      <c r="AA648" t="str">
        <f t="shared" si="58"/>
        <v>Long Tenure</v>
      </c>
      <c r="AB648" s="5">
        <v>45389</v>
      </c>
      <c r="AC648">
        <f t="shared" si="59"/>
        <v>1</v>
      </c>
      <c r="AD648" t="s">
        <v>38</v>
      </c>
      <c r="AE648">
        <f>VLOOKUP(A648,'Employee Engagement Survey'!A521:B1990,2,FALSE)</f>
        <v>4</v>
      </c>
      <c r="AF648">
        <f>VLOOKUP(A648,'Employee Engagement Survey'!A521:C1990,3,FALSE)</f>
        <v>3</v>
      </c>
      <c r="AG648">
        <f>VLOOKUP(A648,'Employee Engagement Survey'!A521:D1990,4,FALSE)</f>
        <v>3</v>
      </c>
      <c r="AH648">
        <f>VLOOKUP(A648,'Employee Engagement Survey'!A521:E1990,5,FALSE)</f>
        <v>3</v>
      </c>
      <c r="AI648">
        <f t="shared" si="57"/>
        <v>3.25</v>
      </c>
    </row>
    <row r="649" spans="1:35" hidden="1" x14ac:dyDescent="0.4">
      <c r="A649">
        <v>214</v>
      </c>
      <c r="B649" t="s">
        <v>34</v>
      </c>
      <c r="C649">
        <f t="shared" si="55"/>
        <v>1</v>
      </c>
      <c r="D649" t="s">
        <v>27</v>
      </c>
      <c r="E649">
        <f t="shared" si="56"/>
        <v>0</v>
      </c>
      <c r="F649" t="s">
        <v>28</v>
      </c>
      <c r="G649">
        <v>6</v>
      </c>
      <c r="H649" s="1">
        <v>64152</v>
      </c>
      <c r="I649" s="10">
        <v>0.2</v>
      </c>
      <c r="J649">
        <v>37.5</v>
      </c>
      <c r="K649" t="s">
        <v>26</v>
      </c>
      <c r="L649">
        <v>58</v>
      </c>
      <c r="M649" t="s">
        <v>47</v>
      </c>
      <c r="N649" t="s">
        <v>42</v>
      </c>
      <c r="O649" t="s">
        <v>31</v>
      </c>
      <c r="P649">
        <v>9</v>
      </c>
      <c r="Q649" t="s">
        <v>43</v>
      </c>
      <c r="R649" t="s">
        <v>33</v>
      </c>
      <c r="S649">
        <v>4</v>
      </c>
      <c r="T649">
        <v>1</v>
      </c>
      <c r="U649">
        <v>9</v>
      </c>
      <c r="V649">
        <v>3</v>
      </c>
      <c r="W649">
        <v>1</v>
      </c>
      <c r="X649">
        <v>0</v>
      </c>
      <c r="Y649">
        <v>0</v>
      </c>
      <c r="Z649">
        <v>0</v>
      </c>
      <c r="AA649" t="str">
        <f t="shared" si="58"/>
        <v>Early Tenure</v>
      </c>
      <c r="AB649" s="5">
        <v>45806</v>
      </c>
      <c r="AC649">
        <f t="shared" si="59"/>
        <v>1</v>
      </c>
      <c r="AD649" t="s">
        <v>49</v>
      </c>
      <c r="AE649">
        <f>VLOOKUP(A649,'Employee Engagement Survey'!A522:B1991,2,FALSE)</f>
        <v>2</v>
      </c>
      <c r="AF649">
        <f>VLOOKUP(A649,'Employee Engagement Survey'!A522:C1991,3,FALSE)</f>
        <v>2</v>
      </c>
      <c r="AG649">
        <f>VLOOKUP(A649,'Employee Engagement Survey'!A522:D1991,4,FALSE)</f>
        <v>2</v>
      </c>
      <c r="AH649">
        <f>VLOOKUP(A649,'Employee Engagement Survey'!A522:E1991,5,FALSE)</f>
        <v>2</v>
      </c>
      <c r="AI649">
        <f t="shared" si="57"/>
        <v>2</v>
      </c>
    </row>
    <row r="650" spans="1:35" hidden="1" x14ac:dyDescent="0.4">
      <c r="A650">
        <v>722</v>
      </c>
      <c r="B650" t="s">
        <v>34</v>
      </c>
      <c r="C650">
        <f t="shared" si="55"/>
        <v>1</v>
      </c>
      <c r="D650" t="s">
        <v>57</v>
      </c>
      <c r="E650">
        <f t="shared" si="56"/>
        <v>0</v>
      </c>
      <c r="F650" t="s">
        <v>40</v>
      </c>
      <c r="G650">
        <v>7</v>
      </c>
      <c r="H650" s="1">
        <v>76752</v>
      </c>
      <c r="I650" s="10">
        <v>0.12</v>
      </c>
      <c r="J650">
        <v>37.5</v>
      </c>
      <c r="K650" t="s">
        <v>34</v>
      </c>
      <c r="L650">
        <v>32</v>
      </c>
      <c r="M650" t="s">
        <v>29</v>
      </c>
      <c r="N650" t="s">
        <v>30</v>
      </c>
      <c r="O650" t="s">
        <v>31</v>
      </c>
      <c r="P650">
        <v>10</v>
      </c>
      <c r="Q650" t="s">
        <v>43</v>
      </c>
      <c r="R650" t="s">
        <v>56</v>
      </c>
      <c r="S650">
        <v>3</v>
      </c>
      <c r="T650">
        <v>0</v>
      </c>
      <c r="U650">
        <v>10</v>
      </c>
      <c r="V650">
        <v>2</v>
      </c>
      <c r="W650">
        <v>10</v>
      </c>
      <c r="X650">
        <v>7</v>
      </c>
      <c r="Y650">
        <v>0</v>
      </c>
      <c r="Z650">
        <v>8</v>
      </c>
      <c r="AA650" t="str">
        <f t="shared" si="58"/>
        <v>Long Tenure</v>
      </c>
      <c r="AB650" s="5">
        <v>45997</v>
      </c>
      <c r="AC650">
        <f t="shared" si="59"/>
        <v>1</v>
      </c>
      <c r="AD650" t="s">
        <v>49</v>
      </c>
      <c r="AE650">
        <f>VLOOKUP(A650,'Employee Engagement Survey'!A523:B1992,2,FALSE)</f>
        <v>4</v>
      </c>
      <c r="AF650">
        <f>VLOOKUP(A650,'Employee Engagement Survey'!A523:C1992,3,FALSE)</f>
        <v>4</v>
      </c>
      <c r="AG650">
        <f>VLOOKUP(A650,'Employee Engagement Survey'!A523:D1992,4,FALSE)</f>
        <v>4</v>
      </c>
      <c r="AH650">
        <f>VLOOKUP(A650,'Employee Engagement Survey'!A523:E1992,5,FALSE)</f>
        <v>2</v>
      </c>
      <c r="AI650">
        <f t="shared" si="57"/>
        <v>3.5</v>
      </c>
    </row>
    <row r="651" spans="1:35" hidden="1" x14ac:dyDescent="0.4">
      <c r="A651">
        <v>792</v>
      </c>
      <c r="B651" t="s">
        <v>34</v>
      </c>
      <c r="C651">
        <f t="shared" si="55"/>
        <v>1</v>
      </c>
      <c r="D651" t="s">
        <v>46</v>
      </c>
      <c r="E651">
        <f t="shared" si="56"/>
        <v>0</v>
      </c>
      <c r="F651" t="s">
        <v>28</v>
      </c>
      <c r="G651">
        <v>6</v>
      </c>
      <c r="H651" s="1">
        <v>64368</v>
      </c>
      <c r="I651" s="10">
        <v>0.14000000000000001</v>
      </c>
      <c r="J651">
        <v>37.5</v>
      </c>
      <c r="K651" t="s">
        <v>34</v>
      </c>
      <c r="L651">
        <v>26</v>
      </c>
      <c r="M651" t="s">
        <v>47</v>
      </c>
      <c r="N651" t="s">
        <v>48</v>
      </c>
      <c r="O651" t="s">
        <v>44</v>
      </c>
      <c r="P651">
        <v>1</v>
      </c>
      <c r="Q651" t="s">
        <v>36</v>
      </c>
      <c r="R651" t="s">
        <v>37</v>
      </c>
      <c r="S651">
        <v>3</v>
      </c>
      <c r="T651">
        <v>1</v>
      </c>
      <c r="U651">
        <v>5</v>
      </c>
      <c r="V651">
        <v>2</v>
      </c>
      <c r="W651">
        <v>2</v>
      </c>
      <c r="X651">
        <v>2</v>
      </c>
      <c r="Y651">
        <v>2</v>
      </c>
      <c r="Z651">
        <v>0</v>
      </c>
      <c r="AA651" t="str">
        <f t="shared" si="58"/>
        <v>Early Tenure</v>
      </c>
      <c r="AB651" s="5">
        <v>45113</v>
      </c>
      <c r="AC651">
        <f t="shared" si="59"/>
        <v>0</v>
      </c>
      <c r="AD651" t="s">
        <v>38</v>
      </c>
      <c r="AE651">
        <f>VLOOKUP(A651,'Employee Engagement Survey'!A524:B1993,2,FALSE)</f>
        <v>1</v>
      </c>
      <c r="AF651">
        <f>VLOOKUP(A651,'Employee Engagement Survey'!A524:C1993,3,FALSE)</f>
        <v>4</v>
      </c>
      <c r="AG651">
        <f>VLOOKUP(A651,'Employee Engagement Survey'!A524:D1993,4,FALSE)</f>
        <v>1</v>
      </c>
      <c r="AH651">
        <f>VLOOKUP(A651,'Employee Engagement Survey'!A524:E1993,5,FALSE)</f>
        <v>3</v>
      </c>
      <c r="AI651">
        <f t="shared" si="57"/>
        <v>2.25</v>
      </c>
    </row>
    <row r="652" spans="1:35" hidden="1" x14ac:dyDescent="0.4">
      <c r="A652">
        <v>1662</v>
      </c>
      <c r="B652" t="s">
        <v>34</v>
      </c>
      <c r="C652">
        <f t="shared" si="55"/>
        <v>1</v>
      </c>
      <c r="D652" t="s">
        <v>54</v>
      </c>
      <c r="E652">
        <f t="shared" si="56"/>
        <v>1</v>
      </c>
      <c r="F652" t="s">
        <v>28</v>
      </c>
      <c r="G652">
        <v>6</v>
      </c>
      <c r="H652" s="1">
        <v>64488</v>
      </c>
      <c r="I652" s="10">
        <v>0.15</v>
      </c>
      <c r="J652">
        <v>37.5</v>
      </c>
      <c r="K652" t="s">
        <v>34</v>
      </c>
      <c r="L652">
        <v>36</v>
      </c>
      <c r="M652" t="s">
        <v>47</v>
      </c>
      <c r="N652" t="s">
        <v>42</v>
      </c>
      <c r="O652" t="s">
        <v>35</v>
      </c>
      <c r="P652">
        <v>1</v>
      </c>
      <c r="Q652" t="s">
        <v>51</v>
      </c>
      <c r="R652" t="s">
        <v>33</v>
      </c>
      <c r="S652">
        <v>3</v>
      </c>
      <c r="T652">
        <v>0</v>
      </c>
      <c r="U652">
        <v>4</v>
      </c>
      <c r="V652">
        <v>6</v>
      </c>
      <c r="W652">
        <v>3</v>
      </c>
      <c r="X652">
        <v>2</v>
      </c>
      <c r="Y652">
        <v>1</v>
      </c>
      <c r="Z652">
        <v>2</v>
      </c>
      <c r="AA652" t="str">
        <f t="shared" si="58"/>
        <v>Mid Tenure</v>
      </c>
      <c r="AB652" s="5">
        <v>45408</v>
      </c>
      <c r="AC652">
        <f t="shared" si="59"/>
        <v>1</v>
      </c>
      <c r="AD652" t="s">
        <v>38</v>
      </c>
      <c r="AE652">
        <f>VLOOKUP(A652,'Employee Engagement Survey'!A526:B1995,2,FALSE)</f>
        <v>4</v>
      </c>
      <c r="AF652">
        <f>VLOOKUP(A652,'Employee Engagement Survey'!A526:C1995,3,FALSE)</f>
        <v>3</v>
      </c>
      <c r="AG652">
        <f>VLOOKUP(A652,'Employee Engagement Survey'!A526:D1995,4,FALSE)</f>
        <v>3</v>
      </c>
      <c r="AH652">
        <f>VLOOKUP(A652,'Employee Engagement Survey'!A526:E1995,5,FALSE)</f>
        <v>3</v>
      </c>
      <c r="AI652">
        <f t="shared" si="57"/>
        <v>3.25</v>
      </c>
    </row>
    <row r="653" spans="1:35" hidden="1" x14ac:dyDescent="0.4">
      <c r="A653">
        <v>728</v>
      </c>
      <c r="B653" t="s">
        <v>34</v>
      </c>
      <c r="C653">
        <f t="shared" si="55"/>
        <v>1</v>
      </c>
      <c r="D653" t="s">
        <v>57</v>
      </c>
      <c r="E653">
        <f t="shared" si="56"/>
        <v>0</v>
      </c>
      <c r="F653" t="s">
        <v>40</v>
      </c>
      <c r="G653">
        <v>7</v>
      </c>
      <c r="H653" s="1">
        <v>71520</v>
      </c>
      <c r="I653" s="10">
        <v>0.12</v>
      </c>
      <c r="J653">
        <v>37.5</v>
      </c>
      <c r="K653" t="s">
        <v>34</v>
      </c>
      <c r="L653">
        <v>47</v>
      </c>
      <c r="M653" t="s">
        <v>29</v>
      </c>
      <c r="N653" t="s">
        <v>30</v>
      </c>
      <c r="O653" t="s">
        <v>31</v>
      </c>
      <c r="P653">
        <v>14</v>
      </c>
      <c r="Q653" t="s">
        <v>51</v>
      </c>
      <c r="R653" t="s">
        <v>56</v>
      </c>
      <c r="S653">
        <v>3</v>
      </c>
      <c r="T653">
        <v>0</v>
      </c>
      <c r="U653">
        <v>20</v>
      </c>
      <c r="V653">
        <v>2</v>
      </c>
      <c r="W653">
        <v>7</v>
      </c>
      <c r="X653">
        <v>7</v>
      </c>
      <c r="Y653">
        <v>1</v>
      </c>
      <c r="Z653">
        <v>7</v>
      </c>
      <c r="AA653" t="str">
        <f t="shared" si="58"/>
        <v>Mid Tenure</v>
      </c>
      <c r="AB653" s="5">
        <v>45818</v>
      </c>
      <c r="AC653">
        <f t="shared" si="59"/>
        <v>1</v>
      </c>
      <c r="AD653" t="s">
        <v>38</v>
      </c>
      <c r="AE653">
        <f>VLOOKUP(A653,'Employee Engagement Survey'!A527:B1996,2,FALSE)</f>
        <v>4</v>
      </c>
      <c r="AF653">
        <f>VLOOKUP(A653,'Employee Engagement Survey'!A527:C1996,3,FALSE)</f>
        <v>1</v>
      </c>
      <c r="AG653">
        <f>VLOOKUP(A653,'Employee Engagement Survey'!A527:D1996,4,FALSE)</f>
        <v>4</v>
      </c>
      <c r="AH653">
        <f>VLOOKUP(A653,'Employee Engagement Survey'!A527:E1996,5,FALSE)</f>
        <v>3</v>
      </c>
      <c r="AI653">
        <f t="shared" si="57"/>
        <v>3</v>
      </c>
    </row>
    <row r="654" spans="1:35" hidden="1" x14ac:dyDescent="0.4">
      <c r="A654">
        <v>1085</v>
      </c>
      <c r="B654" t="s">
        <v>34</v>
      </c>
      <c r="C654">
        <f t="shared" si="55"/>
        <v>1</v>
      </c>
      <c r="D654" t="s">
        <v>27</v>
      </c>
      <c r="E654">
        <f t="shared" si="56"/>
        <v>0</v>
      </c>
      <c r="F654" t="s">
        <v>28</v>
      </c>
      <c r="G654">
        <v>6</v>
      </c>
      <c r="H654" s="1">
        <v>64512</v>
      </c>
      <c r="I654" s="10">
        <v>0.13</v>
      </c>
      <c r="J654">
        <v>37.5</v>
      </c>
      <c r="K654" t="s">
        <v>34</v>
      </c>
      <c r="L654">
        <v>41</v>
      </c>
      <c r="M654" t="s">
        <v>47</v>
      </c>
      <c r="N654" t="s">
        <v>42</v>
      </c>
      <c r="O654" t="s">
        <v>31</v>
      </c>
      <c r="P654">
        <v>7</v>
      </c>
      <c r="Q654" t="s">
        <v>36</v>
      </c>
      <c r="R654" t="s">
        <v>45</v>
      </c>
      <c r="S654">
        <v>3</v>
      </c>
      <c r="T654">
        <v>0</v>
      </c>
      <c r="U654">
        <v>10</v>
      </c>
      <c r="V654">
        <v>3</v>
      </c>
      <c r="W654">
        <v>10</v>
      </c>
      <c r="X654">
        <v>6</v>
      </c>
      <c r="Y654">
        <v>0</v>
      </c>
      <c r="Z654">
        <v>8</v>
      </c>
      <c r="AA654" t="str">
        <f t="shared" si="58"/>
        <v>Long Tenure</v>
      </c>
      <c r="AB654" s="5">
        <v>45943</v>
      </c>
      <c r="AC654">
        <f t="shared" si="59"/>
        <v>1</v>
      </c>
      <c r="AD654" t="s">
        <v>38</v>
      </c>
      <c r="AE654">
        <f>VLOOKUP(A654,'Employee Engagement Survey'!A528:B1997,2,FALSE)</f>
        <v>2</v>
      </c>
      <c r="AF654">
        <f>VLOOKUP(A654,'Employee Engagement Survey'!A528:C1997,3,FALSE)</f>
        <v>3</v>
      </c>
      <c r="AG654">
        <f>VLOOKUP(A654,'Employee Engagement Survey'!A528:D1997,4,FALSE)</f>
        <v>3</v>
      </c>
      <c r="AH654">
        <f>VLOOKUP(A654,'Employee Engagement Survey'!A528:E1997,5,FALSE)</f>
        <v>3</v>
      </c>
      <c r="AI654">
        <f t="shared" si="57"/>
        <v>2.75</v>
      </c>
    </row>
    <row r="655" spans="1:35" hidden="1" x14ac:dyDescent="0.4">
      <c r="A655">
        <v>1802</v>
      </c>
      <c r="B655" t="s">
        <v>34</v>
      </c>
      <c r="C655">
        <f t="shared" si="55"/>
        <v>1</v>
      </c>
      <c r="D655" t="s">
        <v>46</v>
      </c>
      <c r="E655">
        <f t="shared" si="56"/>
        <v>0</v>
      </c>
      <c r="F655" t="s">
        <v>28</v>
      </c>
      <c r="G655">
        <v>6</v>
      </c>
      <c r="H655" s="1">
        <v>64524</v>
      </c>
      <c r="I655" s="10">
        <v>0.17</v>
      </c>
      <c r="J655">
        <v>37.5</v>
      </c>
      <c r="K655" t="s">
        <v>34</v>
      </c>
      <c r="L655">
        <v>40</v>
      </c>
      <c r="M655" t="s">
        <v>47</v>
      </c>
      <c r="N655" t="s">
        <v>42</v>
      </c>
      <c r="O655" t="s">
        <v>31</v>
      </c>
      <c r="P655">
        <v>2</v>
      </c>
      <c r="Q655" t="s">
        <v>36</v>
      </c>
      <c r="R655" t="s">
        <v>37</v>
      </c>
      <c r="S655">
        <v>3</v>
      </c>
      <c r="T655">
        <v>1</v>
      </c>
      <c r="U655">
        <v>7</v>
      </c>
      <c r="V655">
        <v>5</v>
      </c>
      <c r="W655">
        <v>4</v>
      </c>
      <c r="X655">
        <v>3</v>
      </c>
      <c r="Y655">
        <v>0</v>
      </c>
      <c r="Z655">
        <v>2</v>
      </c>
      <c r="AA655" t="str">
        <f t="shared" si="58"/>
        <v>Mid Tenure</v>
      </c>
      <c r="AB655" s="5">
        <v>45586</v>
      </c>
      <c r="AC655">
        <f t="shared" si="59"/>
        <v>1</v>
      </c>
      <c r="AD655" t="s">
        <v>49</v>
      </c>
      <c r="AE655">
        <f>VLOOKUP(A655,'Employee Engagement Survey'!A529:B1998,2,FALSE)</f>
        <v>3</v>
      </c>
      <c r="AF655">
        <f>VLOOKUP(A655,'Employee Engagement Survey'!A529:C1998,3,FALSE)</f>
        <v>1</v>
      </c>
      <c r="AG655">
        <f>VLOOKUP(A655,'Employee Engagement Survey'!A529:D1998,4,FALSE)</f>
        <v>4</v>
      </c>
      <c r="AH655">
        <f>VLOOKUP(A655,'Employee Engagement Survey'!A529:E1998,5,FALSE)</f>
        <v>2</v>
      </c>
      <c r="AI655">
        <f t="shared" si="57"/>
        <v>2.5</v>
      </c>
    </row>
    <row r="656" spans="1:35" hidden="1" x14ac:dyDescent="0.4">
      <c r="A656">
        <v>1009</v>
      </c>
      <c r="B656" t="s">
        <v>34</v>
      </c>
      <c r="C656">
        <f t="shared" si="55"/>
        <v>1</v>
      </c>
      <c r="D656" t="s">
        <v>54</v>
      </c>
      <c r="E656">
        <f t="shared" si="56"/>
        <v>1</v>
      </c>
      <c r="F656" t="s">
        <v>28</v>
      </c>
      <c r="G656">
        <v>6</v>
      </c>
      <c r="H656" s="1">
        <v>64524</v>
      </c>
      <c r="I656" s="10">
        <v>0.15</v>
      </c>
      <c r="J656">
        <v>37.5</v>
      </c>
      <c r="K656" t="s">
        <v>34</v>
      </c>
      <c r="L656">
        <v>24</v>
      </c>
      <c r="M656" t="s">
        <v>47</v>
      </c>
      <c r="N656" t="s">
        <v>48</v>
      </c>
      <c r="O656" t="s">
        <v>31</v>
      </c>
      <c r="P656">
        <v>17</v>
      </c>
      <c r="Q656" t="s">
        <v>32</v>
      </c>
      <c r="R656" t="s">
        <v>33</v>
      </c>
      <c r="S656">
        <v>3</v>
      </c>
      <c r="T656">
        <v>2</v>
      </c>
      <c r="U656">
        <v>5</v>
      </c>
      <c r="V656">
        <v>6</v>
      </c>
      <c r="W656">
        <v>4</v>
      </c>
      <c r="X656">
        <v>2</v>
      </c>
      <c r="Y656">
        <v>3</v>
      </c>
      <c r="Z656">
        <v>2</v>
      </c>
      <c r="AA656" t="str">
        <f t="shared" si="58"/>
        <v>Mid Tenure</v>
      </c>
      <c r="AB656" s="5">
        <v>45447</v>
      </c>
      <c r="AC656">
        <f t="shared" si="59"/>
        <v>1</v>
      </c>
      <c r="AD656" t="s">
        <v>49</v>
      </c>
      <c r="AE656">
        <f>VLOOKUP(A656,'Employee Engagement Survey'!A530:B1999,2,FALSE)</f>
        <v>4</v>
      </c>
      <c r="AF656">
        <f>VLOOKUP(A656,'Employee Engagement Survey'!A530:C1999,3,FALSE)</f>
        <v>3</v>
      </c>
      <c r="AG656">
        <f>VLOOKUP(A656,'Employee Engagement Survey'!A530:D1999,4,FALSE)</f>
        <v>2</v>
      </c>
      <c r="AH656">
        <f>VLOOKUP(A656,'Employee Engagement Survey'!A530:E1999,5,FALSE)</f>
        <v>3</v>
      </c>
      <c r="AI656">
        <f t="shared" si="57"/>
        <v>3</v>
      </c>
    </row>
    <row r="657" spans="1:35" hidden="1" x14ac:dyDescent="0.4">
      <c r="A657">
        <v>804</v>
      </c>
      <c r="B657" t="s">
        <v>34</v>
      </c>
      <c r="C657">
        <f t="shared" si="55"/>
        <v>1</v>
      </c>
      <c r="D657" t="s">
        <v>27</v>
      </c>
      <c r="E657">
        <f t="shared" si="56"/>
        <v>0</v>
      </c>
      <c r="F657" t="s">
        <v>28</v>
      </c>
      <c r="G657">
        <v>6</v>
      </c>
      <c r="H657" s="1">
        <v>64572</v>
      </c>
      <c r="I657" s="10">
        <v>0.11</v>
      </c>
      <c r="J657">
        <v>37.5</v>
      </c>
      <c r="K657" t="s">
        <v>34</v>
      </c>
      <c r="L657">
        <v>34</v>
      </c>
      <c r="M657" t="s">
        <v>47</v>
      </c>
      <c r="N657" t="s">
        <v>30</v>
      </c>
      <c r="O657" t="s">
        <v>31</v>
      </c>
      <c r="P657">
        <v>2</v>
      </c>
      <c r="Q657" t="s">
        <v>51</v>
      </c>
      <c r="R657" t="s">
        <v>33</v>
      </c>
      <c r="S657">
        <v>3</v>
      </c>
      <c r="T657">
        <v>0</v>
      </c>
      <c r="U657">
        <v>6</v>
      </c>
      <c r="V657">
        <v>3</v>
      </c>
      <c r="W657">
        <v>6</v>
      </c>
      <c r="X657">
        <v>5</v>
      </c>
      <c r="Y657">
        <v>1</v>
      </c>
      <c r="Z657">
        <v>3</v>
      </c>
      <c r="AA657" t="str">
        <f t="shared" si="58"/>
        <v>Mid Tenure</v>
      </c>
      <c r="AB657" s="5">
        <v>45422</v>
      </c>
      <c r="AC657">
        <f t="shared" si="59"/>
        <v>1</v>
      </c>
      <c r="AD657" t="s">
        <v>49</v>
      </c>
      <c r="AE657">
        <f>VLOOKUP(A657,'Employee Engagement Survey'!A531:B2000,2,FALSE)</f>
        <v>3</v>
      </c>
      <c r="AF657">
        <f>VLOOKUP(A657,'Employee Engagement Survey'!A531:C2000,3,FALSE)</f>
        <v>1</v>
      </c>
      <c r="AG657">
        <f>VLOOKUP(A657,'Employee Engagement Survey'!A531:D2000,4,FALSE)</f>
        <v>3</v>
      </c>
      <c r="AH657">
        <f>VLOOKUP(A657,'Employee Engagement Survey'!A531:E2000,5,FALSE)</f>
        <v>3</v>
      </c>
      <c r="AI657">
        <f t="shared" si="57"/>
        <v>2.5</v>
      </c>
    </row>
    <row r="658" spans="1:35" hidden="1" x14ac:dyDescent="0.4">
      <c r="A658">
        <v>729</v>
      </c>
      <c r="B658" t="s">
        <v>34</v>
      </c>
      <c r="C658">
        <f t="shared" si="55"/>
        <v>1</v>
      </c>
      <c r="D658" t="s">
        <v>57</v>
      </c>
      <c r="E658">
        <f t="shared" si="56"/>
        <v>0</v>
      </c>
      <c r="F658" t="s">
        <v>40</v>
      </c>
      <c r="G658">
        <v>9</v>
      </c>
      <c r="H658" s="1">
        <v>137700</v>
      </c>
      <c r="I658" s="10">
        <v>0.21</v>
      </c>
      <c r="J658">
        <v>37.5</v>
      </c>
      <c r="K658" t="s">
        <v>26</v>
      </c>
      <c r="L658">
        <v>40</v>
      </c>
      <c r="M658" t="s">
        <v>29</v>
      </c>
      <c r="N658" t="s">
        <v>42</v>
      </c>
      <c r="O658" t="s">
        <v>44</v>
      </c>
      <c r="P658">
        <v>5</v>
      </c>
      <c r="Q658" t="s">
        <v>51</v>
      </c>
      <c r="R658" t="s">
        <v>37</v>
      </c>
      <c r="S658">
        <v>4</v>
      </c>
      <c r="T658">
        <v>1</v>
      </c>
      <c r="U658">
        <v>20</v>
      </c>
      <c r="V658">
        <v>2</v>
      </c>
      <c r="W658">
        <v>18</v>
      </c>
      <c r="X658">
        <v>13</v>
      </c>
      <c r="Y658">
        <v>1</v>
      </c>
      <c r="Z658">
        <v>12</v>
      </c>
      <c r="AA658" t="str">
        <f t="shared" si="58"/>
        <v>Long Tenure</v>
      </c>
      <c r="AB658" s="5">
        <v>44588</v>
      </c>
      <c r="AC658">
        <f t="shared" si="59"/>
        <v>0</v>
      </c>
      <c r="AD658" t="s">
        <v>38</v>
      </c>
      <c r="AE658">
        <f>VLOOKUP(A658,'Employee Engagement Survey'!A532:B2001,2,FALSE)</f>
        <v>4</v>
      </c>
      <c r="AF658">
        <f>VLOOKUP(A658,'Employee Engagement Survey'!A532:C2001,3,FALSE)</f>
        <v>1</v>
      </c>
      <c r="AG658">
        <f>VLOOKUP(A658,'Employee Engagement Survey'!A532:D2001,4,FALSE)</f>
        <v>3</v>
      </c>
      <c r="AH658">
        <f>VLOOKUP(A658,'Employee Engagement Survey'!A532:E2001,5,FALSE)</f>
        <v>3</v>
      </c>
      <c r="AI658">
        <f t="shared" si="57"/>
        <v>2.75</v>
      </c>
    </row>
    <row r="659" spans="1:35" hidden="1" x14ac:dyDescent="0.4">
      <c r="A659">
        <v>730</v>
      </c>
      <c r="B659" t="s">
        <v>34</v>
      </c>
      <c r="C659">
        <f t="shared" si="55"/>
        <v>1</v>
      </c>
      <c r="D659" t="s">
        <v>60</v>
      </c>
      <c r="E659">
        <f t="shared" si="56"/>
        <v>1</v>
      </c>
      <c r="F659" t="s">
        <v>28</v>
      </c>
      <c r="G659">
        <v>4</v>
      </c>
      <c r="H659" s="1">
        <v>189768</v>
      </c>
      <c r="I659" s="10">
        <v>0.19</v>
      </c>
      <c r="J659">
        <v>37.5</v>
      </c>
      <c r="K659" t="s">
        <v>34</v>
      </c>
      <c r="L659">
        <v>53</v>
      </c>
      <c r="M659" t="s">
        <v>29</v>
      </c>
      <c r="N659" t="s">
        <v>42</v>
      </c>
      <c r="O659" t="s">
        <v>31</v>
      </c>
      <c r="P659">
        <v>7</v>
      </c>
      <c r="Q659" t="s">
        <v>43</v>
      </c>
      <c r="R659" t="s">
        <v>37</v>
      </c>
      <c r="S659">
        <v>3</v>
      </c>
      <c r="T659">
        <v>0</v>
      </c>
      <c r="U659">
        <v>32</v>
      </c>
      <c r="V659">
        <v>3</v>
      </c>
      <c r="W659">
        <v>5</v>
      </c>
      <c r="X659">
        <v>1</v>
      </c>
      <c r="Y659">
        <v>1</v>
      </c>
      <c r="Z659">
        <v>3</v>
      </c>
      <c r="AA659" t="str">
        <f t="shared" si="58"/>
        <v>Mid Tenure</v>
      </c>
      <c r="AB659" s="5">
        <v>44697</v>
      </c>
      <c r="AC659">
        <f t="shared" si="59"/>
        <v>0</v>
      </c>
      <c r="AD659" t="s">
        <v>38</v>
      </c>
      <c r="AE659">
        <f>VLOOKUP(A659,'Employee Engagement Survey'!A533:B2002,2,FALSE)</f>
        <v>3</v>
      </c>
      <c r="AF659">
        <f>VLOOKUP(A659,'Employee Engagement Survey'!A533:C2002,3,FALSE)</f>
        <v>3</v>
      </c>
      <c r="AG659">
        <f>VLOOKUP(A659,'Employee Engagement Survey'!A533:D2002,4,FALSE)</f>
        <v>3</v>
      </c>
      <c r="AH659">
        <f>VLOOKUP(A659,'Employee Engagement Survey'!A533:E2002,5,FALSE)</f>
        <v>3</v>
      </c>
      <c r="AI659">
        <f t="shared" si="57"/>
        <v>3</v>
      </c>
    </row>
    <row r="660" spans="1:35" hidden="1" x14ac:dyDescent="0.4">
      <c r="A660">
        <v>731</v>
      </c>
      <c r="B660" t="s">
        <v>34</v>
      </c>
      <c r="C660">
        <f t="shared" si="55"/>
        <v>1</v>
      </c>
      <c r="D660" t="s">
        <v>108</v>
      </c>
      <c r="E660">
        <f t="shared" si="56"/>
        <v>1</v>
      </c>
      <c r="F660" t="s">
        <v>59</v>
      </c>
      <c r="G660">
        <v>5</v>
      </c>
      <c r="H660" s="1">
        <v>241692</v>
      </c>
      <c r="I660" s="10">
        <v>0.15</v>
      </c>
      <c r="J660">
        <v>37.5</v>
      </c>
      <c r="K660" t="s">
        <v>34</v>
      </c>
      <c r="L660">
        <v>41</v>
      </c>
      <c r="M660" t="s">
        <v>29</v>
      </c>
      <c r="N660" t="s">
        <v>48</v>
      </c>
      <c r="O660" t="s">
        <v>31</v>
      </c>
      <c r="P660">
        <v>10</v>
      </c>
      <c r="Q660" t="s">
        <v>51</v>
      </c>
      <c r="R660" t="s">
        <v>59</v>
      </c>
      <c r="S660">
        <v>3</v>
      </c>
      <c r="T660">
        <v>3</v>
      </c>
      <c r="U660">
        <v>23</v>
      </c>
      <c r="V660">
        <v>2</v>
      </c>
      <c r="W660">
        <v>21</v>
      </c>
      <c r="X660">
        <v>6</v>
      </c>
      <c r="Y660">
        <v>12</v>
      </c>
      <c r="Z660">
        <v>6</v>
      </c>
      <c r="AA660" t="str">
        <f t="shared" si="58"/>
        <v>Long Tenure</v>
      </c>
      <c r="AB660" s="5">
        <v>45171</v>
      </c>
      <c r="AC660">
        <f t="shared" si="59"/>
        <v>0</v>
      </c>
      <c r="AD660" t="s">
        <v>49</v>
      </c>
      <c r="AE660">
        <f>VLOOKUP(A660,'Employee Engagement Survey'!A534:B2003,2,FALSE)</f>
        <v>2</v>
      </c>
      <c r="AF660">
        <f>VLOOKUP(A660,'Employee Engagement Survey'!A534:C2003,3,FALSE)</f>
        <v>4</v>
      </c>
      <c r="AG660">
        <f>VLOOKUP(A660,'Employee Engagement Survey'!A534:D2003,4,FALSE)</f>
        <v>2</v>
      </c>
      <c r="AH660">
        <f>VLOOKUP(A660,'Employee Engagement Survey'!A534:E2003,5,FALSE)</f>
        <v>2</v>
      </c>
      <c r="AI660">
        <f t="shared" si="57"/>
        <v>2.5</v>
      </c>
    </row>
    <row r="661" spans="1:35" hidden="1" x14ac:dyDescent="0.4">
      <c r="A661">
        <v>1909</v>
      </c>
      <c r="B661" t="s">
        <v>34</v>
      </c>
      <c r="C661">
        <f t="shared" si="55"/>
        <v>1</v>
      </c>
      <c r="D661" t="s">
        <v>57</v>
      </c>
      <c r="E661">
        <f t="shared" si="56"/>
        <v>0</v>
      </c>
      <c r="F661" t="s">
        <v>40</v>
      </c>
      <c r="G661">
        <v>6</v>
      </c>
      <c r="H661" s="1">
        <v>64716</v>
      </c>
      <c r="I661" s="10">
        <v>0.21</v>
      </c>
      <c r="J661">
        <v>37.5</v>
      </c>
      <c r="K661" t="s">
        <v>34</v>
      </c>
      <c r="L661">
        <v>41</v>
      </c>
      <c r="M661" t="s">
        <v>47</v>
      </c>
      <c r="N661" t="s">
        <v>42</v>
      </c>
      <c r="O661" t="s">
        <v>31</v>
      </c>
      <c r="P661">
        <v>8</v>
      </c>
      <c r="Q661" t="s">
        <v>43</v>
      </c>
      <c r="R661" t="s">
        <v>56</v>
      </c>
      <c r="S661">
        <v>4</v>
      </c>
      <c r="T661">
        <v>1</v>
      </c>
      <c r="U661">
        <v>14</v>
      </c>
      <c r="V661">
        <v>3</v>
      </c>
      <c r="W661">
        <v>5</v>
      </c>
      <c r="X661">
        <v>4</v>
      </c>
      <c r="Y661">
        <v>1</v>
      </c>
      <c r="Z661">
        <v>4</v>
      </c>
      <c r="AA661" t="str">
        <f t="shared" si="58"/>
        <v>Mid Tenure</v>
      </c>
      <c r="AB661" s="5">
        <v>45741</v>
      </c>
      <c r="AC661">
        <f t="shared" si="59"/>
        <v>1</v>
      </c>
      <c r="AD661" t="s">
        <v>49</v>
      </c>
      <c r="AE661">
        <f>VLOOKUP(A661,'Employee Engagement Survey'!A535:B2004,2,FALSE)</f>
        <v>3</v>
      </c>
      <c r="AF661">
        <f>VLOOKUP(A661,'Employee Engagement Survey'!A535:C2004,3,FALSE)</f>
        <v>2</v>
      </c>
      <c r="AG661">
        <f>VLOOKUP(A661,'Employee Engagement Survey'!A535:D2004,4,FALSE)</f>
        <v>3</v>
      </c>
      <c r="AH661">
        <f>VLOOKUP(A661,'Employee Engagement Survey'!A535:E2004,5,FALSE)</f>
        <v>3</v>
      </c>
      <c r="AI661">
        <f t="shared" si="57"/>
        <v>2.75</v>
      </c>
    </row>
    <row r="662" spans="1:35" hidden="1" x14ac:dyDescent="0.4">
      <c r="A662">
        <v>732</v>
      </c>
      <c r="B662" t="s">
        <v>34</v>
      </c>
      <c r="C662">
        <f t="shared" si="55"/>
        <v>1</v>
      </c>
      <c r="D662" t="s">
        <v>57</v>
      </c>
      <c r="E662">
        <f t="shared" si="56"/>
        <v>0</v>
      </c>
      <c r="F662" t="s">
        <v>40</v>
      </c>
      <c r="G662">
        <v>7</v>
      </c>
      <c r="H662" s="1">
        <v>76860</v>
      </c>
      <c r="I662" s="10">
        <v>0.14000000000000001</v>
      </c>
      <c r="J662">
        <v>37.5</v>
      </c>
      <c r="K662" t="s">
        <v>34</v>
      </c>
      <c r="L662">
        <v>60</v>
      </c>
      <c r="M662" t="s">
        <v>29</v>
      </c>
      <c r="N662" t="s">
        <v>30</v>
      </c>
      <c r="O662" t="s">
        <v>31</v>
      </c>
      <c r="P662">
        <v>16</v>
      </c>
      <c r="Q662" t="s">
        <v>51</v>
      </c>
      <c r="R662" t="s">
        <v>56</v>
      </c>
      <c r="S662">
        <v>3</v>
      </c>
      <c r="T662">
        <v>0</v>
      </c>
      <c r="U662">
        <v>10</v>
      </c>
      <c r="V662">
        <v>1</v>
      </c>
      <c r="W662">
        <v>2</v>
      </c>
      <c r="X662">
        <v>2</v>
      </c>
      <c r="Y662">
        <v>2</v>
      </c>
      <c r="Z662">
        <v>2</v>
      </c>
      <c r="AA662" t="str">
        <f t="shared" si="58"/>
        <v>Early Tenure</v>
      </c>
      <c r="AB662" s="5">
        <v>44825</v>
      </c>
      <c r="AC662">
        <f t="shared" si="59"/>
        <v>0</v>
      </c>
      <c r="AD662" t="s">
        <v>38</v>
      </c>
      <c r="AE662">
        <f>VLOOKUP(A662,'Employee Engagement Survey'!A536:B2005,2,FALSE)</f>
        <v>1</v>
      </c>
      <c r="AF662">
        <f>VLOOKUP(A662,'Employee Engagement Survey'!A536:C2005,3,FALSE)</f>
        <v>1</v>
      </c>
      <c r="AG662">
        <f>VLOOKUP(A662,'Employee Engagement Survey'!A536:D2005,4,FALSE)</f>
        <v>4</v>
      </c>
      <c r="AH662">
        <f>VLOOKUP(A662,'Employee Engagement Survey'!A536:E2005,5,FALSE)</f>
        <v>3</v>
      </c>
      <c r="AI662">
        <f t="shared" si="57"/>
        <v>2.25</v>
      </c>
    </row>
    <row r="663" spans="1:35" hidden="1" x14ac:dyDescent="0.4">
      <c r="A663">
        <v>733</v>
      </c>
      <c r="B663" t="s">
        <v>34</v>
      </c>
      <c r="C663">
        <f t="shared" si="55"/>
        <v>1</v>
      </c>
      <c r="D663" t="s">
        <v>54</v>
      </c>
      <c r="E663">
        <f t="shared" si="56"/>
        <v>1</v>
      </c>
      <c r="F663" t="s">
        <v>28</v>
      </c>
      <c r="G663">
        <v>9</v>
      </c>
      <c r="H663" s="1">
        <v>117516</v>
      </c>
      <c r="I663" s="10">
        <v>0.21</v>
      </c>
      <c r="J663">
        <v>37.5</v>
      </c>
      <c r="K663" t="s">
        <v>34</v>
      </c>
      <c r="L663">
        <v>27</v>
      </c>
      <c r="M663" t="s">
        <v>29</v>
      </c>
      <c r="N663" t="s">
        <v>48</v>
      </c>
      <c r="O663" t="s">
        <v>44</v>
      </c>
      <c r="P663">
        <v>10</v>
      </c>
      <c r="Q663" t="s">
        <v>36</v>
      </c>
      <c r="R663" t="s">
        <v>37</v>
      </c>
      <c r="S663">
        <v>4</v>
      </c>
      <c r="T663">
        <v>2</v>
      </c>
      <c r="U663">
        <v>9</v>
      </c>
      <c r="V663">
        <v>4</v>
      </c>
      <c r="W663">
        <v>9</v>
      </c>
      <c r="X663">
        <v>7</v>
      </c>
      <c r="Y663">
        <v>1</v>
      </c>
      <c r="Z663">
        <v>7</v>
      </c>
      <c r="AA663" t="str">
        <f t="shared" si="58"/>
        <v>Mid Tenure</v>
      </c>
      <c r="AB663" s="5">
        <v>45562</v>
      </c>
      <c r="AC663">
        <f t="shared" si="59"/>
        <v>1</v>
      </c>
      <c r="AD663" t="s">
        <v>38</v>
      </c>
      <c r="AE663">
        <f>VLOOKUP(A663,'Employee Engagement Survey'!A537:B2006,2,FALSE)</f>
        <v>4</v>
      </c>
      <c r="AF663">
        <f>VLOOKUP(A663,'Employee Engagement Survey'!A537:C2006,3,FALSE)</f>
        <v>1</v>
      </c>
      <c r="AG663">
        <f>VLOOKUP(A663,'Employee Engagement Survey'!A537:D2006,4,FALSE)</f>
        <v>3</v>
      </c>
      <c r="AH663">
        <f>VLOOKUP(A663,'Employee Engagement Survey'!A537:E2006,5,FALSE)</f>
        <v>2</v>
      </c>
      <c r="AI663">
        <f t="shared" si="57"/>
        <v>2.5</v>
      </c>
    </row>
    <row r="664" spans="1:35" hidden="1" x14ac:dyDescent="0.4">
      <c r="A664">
        <v>734</v>
      </c>
      <c r="B664" t="s">
        <v>34</v>
      </c>
      <c r="C664">
        <f t="shared" si="55"/>
        <v>1</v>
      </c>
      <c r="D664" t="s">
        <v>108</v>
      </c>
      <c r="E664">
        <f t="shared" si="56"/>
        <v>1</v>
      </c>
      <c r="F664" t="s">
        <v>59</v>
      </c>
      <c r="G664">
        <v>5</v>
      </c>
      <c r="H664" s="1">
        <v>242268</v>
      </c>
      <c r="I664" s="10">
        <v>0.12</v>
      </c>
      <c r="J664">
        <v>37.5</v>
      </c>
      <c r="K664" t="s">
        <v>34</v>
      </c>
      <c r="L664">
        <v>41</v>
      </c>
      <c r="M664" t="s">
        <v>29</v>
      </c>
      <c r="N664" t="s">
        <v>42</v>
      </c>
      <c r="O664" t="s">
        <v>31</v>
      </c>
      <c r="P664">
        <v>1</v>
      </c>
      <c r="Q664" t="s">
        <v>43</v>
      </c>
      <c r="R664" t="s">
        <v>59</v>
      </c>
      <c r="S664">
        <v>3</v>
      </c>
      <c r="T664">
        <v>1</v>
      </c>
      <c r="U664">
        <v>22</v>
      </c>
      <c r="V664">
        <v>3</v>
      </c>
      <c r="W664">
        <v>22</v>
      </c>
      <c r="X664">
        <v>7</v>
      </c>
      <c r="Y664">
        <v>2</v>
      </c>
      <c r="Z664">
        <v>10</v>
      </c>
      <c r="AA664" t="str">
        <f t="shared" si="58"/>
        <v>Long Tenure</v>
      </c>
      <c r="AB664" s="5">
        <v>45414</v>
      </c>
      <c r="AC664">
        <f t="shared" si="59"/>
        <v>1</v>
      </c>
      <c r="AD664" t="s">
        <v>38</v>
      </c>
      <c r="AE664">
        <f>VLOOKUP(A664,'Employee Engagement Survey'!A538:B2007,2,FALSE)</f>
        <v>4</v>
      </c>
      <c r="AF664">
        <f>VLOOKUP(A664,'Employee Engagement Survey'!A538:C2007,3,FALSE)</f>
        <v>3</v>
      </c>
      <c r="AG664">
        <f>VLOOKUP(A664,'Employee Engagement Survey'!A538:D2007,4,FALSE)</f>
        <v>2</v>
      </c>
      <c r="AH664">
        <f>VLOOKUP(A664,'Employee Engagement Survey'!A538:E2007,5,FALSE)</f>
        <v>3</v>
      </c>
      <c r="AI664">
        <f t="shared" si="57"/>
        <v>3</v>
      </c>
    </row>
    <row r="665" spans="1:35" hidden="1" x14ac:dyDescent="0.4">
      <c r="A665">
        <v>738</v>
      </c>
      <c r="B665" t="s">
        <v>34</v>
      </c>
      <c r="C665">
        <f t="shared" si="55"/>
        <v>1</v>
      </c>
      <c r="D665" t="s">
        <v>39</v>
      </c>
      <c r="E665">
        <f t="shared" si="56"/>
        <v>0</v>
      </c>
      <c r="F665" t="s">
        <v>40</v>
      </c>
      <c r="G665">
        <v>7</v>
      </c>
      <c r="H665" s="1">
        <v>70500</v>
      </c>
      <c r="I665" s="10">
        <v>0.15</v>
      </c>
      <c r="J665">
        <v>37.5</v>
      </c>
      <c r="K665" t="s">
        <v>34</v>
      </c>
      <c r="L665">
        <v>50</v>
      </c>
      <c r="M665" t="s">
        <v>29</v>
      </c>
      <c r="N665" t="s">
        <v>42</v>
      </c>
      <c r="O665" t="s">
        <v>31</v>
      </c>
      <c r="P665">
        <v>8</v>
      </c>
      <c r="Q665" t="s">
        <v>51</v>
      </c>
      <c r="R665" t="s">
        <v>56</v>
      </c>
      <c r="S665">
        <v>3</v>
      </c>
      <c r="T665">
        <v>1</v>
      </c>
      <c r="U665">
        <v>4</v>
      </c>
      <c r="V665">
        <v>2</v>
      </c>
      <c r="W665">
        <v>2</v>
      </c>
      <c r="X665">
        <v>2</v>
      </c>
      <c r="Y665">
        <v>2</v>
      </c>
      <c r="Z665">
        <v>2</v>
      </c>
      <c r="AA665" t="str">
        <f t="shared" si="58"/>
        <v>Early Tenure</v>
      </c>
      <c r="AB665" s="5">
        <v>45489</v>
      </c>
      <c r="AC665">
        <f t="shared" si="59"/>
        <v>1</v>
      </c>
      <c r="AD665" t="s">
        <v>38</v>
      </c>
      <c r="AE665">
        <f>VLOOKUP(A665,'Employee Engagement Survey'!A539:B2008,2,FALSE)</f>
        <v>4</v>
      </c>
      <c r="AF665">
        <f>VLOOKUP(A665,'Employee Engagement Survey'!A539:C2008,3,FALSE)</f>
        <v>2</v>
      </c>
      <c r="AG665">
        <f>VLOOKUP(A665,'Employee Engagement Survey'!A539:D2008,4,FALSE)</f>
        <v>4</v>
      </c>
      <c r="AH665">
        <f>VLOOKUP(A665,'Employee Engagement Survey'!A539:E2008,5,FALSE)</f>
        <v>3</v>
      </c>
      <c r="AI665">
        <f t="shared" si="57"/>
        <v>3.25</v>
      </c>
    </row>
    <row r="666" spans="1:35" hidden="1" x14ac:dyDescent="0.4">
      <c r="A666">
        <v>744</v>
      </c>
      <c r="B666" t="s">
        <v>34</v>
      </c>
      <c r="C666">
        <f t="shared" si="55"/>
        <v>1</v>
      </c>
      <c r="D666" t="s">
        <v>46</v>
      </c>
      <c r="E666">
        <f t="shared" si="56"/>
        <v>0</v>
      </c>
      <c r="F666" t="s">
        <v>28</v>
      </c>
      <c r="G666">
        <v>6</v>
      </c>
      <c r="H666" s="1">
        <v>68496</v>
      </c>
      <c r="I666" s="10">
        <v>0.14000000000000001</v>
      </c>
      <c r="J666">
        <v>37.5</v>
      </c>
      <c r="K666" t="s">
        <v>34</v>
      </c>
      <c r="L666">
        <v>44</v>
      </c>
      <c r="M666" t="s">
        <v>29</v>
      </c>
      <c r="N666" t="s">
        <v>30</v>
      </c>
      <c r="O666" t="s">
        <v>35</v>
      </c>
      <c r="P666">
        <v>24</v>
      </c>
      <c r="Q666" t="s">
        <v>43</v>
      </c>
      <c r="R666" t="s">
        <v>33</v>
      </c>
      <c r="S666">
        <v>3</v>
      </c>
      <c r="T666">
        <v>0</v>
      </c>
      <c r="U666">
        <v>9</v>
      </c>
      <c r="V666">
        <v>5</v>
      </c>
      <c r="W666">
        <v>5</v>
      </c>
      <c r="X666">
        <v>2</v>
      </c>
      <c r="Y666">
        <v>1</v>
      </c>
      <c r="Z666">
        <v>4</v>
      </c>
      <c r="AA666" t="str">
        <f t="shared" si="58"/>
        <v>Mid Tenure</v>
      </c>
      <c r="AB666" s="5">
        <v>44579</v>
      </c>
      <c r="AC666">
        <f t="shared" si="59"/>
        <v>0</v>
      </c>
      <c r="AD666" t="s">
        <v>38</v>
      </c>
      <c r="AE666">
        <f>VLOOKUP(A666,'Employee Engagement Survey'!A540:B2009,2,FALSE)</f>
        <v>1</v>
      </c>
      <c r="AF666">
        <f>VLOOKUP(A666,'Employee Engagement Survey'!A540:C2009,3,FALSE)</f>
        <v>3</v>
      </c>
      <c r="AG666">
        <f>VLOOKUP(A666,'Employee Engagement Survey'!A540:D2009,4,FALSE)</f>
        <v>3</v>
      </c>
      <c r="AH666">
        <f>VLOOKUP(A666,'Employee Engagement Survey'!A540:E2009,5,FALSE)</f>
        <v>3</v>
      </c>
      <c r="AI666">
        <f t="shared" si="57"/>
        <v>2.5</v>
      </c>
    </row>
    <row r="667" spans="1:35" hidden="1" x14ac:dyDescent="0.4">
      <c r="A667">
        <v>747</v>
      </c>
      <c r="B667" t="s">
        <v>34</v>
      </c>
      <c r="C667">
        <f t="shared" si="55"/>
        <v>1</v>
      </c>
      <c r="D667" t="s">
        <v>57</v>
      </c>
      <c r="E667">
        <f t="shared" si="56"/>
        <v>0</v>
      </c>
      <c r="F667" t="s">
        <v>40</v>
      </c>
      <c r="G667">
        <v>7</v>
      </c>
      <c r="H667" s="1">
        <v>75648</v>
      </c>
      <c r="I667" s="10">
        <v>0.23</v>
      </c>
      <c r="J667">
        <v>37.5</v>
      </c>
      <c r="K667" t="s">
        <v>34</v>
      </c>
      <c r="L667">
        <v>30</v>
      </c>
      <c r="M667" t="s">
        <v>29</v>
      </c>
      <c r="N667" t="s">
        <v>48</v>
      </c>
      <c r="O667" t="s">
        <v>31</v>
      </c>
      <c r="P667">
        <v>27</v>
      </c>
      <c r="Q667" t="s">
        <v>58</v>
      </c>
      <c r="R667" t="s">
        <v>56</v>
      </c>
      <c r="S667">
        <v>4</v>
      </c>
      <c r="T667">
        <v>1</v>
      </c>
      <c r="U667">
        <v>10</v>
      </c>
      <c r="V667">
        <v>2</v>
      </c>
      <c r="W667">
        <v>8</v>
      </c>
      <c r="X667">
        <v>7</v>
      </c>
      <c r="Y667">
        <v>7</v>
      </c>
      <c r="Z667">
        <v>7</v>
      </c>
      <c r="AA667" t="str">
        <f t="shared" si="58"/>
        <v>Mid Tenure</v>
      </c>
      <c r="AB667" s="5">
        <v>45168</v>
      </c>
      <c r="AC667">
        <f t="shared" si="59"/>
        <v>0</v>
      </c>
      <c r="AD667" t="s">
        <v>38</v>
      </c>
      <c r="AE667">
        <f>VLOOKUP(A667,'Employee Engagement Survey'!A541:B2010,2,FALSE)</f>
        <v>3</v>
      </c>
      <c r="AF667">
        <f>VLOOKUP(A667,'Employee Engagement Survey'!A541:C2010,3,FALSE)</f>
        <v>4</v>
      </c>
      <c r="AG667">
        <f>VLOOKUP(A667,'Employee Engagement Survey'!A541:D2010,4,FALSE)</f>
        <v>4</v>
      </c>
      <c r="AH667">
        <f>VLOOKUP(A667,'Employee Engagement Survey'!A541:E2010,5,FALSE)</f>
        <v>2</v>
      </c>
      <c r="AI667">
        <f t="shared" si="57"/>
        <v>3.25</v>
      </c>
    </row>
    <row r="668" spans="1:35" hidden="1" x14ac:dyDescent="0.4">
      <c r="A668">
        <v>749</v>
      </c>
      <c r="B668" t="s">
        <v>34</v>
      </c>
      <c r="C668">
        <f t="shared" si="55"/>
        <v>1</v>
      </c>
      <c r="D668" t="s">
        <v>39</v>
      </c>
      <c r="E668">
        <f t="shared" si="56"/>
        <v>0</v>
      </c>
      <c r="F668" t="s">
        <v>40</v>
      </c>
      <c r="G668">
        <v>5</v>
      </c>
      <c r="H668" s="1">
        <v>55704</v>
      </c>
      <c r="I668" s="10">
        <v>0.11</v>
      </c>
      <c r="J668">
        <v>37.5</v>
      </c>
      <c r="K668" t="s">
        <v>34</v>
      </c>
      <c r="L668">
        <v>29</v>
      </c>
      <c r="M668" t="s">
        <v>29</v>
      </c>
      <c r="N668" t="s">
        <v>30</v>
      </c>
      <c r="O668" t="s">
        <v>31</v>
      </c>
      <c r="P668">
        <v>10</v>
      </c>
      <c r="Q668" t="s">
        <v>43</v>
      </c>
      <c r="R668" t="s">
        <v>37</v>
      </c>
      <c r="S668">
        <v>3</v>
      </c>
      <c r="T668">
        <v>0</v>
      </c>
      <c r="U668">
        <v>1</v>
      </c>
      <c r="V668">
        <v>6</v>
      </c>
      <c r="W668">
        <v>1</v>
      </c>
      <c r="X668">
        <v>0</v>
      </c>
      <c r="Y668">
        <v>0</v>
      </c>
      <c r="Z668">
        <v>0</v>
      </c>
      <c r="AA668" t="str">
        <f t="shared" si="58"/>
        <v>Early Tenure</v>
      </c>
      <c r="AB668" s="5">
        <v>44889</v>
      </c>
      <c r="AC668">
        <f t="shared" si="59"/>
        <v>0</v>
      </c>
      <c r="AD668" t="s">
        <v>38</v>
      </c>
      <c r="AE668">
        <f>VLOOKUP(A668,'Employee Engagement Survey'!A542:B2011,2,FALSE)</f>
        <v>3</v>
      </c>
      <c r="AF668">
        <f>VLOOKUP(A668,'Employee Engagement Survey'!A542:C2011,3,FALSE)</f>
        <v>3</v>
      </c>
      <c r="AG668">
        <f>VLOOKUP(A668,'Employee Engagement Survey'!A542:D2011,4,FALSE)</f>
        <v>3</v>
      </c>
      <c r="AH668">
        <f>VLOOKUP(A668,'Employee Engagement Survey'!A542:E2011,5,FALSE)</f>
        <v>3</v>
      </c>
      <c r="AI668">
        <f t="shared" si="57"/>
        <v>3</v>
      </c>
    </row>
    <row r="669" spans="1:35" hidden="1" x14ac:dyDescent="0.4">
      <c r="A669">
        <v>51</v>
      </c>
      <c r="B669" t="s">
        <v>34</v>
      </c>
      <c r="C669">
        <f t="shared" si="55"/>
        <v>1</v>
      </c>
      <c r="D669" t="s">
        <v>27</v>
      </c>
      <c r="E669">
        <f t="shared" si="56"/>
        <v>0</v>
      </c>
      <c r="F669" t="s">
        <v>28</v>
      </c>
      <c r="G669">
        <v>6</v>
      </c>
      <c r="H669" s="1">
        <v>65028</v>
      </c>
      <c r="I669" s="10">
        <v>0.14000000000000001</v>
      </c>
      <c r="J669">
        <v>37.5</v>
      </c>
      <c r="K669" t="s">
        <v>26</v>
      </c>
      <c r="L669">
        <v>36</v>
      </c>
      <c r="M669" t="s">
        <v>47</v>
      </c>
      <c r="N669" t="s">
        <v>42</v>
      </c>
      <c r="O669" t="s">
        <v>31</v>
      </c>
      <c r="P669">
        <v>5</v>
      </c>
      <c r="Q669" t="s">
        <v>51</v>
      </c>
      <c r="R669" t="s">
        <v>37</v>
      </c>
      <c r="S669">
        <v>3</v>
      </c>
      <c r="T669">
        <v>1</v>
      </c>
      <c r="U669">
        <v>6</v>
      </c>
      <c r="V669">
        <v>3</v>
      </c>
      <c r="W669">
        <v>1</v>
      </c>
      <c r="X669">
        <v>1</v>
      </c>
      <c r="Y669">
        <v>0</v>
      </c>
      <c r="Z669">
        <v>0</v>
      </c>
      <c r="AA669" t="str">
        <f t="shared" si="58"/>
        <v>Early Tenure</v>
      </c>
      <c r="AB669" s="5">
        <v>45976</v>
      </c>
      <c r="AC669">
        <f t="shared" si="59"/>
        <v>1</v>
      </c>
      <c r="AD669" t="s">
        <v>49</v>
      </c>
      <c r="AE669">
        <f>VLOOKUP(A669,'Employee Engagement Survey'!A543:B2012,2,FALSE)</f>
        <v>2</v>
      </c>
      <c r="AF669">
        <f>VLOOKUP(A669,'Employee Engagement Survey'!A543:C2012,3,FALSE)</f>
        <v>1</v>
      </c>
      <c r="AG669">
        <f>VLOOKUP(A669,'Employee Engagement Survey'!A543:D2012,4,FALSE)</f>
        <v>4</v>
      </c>
      <c r="AH669">
        <f>VLOOKUP(A669,'Employee Engagement Survey'!A543:E2012,5,FALSE)</f>
        <v>4</v>
      </c>
      <c r="AI669">
        <f t="shared" si="57"/>
        <v>2.75</v>
      </c>
    </row>
    <row r="670" spans="1:35" hidden="1" x14ac:dyDescent="0.4">
      <c r="A670">
        <v>754</v>
      </c>
      <c r="B670" t="s">
        <v>34</v>
      </c>
      <c r="C670">
        <f t="shared" si="55"/>
        <v>1</v>
      </c>
      <c r="D670" t="s">
        <v>57</v>
      </c>
      <c r="E670">
        <f t="shared" si="56"/>
        <v>0</v>
      </c>
      <c r="F670" t="s">
        <v>40</v>
      </c>
      <c r="G670">
        <v>8</v>
      </c>
      <c r="H670" s="1">
        <v>93648</v>
      </c>
      <c r="I670" s="10">
        <v>0.18</v>
      </c>
      <c r="J670">
        <v>37.5</v>
      </c>
      <c r="K670" t="s">
        <v>34</v>
      </c>
      <c r="L670">
        <v>43</v>
      </c>
      <c r="M670" t="s">
        <v>29</v>
      </c>
      <c r="N670" t="s">
        <v>42</v>
      </c>
      <c r="O670" t="s">
        <v>44</v>
      </c>
      <c r="P670">
        <v>15</v>
      </c>
      <c r="Q670" t="s">
        <v>43</v>
      </c>
      <c r="R670" t="s">
        <v>37</v>
      </c>
      <c r="S670">
        <v>3</v>
      </c>
      <c r="T670">
        <v>1</v>
      </c>
      <c r="U670">
        <v>7</v>
      </c>
      <c r="V670">
        <v>5</v>
      </c>
      <c r="W670">
        <v>2</v>
      </c>
      <c r="X670">
        <v>2</v>
      </c>
      <c r="Y670">
        <v>2</v>
      </c>
      <c r="Z670">
        <v>2</v>
      </c>
      <c r="AA670" t="str">
        <f t="shared" si="58"/>
        <v>Early Tenure</v>
      </c>
      <c r="AB670" s="5">
        <v>45202</v>
      </c>
      <c r="AC670">
        <f t="shared" si="59"/>
        <v>0</v>
      </c>
      <c r="AD670" t="s">
        <v>38</v>
      </c>
      <c r="AE670">
        <f>VLOOKUP(A670,'Employee Engagement Survey'!A545:B2014,2,FALSE)</f>
        <v>4</v>
      </c>
      <c r="AF670">
        <f>VLOOKUP(A670,'Employee Engagement Survey'!A545:C2014,3,FALSE)</f>
        <v>4</v>
      </c>
      <c r="AG670">
        <f>VLOOKUP(A670,'Employee Engagement Survey'!A545:D2014,4,FALSE)</f>
        <v>3</v>
      </c>
      <c r="AH670">
        <f>VLOOKUP(A670,'Employee Engagement Survey'!A545:E2014,5,FALSE)</f>
        <v>3</v>
      </c>
      <c r="AI670">
        <f t="shared" si="57"/>
        <v>3.5</v>
      </c>
    </row>
    <row r="671" spans="1:35" hidden="1" x14ac:dyDescent="0.4">
      <c r="A671">
        <v>758</v>
      </c>
      <c r="B671" t="s">
        <v>34</v>
      </c>
      <c r="C671">
        <f t="shared" si="55"/>
        <v>1</v>
      </c>
      <c r="D671" t="s">
        <v>46</v>
      </c>
      <c r="E671">
        <f t="shared" si="56"/>
        <v>0</v>
      </c>
      <c r="F671" t="s">
        <v>28</v>
      </c>
      <c r="G671">
        <v>4</v>
      </c>
      <c r="H671" s="1">
        <v>54000</v>
      </c>
      <c r="I671" s="10">
        <v>0.14000000000000001</v>
      </c>
      <c r="J671">
        <v>37.5</v>
      </c>
      <c r="K671" t="s">
        <v>34</v>
      </c>
      <c r="L671">
        <v>23</v>
      </c>
      <c r="M671" t="s">
        <v>29</v>
      </c>
      <c r="N671" t="s">
        <v>42</v>
      </c>
      <c r="O671" t="s">
        <v>31</v>
      </c>
      <c r="P671">
        <v>9</v>
      </c>
      <c r="Q671" t="s">
        <v>32</v>
      </c>
      <c r="R671" t="s">
        <v>33</v>
      </c>
      <c r="S671">
        <v>3</v>
      </c>
      <c r="T671">
        <v>1</v>
      </c>
      <c r="U671">
        <v>5</v>
      </c>
      <c r="V671">
        <v>2</v>
      </c>
      <c r="W671">
        <v>4</v>
      </c>
      <c r="X671">
        <v>3</v>
      </c>
      <c r="Y671">
        <v>0</v>
      </c>
      <c r="Z671">
        <v>2</v>
      </c>
      <c r="AA671" t="str">
        <f t="shared" si="58"/>
        <v>Mid Tenure</v>
      </c>
      <c r="AB671" s="5">
        <v>45619</v>
      </c>
      <c r="AC671">
        <f t="shared" si="59"/>
        <v>1</v>
      </c>
      <c r="AD671" t="s">
        <v>49</v>
      </c>
      <c r="AE671">
        <f>VLOOKUP(A671,'Employee Engagement Survey'!A546:B2015,2,FALSE)</f>
        <v>2</v>
      </c>
      <c r="AF671">
        <f>VLOOKUP(A671,'Employee Engagement Survey'!A546:C2015,3,FALSE)</f>
        <v>1</v>
      </c>
      <c r="AG671">
        <f>VLOOKUP(A671,'Employee Engagement Survey'!A546:D2015,4,FALSE)</f>
        <v>4</v>
      </c>
      <c r="AH671">
        <f>VLOOKUP(A671,'Employee Engagement Survey'!A546:E2015,5,FALSE)</f>
        <v>4</v>
      </c>
      <c r="AI671">
        <f t="shared" si="57"/>
        <v>2.75</v>
      </c>
    </row>
    <row r="672" spans="1:35" hidden="1" x14ac:dyDescent="0.4">
      <c r="A672">
        <v>1180</v>
      </c>
      <c r="B672" t="s">
        <v>34</v>
      </c>
      <c r="C672">
        <f t="shared" si="55"/>
        <v>1</v>
      </c>
      <c r="D672" t="s">
        <v>27</v>
      </c>
      <c r="E672">
        <f t="shared" si="56"/>
        <v>0</v>
      </c>
      <c r="F672" t="s">
        <v>28</v>
      </c>
      <c r="G672">
        <v>6</v>
      </c>
      <c r="H672" s="1">
        <v>65064</v>
      </c>
      <c r="I672" s="10">
        <v>0.13</v>
      </c>
      <c r="J672">
        <v>37.5</v>
      </c>
      <c r="K672" t="s">
        <v>26</v>
      </c>
      <c r="L672">
        <v>40</v>
      </c>
      <c r="M672" t="s">
        <v>47</v>
      </c>
      <c r="N672" t="s">
        <v>42</v>
      </c>
      <c r="O672" t="s">
        <v>44</v>
      </c>
      <c r="P672">
        <v>26</v>
      </c>
      <c r="Q672" t="s">
        <v>36</v>
      </c>
      <c r="R672" t="s">
        <v>33</v>
      </c>
      <c r="S672">
        <v>3</v>
      </c>
      <c r="T672">
        <v>1</v>
      </c>
      <c r="U672">
        <v>16</v>
      </c>
      <c r="V672">
        <v>3</v>
      </c>
      <c r="W672">
        <v>1</v>
      </c>
      <c r="X672">
        <v>1</v>
      </c>
      <c r="Y672">
        <v>0</v>
      </c>
      <c r="Z672">
        <v>0</v>
      </c>
      <c r="AA672" t="str">
        <f t="shared" si="58"/>
        <v>Early Tenure</v>
      </c>
      <c r="AB672" s="5">
        <v>45337</v>
      </c>
      <c r="AC672">
        <f t="shared" si="59"/>
        <v>1</v>
      </c>
      <c r="AD672" t="s">
        <v>38</v>
      </c>
      <c r="AE672">
        <f>VLOOKUP(A672,'Employee Engagement Survey'!A547:B2016,2,FALSE)</f>
        <v>3</v>
      </c>
      <c r="AF672">
        <f>VLOOKUP(A672,'Employee Engagement Survey'!A547:C2016,3,FALSE)</f>
        <v>4</v>
      </c>
      <c r="AG672">
        <f>VLOOKUP(A672,'Employee Engagement Survey'!A547:D2016,4,FALSE)</f>
        <v>4</v>
      </c>
      <c r="AH672">
        <f>VLOOKUP(A672,'Employee Engagement Survey'!A547:E2016,5,FALSE)</f>
        <v>1</v>
      </c>
      <c r="AI672">
        <f t="shared" si="57"/>
        <v>3</v>
      </c>
    </row>
    <row r="673" spans="1:35" hidden="1" x14ac:dyDescent="0.4">
      <c r="A673">
        <v>1314</v>
      </c>
      <c r="B673" t="s">
        <v>34</v>
      </c>
      <c r="C673">
        <f t="shared" si="55"/>
        <v>1</v>
      </c>
      <c r="D673" t="s">
        <v>104</v>
      </c>
      <c r="E673">
        <f t="shared" si="56"/>
        <v>0</v>
      </c>
      <c r="F673" t="s">
        <v>59</v>
      </c>
      <c r="G673">
        <v>6</v>
      </c>
      <c r="H673" s="1">
        <v>65076</v>
      </c>
      <c r="I673" s="10">
        <v>0.12</v>
      </c>
      <c r="J673">
        <v>37.5</v>
      </c>
      <c r="K673" t="s">
        <v>34</v>
      </c>
      <c r="L673">
        <v>46</v>
      </c>
      <c r="M673" t="s">
        <v>47</v>
      </c>
      <c r="N673" t="s">
        <v>30</v>
      </c>
      <c r="O673" t="s">
        <v>31</v>
      </c>
      <c r="P673">
        <v>1</v>
      </c>
      <c r="Q673" t="s">
        <v>36</v>
      </c>
      <c r="R673" t="s">
        <v>37</v>
      </c>
      <c r="S673">
        <v>3</v>
      </c>
      <c r="T673">
        <v>0</v>
      </c>
      <c r="U673">
        <v>10</v>
      </c>
      <c r="V673">
        <v>3</v>
      </c>
      <c r="W673">
        <v>7</v>
      </c>
      <c r="X673">
        <v>6</v>
      </c>
      <c r="Y673">
        <v>5</v>
      </c>
      <c r="Z673">
        <v>7</v>
      </c>
      <c r="AA673" t="str">
        <f t="shared" si="58"/>
        <v>Mid Tenure</v>
      </c>
      <c r="AB673" s="5">
        <v>45177</v>
      </c>
      <c r="AC673">
        <f t="shared" si="59"/>
        <v>0</v>
      </c>
      <c r="AD673" t="s">
        <v>49</v>
      </c>
      <c r="AE673">
        <f>VLOOKUP(A673,'Employee Engagement Survey'!A548:B2017,2,FALSE)</f>
        <v>4</v>
      </c>
      <c r="AF673">
        <f>VLOOKUP(A673,'Employee Engagement Survey'!A548:C2017,3,FALSE)</f>
        <v>1</v>
      </c>
      <c r="AG673">
        <f>VLOOKUP(A673,'Employee Engagement Survey'!A548:D2017,4,FALSE)</f>
        <v>3</v>
      </c>
      <c r="AH673">
        <f>VLOOKUP(A673,'Employee Engagement Survey'!A548:E2017,5,FALSE)</f>
        <v>4</v>
      </c>
      <c r="AI673">
        <f t="shared" si="57"/>
        <v>3</v>
      </c>
    </row>
    <row r="674" spans="1:35" hidden="1" x14ac:dyDescent="0.4">
      <c r="A674">
        <v>762</v>
      </c>
      <c r="B674" t="s">
        <v>34</v>
      </c>
      <c r="C674">
        <f t="shared" si="55"/>
        <v>1</v>
      </c>
      <c r="D674" t="s">
        <v>55</v>
      </c>
      <c r="E674">
        <f t="shared" si="56"/>
        <v>0</v>
      </c>
      <c r="F674" t="s">
        <v>28</v>
      </c>
      <c r="G674">
        <v>10</v>
      </c>
      <c r="H674" s="1">
        <v>145236</v>
      </c>
      <c r="I674" s="10">
        <v>0.11</v>
      </c>
      <c r="J674">
        <v>37.5</v>
      </c>
      <c r="K674" t="s">
        <v>34</v>
      </c>
      <c r="L674">
        <v>56</v>
      </c>
      <c r="M674" t="s">
        <v>29</v>
      </c>
      <c r="N674" t="s">
        <v>42</v>
      </c>
      <c r="O674" t="s">
        <v>31</v>
      </c>
      <c r="P674">
        <v>9</v>
      </c>
      <c r="Q674" t="s">
        <v>43</v>
      </c>
      <c r="R674" t="s">
        <v>33</v>
      </c>
      <c r="S674">
        <v>3</v>
      </c>
      <c r="T674">
        <v>0</v>
      </c>
      <c r="U674">
        <v>30</v>
      </c>
      <c r="V674">
        <v>1</v>
      </c>
      <c r="W674">
        <v>10</v>
      </c>
      <c r="X674">
        <v>7</v>
      </c>
      <c r="Y674">
        <v>1</v>
      </c>
      <c r="Z674">
        <v>1</v>
      </c>
      <c r="AA674" t="str">
        <f t="shared" si="58"/>
        <v>Long Tenure</v>
      </c>
      <c r="AB674" s="5">
        <v>44754</v>
      </c>
      <c r="AC674">
        <f t="shared" si="59"/>
        <v>0</v>
      </c>
      <c r="AD674" t="s">
        <v>49</v>
      </c>
      <c r="AE674">
        <f>VLOOKUP(A674,'Employee Engagement Survey'!A549:B2018,2,FALSE)</f>
        <v>3</v>
      </c>
      <c r="AF674">
        <f>VLOOKUP(A674,'Employee Engagement Survey'!A549:C2018,3,FALSE)</f>
        <v>4</v>
      </c>
      <c r="AG674">
        <f>VLOOKUP(A674,'Employee Engagement Survey'!A549:D2018,4,FALSE)</f>
        <v>3</v>
      </c>
      <c r="AH674">
        <f>VLOOKUP(A674,'Employee Engagement Survey'!A549:E2018,5,FALSE)</f>
        <v>2</v>
      </c>
      <c r="AI674">
        <f t="shared" si="57"/>
        <v>3</v>
      </c>
    </row>
    <row r="675" spans="1:35" hidden="1" x14ac:dyDescent="0.4">
      <c r="A675">
        <v>98</v>
      </c>
      <c r="B675" t="s">
        <v>34</v>
      </c>
      <c r="C675">
        <f t="shared" si="55"/>
        <v>1</v>
      </c>
      <c r="D675" t="s">
        <v>54</v>
      </c>
      <c r="E675">
        <f t="shared" si="56"/>
        <v>1</v>
      </c>
      <c r="F675" t="s">
        <v>28</v>
      </c>
      <c r="G675">
        <v>6</v>
      </c>
      <c r="H675" s="1">
        <v>65088</v>
      </c>
      <c r="I675" s="10">
        <v>0.23</v>
      </c>
      <c r="J675">
        <v>37.5</v>
      </c>
      <c r="K675" t="s">
        <v>34</v>
      </c>
      <c r="L675">
        <v>31</v>
      </c>
      <c r="M675" t="s">
        <v>47</v>
      </c>
      <c r="N675" t="s">
        <v>30</v>
      </c>
      <c r="O675" t="s">
        <v>31</v>
      </c>
      <c r="P675">
        <v>8</v>
      </c>
      <c r="Q675" t="s">
        <v>51</v>
      </c>
      <c r="R675" t="s">
        <v>37</v>
      </c>
      <c r="S675">
        <v>4</v>
      </c>
      <c r="T675">
        <v>0</v>
      </c>
      <c r="U675">
        <v>11</v>
      </c>
      <c r="V675">
        <v>2</v>
      </c>
      <c r="W675">
        <v>11</v>
      </c>
      <c r="X675">
        <v>7</v>
      </c>
      <c r="Y675">
        <v>1</v>
      </c>
      <c r="Z675">
        <v>8</v>
      </c>
      <c r="AA675" t="str">
        <f t="shared" si="58"/>
        <v>Long Tenure</v>
      </c>
      <c r="AB675" s="5">
        <v>45268</v>
      </c>
      <c r="AC675">
        <f t="shared" si="59"/>
        <v>0</v>
      </c>
      <c r="AD675" t="s">
        <v>38</v>
      </c>
      <c r="AE675">
        <f>VLOOKUP(A675,'Employee Engagement Survey'!A550:B2019,2,FALSE)</f>
        <v>3</v>
      </c>
      <c r="AF675">
        <f>VLOOKUP(A675,'Employee Engagement Survey'!A550:C2019,3,FALSE)</f>
        <v>4</v>
      </c>
      <c r="AG675">
        <f>VLOOKUP(A675,'Employee Engagement Survey'!A550:D2019,4,FALSE)</f>
        <v>4</v>
      </c>
      <c r="AH675">
        <f>VLOOKUP(A675,'Employee Engagement Survey'!A550:E2019,5,FALSE)</f>
        <v>3</v>
      </c>
      <c r="AI675">
        <f t="shared" si="57"/>
        <v>3.5</v>
      </c>
    </row>
    <row r="676" spans="1:35" hidden="1" x14ac:dyDescent="0.4">
      <c r="A676">
        <v>269</v>
      </c>
      <c r="B676" t="s">
        <v>34</v>
      </c>
      <c r="C676">
        <f t="shared" si="55"/>
        <v>1</v>
      </c>
      <c r="D676" t="s">
        <v>46</v>
      </c>
      <c r="E676">
        <f t="shared" si="56"/>
        <v>0</v>
      </c>
      <c r="F676" t="s">
        <v>28</v>
      </c>
      <c r="G676">
        <v>6</v>
      </c>
      <c r="H676" s="1">
        <v>65100</v>
      </c>
      <c r="I676" s="10">
        <v>0.11</v>
      </c>
      <c r="J676">
        <v>37.5</v>
      </c>
      <c r="K676" t="s">
        <v>34</v>
      </c>
      <c r="L676">
        <v>35</v>
      </c>
      <c r="M676" t="s">
        <v>47</v>
      </c>
      <c r="N676" t="s">
        <v>30</v>
      </c>
      <c r="O676" t="s">
        <v>44</v>
      </c>
      <c r="P676">
        <v>2</v>
      </c>
      <c r="Q676" t="s">
        <v>43</v>
      </c>
      <c r="R676" t="s">
        <v>33</v>
      </c>
      <c r="S676">
        <v>3</v>
      </c>
      <c r="T676">
        <v>0</v>
      </c>
      <c r="U676">
        <v>10</v>
      </c>
      <c r="V676">
        <v>5</v>
      </c>
      <c r="W676">
        <v>6</v>
      </c>
      <c r="X676">
        <v>2</v>
      </c>
      <c r="Y676">
        <v>1</v>
      </c>
      <c r="Z676">
        <v>2</v>
      </c>
      <c r="AA676" t="str">
        <f t="shared" si="58"/>
        <v>Mid Tenure</v>
      </c>
      <c r="AB676" s="5">
        <v>44735</v>
      </c>
      <c r="AC676">
        <f t="shared" si="59"/>
        <v>0</v>
      </c>
      <c r="AD676" t="s">
        <v>38</v>
      </c>
      <c r="AE676">
        <f>VLOOKUP(A676,'Employee Engagement Survey'!A551:B2020,2,FALSE)</f>
        <v>2</v>
      </c>
      <c r="AF676">
        <f>VLOOKUP(A676,'Employee Engagement Survey'!A551:C2020,3,FALSE)</f>
        <v>2</v>
      </c>
      <c r="AG676">
        <f>VLOOKUP(A676,'Employee Engagement Survey'!A551:D2020,4,FALSE)</f>
        <v>4</v>
      </c>
      <c r="AH676">
        <f>VLOOKUP(A676,'Employee Engagement Survey'!A551:E2020,5,FALSE)</f>
        <v>3</v>
      </c>
      <c r="AI676">
        <f t="shared" si="57"/>
        <v>2.75</v>
      </c>
    </row>
    <row r="677" spans="1:35" hidden="1" x14ac:dyDescent="0.4">
      <c r="A677">
        <v>766</v>
      </c>
      <c r="B677" t="s">
        <v>34</v>
      </c>
      <c r="C677">
        <f t="shared" si="55"/>
        <v>1</v>
      </c>
      <c r="D677" t="s">
        <v>39</v>
      </c>
      <c r="E677">
        <f t="shared" si="56"/>
        <v>0</v>
      </c>
      <c r="F677" t="s">
        <v>40</v>
      </c>
      <c r="G677">
        <v>4</v>
      </c>
      <c r="H677" s="1">
        <v>51564</v>
      </c>
      <c r="I677" s="10">
        <v>0.14000000000000001</v>
      </c>
      <c r="J677">
        <v>37.5</v>
      </c>
      <c r="K677" t="s">
        <v>34</v>
      </c>
      <c r="L677">
        <v>29</v>
      </c>
      <c r="M677" t="s">
        <v>29</v>
      </c>
      <c r="N677" t="s">
        <v>48</v>
      </c>
      <c r="O677" t="s">
        <v>31</v>
      </c>
      <c r="P677">
        <v>10</v>
      </c>
      <c r="Q677" t="s">
        <v>43</v>
      </c>
      <c r="R677" t="s">
        <v>56</v>
      </c>
      <c r="S677">
        <v>3</v>
      </c>
      <c r="T677">
        <v>2</v>
      </c>
      <c r="U677">
        <v>2</v>
      </c>
      <c r="V677">
        <v>2</v>
      </c>
      <c r="W677">
        <v>2</v>
      </c>
      <c r="X677">
        <v>2</v>
      </c>
      <c r="Y677">
        <v>2</v>
      </c>
      <c r="Z677">
        <v>2</v>
      </c>
      <c r="AA677" t="str">
        <f t="shared" si="58"/>
        <v>Early Tenure</v>
      </c>
      <c r="AB677" s="5">
        <v>44934</v>
      </c>
      <c r="AC677">
        <f t="shared" si="59"/>
        <v>0</v>
      </c>
      <c r="AD677" t="s">
        <v>49</v>
      </c>
      <c r="AE677">
        <f>VLOOKUP(A677,'Employee Engagement Survey'!A552:B2021,2,FALSE)</f>
        <v>4</v>
      </c>
      <c r="AF677">
        <f>VLOOKUP(A677,'Employee Engagement Survey'!A552:C2021,3,FALSE)</f>
        <v>2</v>
      </c>
      <c r="AG677">
        <f>VLOOKUP(A677,'Employee Engagement Survey'!A552:D2021,4,FALSE)</f>
        <v>4</v>
      </c>
      <c r="AH677">
        <f>VLOOKUP(A677,'Employee Engagement Survey'!A552:E2021,5,FALSE)</f>
        <v>3</v>
      </c>
      <c r="AI677">
        <f t="shared" si="57"/>
        <v>3.25</v>
      </c>
    </row>
    <row r="678" spans="1:35" hidden="1" x14ac:dyDescent="0.4">
      <c r="A678">
        <v>769</v>
      </c>
      <c r="B678" t="s">
        <v>34</v>
      </c>
      <c r="C678">
        <f t="shared" si="55"/>
        <v>1</v>
      </c>
      <c r="D678" t="s">
        <v>46</v>
      </c>
      <c r="E678">
        <f t="shared" si="56"/>
        <v>0</v>
      </c>
      <c r="F678" t="s">
        <v>28</v>
      </c>
      <c r="G678">
        <v>4</v>
      </c>
      <c r="H678" s="1">
        <v>53400</v>
      </c>
      <c r="I678" s="10">
        <v>0.17</v>
      </c>
      <c r="J678">
        <v>37.5</v>
      </c>
      <c r="K678" t="s">
        <v>34</v>
      </c>
      <c r="L678">
        <v>53</v>
      </c>
      <c r="M678" t="s">
        <v>29</v>
      </c>
      <c r="N678" t="s">
        <v>30</v>
      </c>
      <c r="O678" t="s">
        <v>31</v>
      </c>
      <c r="P678">
        <v>6</v>
      </c>
      <c r="Q678" t="s">
        <v>43</v>
      </c>
      <c r="R678" t="s">
        <v>37</v>
      </c>
      <c r="S678">
        <v>3</v>
      </c>
      <c r="T678">
        <v>0</v>
      </c>
      <c r="U678">
        <v>19</v>
      </c>
      <c r="V678">
        <v>4</v>
      </c>
      <c r="W678">
        <v>2</v>
      </c>
      <c r="X678">
        <v>2</v>
      </c>
      <c r="Y678">
        <v>2</v>
      </c>
      <c r="Z678">
        <v>2</v>
      </c>
      <c r="AA678" t="str">
        <f t="shared" si="58"/>
        <v>Early Tenure</v>
      </c>
      <c r="AB678" s="5">
        <v>45988</v>
      </c>
      <c r="AC678">
        <f t="shared" si="59"/>
        <v>1</v>
      </c>
      <c r="AD678" t="s">
        <v>49</v>
      </c>
      <c r="AE678">
        <f>VLOOKUP(A678,'Employee Engagement Survey'!A553:B2022,2,FALSE)</f>
        <v>4</v>
      </c>
      <c r="AF678">
        <f>VLOOKUP(A678,'Employee Engagement Survey'!A553:C2022,3,FALSE)</f>
        <v>4</v>
      </c>
      <c r="AG678">
        <f>VLOOKUP(A678,'Employee Engagement Survey'!A553:D2022,4,FALSE)</f>
        <v>4</v>
      </c>
      <c r="AH678">
        <f>VLOOKUP(A678,'Employee Engagement Survey'!A553:E2022,5,FALSE)</f>
        <v>3</v>
      </c>
      <c r="AI678">
        <f t="shared" si="57"/>
        <v>3.75</v>
      </c>
    </row>
    <row r="679" spans="1:35" hidden="1" x14ac:dyDescent="0.4">
      <c r="A679">
        <v>1980</v>
      </c>
      <c r="B679" t="s">
        <v>34</v>
      </c>
      <c r="C679">
        <f t="shared" si="55"/>
        <v>1</v>
      </c>
      <c r="D679" t="s">
        <v>54</v>
      </c>
      <c r="E679">
        <f t="shared" si="56"/>
        <v>1</v>
      </c>
      <c r="F679" t="s">
        <v>28</v>
      </c>
      <c r="G679">
        <v>6</v>
      </c>
      <c r="H679" s="1">
        <v>65280</v>
      </c>
      <c r="I679" s="10">
        <v>0.19</v>
      </c>
      <c r="J679">
        <v>37.5</v>
      </c>
      <c r="K679" t="s">
        <v>26</v>
      </c>
      <c r="L679">
        <v>54</v>
      </c>
      <c r="M679" t="s">
        <v>47</v>
      </c>
      <c r="N679" t="s">
        <v>30</v>
      </c>
      <c r="O679" t="s">
        <v>31</v>
      </c>
      <c r="P679">
        <v>10</v>
      </c>
      <c r="Q679" t="s">
        <v>43</v>
      </c>
      <c r="R679" t="s">
        <v>33</v>
      </c>
      <c r="S679">
        <v>3</v>
      </c>
      <c r="T679">
        <v>0</v>
      </c>
      <c r="U679">
        <v>9</v>
      </c>
      <c r="V679">
        <v>3</v>
      </c>
      <c r="W679">
        <v>5</v>
      </c>
      <c r="X679">
        <v>2</v>
      </c>
      <c r="Y679">
        <v>1</v>
      </c>
      <c r="Z679">
        <v>4</v>
      </c>
      <c r="AA679" t="str">
        <f t="shared" si="58"/>
        <v>Mid Tenure</v>
      </c>
      <c r="AB679" s="5">
        <v>44832</v>
      </c>
      <c r="AC679">
        <f t="shared" si="59"/>
        <v>0</v>
      </c>
      <c r="AD679" t="s">
        <v>38</v>
      </c>
      <c r="AE679">
        <f>VLOOKUP(A679,'Employee Engagement Survey'!A554:B2023,2,FALSE)</f>
        <v>3</v>
      </c>
      <c r="AF679">
        <f>VLOOKUP(A679,'Employee Engagement Survey'!A554:C2023,3,FALSE)</f>
        <v>1</v>
      </c>
      <c r="AG679">
        <f>VLOOKUP(A679,'Employee Engagement Survey'!A554:D2023,4,FALSE)</f>
        <v>4</v>
      </c>
      <c r="AH679">
        <f>VLOOKUP(A679,'Employee Engagement Survey'!A554:E2023,5,FALSE)</f>
        <v>3</v>
      </c>
      <c r="AI679">
        <f t="shared" si="57"/>
        <v>2.75</v>
      </c>
    </row>
    <row r="680" spans="1:35" hidden="1" x14ac:dyDescent="0.4">
      <c r="A680">
        <v>772</v>
      </c>
      <c r="B680" t="s">
        <v>34</v>
      </c>
      <c r="C680">
        <f t="shared" si="55"/>
        <v>1</v>
      </c>
      <c r="D680" t="s">
        <v>46</v>
      </c>
      <c r="E680">
        <f t="shared" si="56"/>
        <v>0</v>
      </c>
      <c r="F680" t="s">
        <v>28</v>
      </c>
      <c r="G680">
        <v>7</v>
      </c>
      <c r="H680" s="1">
        <v>75708</v>
      </c>
      <c r="I680" s="10">
        <v>0.15</v>
      </c>
      <c r="J680">
        <v>37.5</v>
      </c>
      <c r="K680" t="s">
        <v>34</v>
      </c>
      <c r="L680">
        <v>32</v>
      </c>
      <c r="M680" t="s">
        <v>29</v>
      </c>
      <c r="N680" t="s">
        <v>42</v>
      </c>
      <c r="O680" t="s">
        <v>44</v>
      </c>
      <c r="P680">
        <v>24</v>
      </c>
      <c r="Q680" t="s">
        <v>51</v>
      </c>
      <c r="R680" t="s">
        <v>37</v>
      </c>
      <c r="S680">
        <v>3</v>
      </c>
      <c r="T680">
        <v>2</v>
      </c>
      <c r="U680">
        <v>10</v>
      </c>
      <c r="V680">
        <v>2</v>
      </c>
      <c r="W680">
        <v>10</v>
      </c>
      <c r="X680">
        <v>8</v>
      </c>
      <c r="Y680">
        <v>4</v>
      </c>
      <c r="Z680">
        <v>7</v>
      </c>
      <c r="AA680" t="str">
        <f t="shared" si="58"/>
        <v>Long Tenure</v>
      </c>
      <c r="AB680" s="5">
        <v>45486</v>
      </c>
      <c r="AC680">
        <f t="shared" si="59"/>
        <v>1</v>
      </c>
      <c r="AD680" t="s">
        <v>38</v>
      </c>
      <c r="AE680">
        <f>VLOOKUP(A680,'Employee Engagement Survey'!A555:B2024,2,FALSE)</f>
        <v>1</v>
      </c>
      <c r="AF680">
        <f>VLOOKUP(A680,'Employee Engagement Survey'!A555:C2024,3,FALSE)</f>
        <v>4</v>
      </c>
      <c r="AG680">
        <f>VLOOKUP(A680,'Employee Engagement Survey'!A555:D2024,4,FALSE)</f>
        <v>4</v>
      </c>
      <c r="AH680">
        <f>VLOOKUP(A680,'Employee Engagement Survey'!A555:E2024,5,FALSE)</f>
        <v>3</v>
      </c>
      <c r="AI680">
        <f t="shared" si="57"/>
        <v>3</v>
      </c>
    </row>
    <row r="681" spans="1:35" hidden="1" x14ac:dyDescent="0.4">
      <c r="A681">
        <v>773</v>
      </c>
      <c r="B681" t="s">
        <v>34</v>
      </c>
      <c r="C681">
        <f t="shared" si="55"/>
        <v>1</v>
      </c>
      <c r="D681" t="s">
        <v>27</v>
      </c>
      <c r="E681">
        <f t="shared" si="56"/>
        <v>0</v>
      </c>
      <c r="F681" t="s">
        <v>28</v>
      </c>
      <c r="G681">
        <v>6</v>
      </c>
      <c r="H681" s="1">
        <v>60684</v>
      </c>
      <c r="I681" s="10">
        <v>0.13</v>
      </c>
      <c r="J681">
        <v>37.5</v>
      </c>
      <c r="K681" t="s">
        <v>26</v>
      </c>
      <c r="L681">
        <v>38</v>
      </c>
      <c r="M681" t="s">
        <v>29</v>
      </c>
      <c r="N681" t="s">
        <v>42</v>
      </c>
      <c r="O681" t="s">
        <v>31</v>
      </c>
      <c r="P681">
        <v>2</v>
      </c>
      <c r="Q681" t="s">
        <v>58</v>
      </c>
      <c r="R681" t="s">
        <v>33</v>
      </c>
      <c r="S681">
        <v>3</v>
      </c>
      <c r="T681">
        <v>1</v>
      </c>
      <c r="U681">
        <v>6</v>
      </c>
      <c r="V681">
        <v>0</v>
      </c>
      <c r="W681">
        <v>1</v>
      </c>
      <c r="X681">
        <v>0</v>
      </c>
      <c r="Y681">
        <v>0</v>
      </c>
      <c r="Z681">
        <v>1</v>
      </c>
      <c r="AA681" t="str">
        <f t="shared" si="58"/>
        <v>Early Tenure</v>
      </c>
      <c r="AB681" s="5">
        <v>45516</v>
      </c>
      <c r="AC681">
        <f t="shared" si="59"/>
        <v>1</v>
      </c>
      <c r="AD681" t="s">
        <v>49</v>
      </c>
      <c r="AE681">
        <f>VLOOKUP(A681,'Employee Engagement Survey'!A556:B2025,2,FALSE)</f>
        <v>4</v>
      </c>
      <c r="AF681">
        <f>VLOOKUP(A681,'Employee Engagement Survey'!A556:C2025,3,FALSE)</f>
        <v>3</v>
      </c>
      <c r="AG681">
        <f>VLOOKUP(A681,'Employee Engagement Survey'!A556:D2025,4,FALSE)</f>
        <v>2</v>
      </c>
      <c r="AH681">
        <f>VLOOKUP(A681,'Employee Engagement Survey'!A556:E2025,5,FALSE)</f>
        <v>1</v>
      </c>
      <c r="AI681">
        <f t="shared" si="57"/>
        <v>2.5</v>
      </c>
    </row>
    <row r="682" spans="1:35" hidden="1" x14ac:dyDescent="0.4">
      <c r="A682">
        <v>1285</v>
      </c>
      <c r="B682" t="s">
        <v>34</v>
      </c>
      <c r="C682">
        <f t="shared" si="55"/>
        <v>1</v>
      </c>
      <c r="D682" t="s">
        <v>46</v>
      </c>
      <c r="E682">
        <f t="shared" si="56"/>
        <v>0</v>
      </c>
      <c r="F682" t="s">
        <v>28</v>
      </c>
      <c r="G682">
        <v>6</v>
      </c>
      <c r="H682" s="1">
        <v>65328</v>
      </c>
      <c r="I682" s="10">
        <v>0.13</v>
      </c>
      <c r="J682">
        <v>37.5</v>
      </c>
      <c r="K682" t="s">
        <v>34</v>
      </c>
      <c r="L682">
        <v>34</v>
      </c>
      <c r="M682" t="s">
        <v>47</v>
      </c>
      <c r="N682" t="s">
        <v>48</v>
      </c>
      <c r="O682" t="s">
        <v>44</v>
      </c>
      <c r="P682">
        <v>19</v>
      </c>
      <c r="Q682" t="s">
        <v>43</v>
      </c>
      <c r="R682" t="s">
        <v>33</v>
      </c>
      <c r="S682">
        <v>3</v>
      </c>
      <c r="T682">
        <v>2</v>
      </c>
      <c r="U682">
        <v>15</v>
      </c>
      <c r="V682">
        <v>2</v>
      </c>
      <c r="W682">
        <v>11</v>
      </c>
      <c r="X682">
        <v>8</v>
      </c>
      <c r="Y682">
        <v>5</v>
      </c>
      <c r="Z682">
        <v>10</v>
      </c>
      <c r="AA682" t="str">
        <f t="shared" si="58"/>
        <v>Long Tenure</v>
      </c>
      <c r="AB682" s="5">
        <v>45273</v>
      </c>
      <c r="AC682">
        <f t="shared" si="59"/>
        <v>0</v>
      </c>
      <c r="AD682" t="s">
        <v>38</v>
      </c>
      <c r="AE682">
        <f>VLOOKUP(A682,'Employee Engagement Survey'!A557:B2026,2,FALSE)</f>
        <v>3</v>
      </c>
      <c r="AF682">
        <f>VLOOKUP(A682,'Employee Engagement Survey'!A557:C2026,3,FALSE)</f>
        <v>2</v>
      </c>
      <c r="AG682">
        <f>VLOOKUP(A682,'Employee Engagement Survey'!A557:D2026,4,FALSE)</f>
        <v>3</v>
      </c>
      <c r="AH682">
        <f>VLOOKUP(A682,'Employee Engagement Survey'!A557:E2026,5,FALSE)</f>
        <v>4</v>
      </c>
      <c r="AI682">
        <f t="shared" si="57"/>
        <v>3</v>
      </c>
    </row>
    <row r="683" spans="1:35" hidden="1" x14ac:dyDescent="0.4">
      <c r="A683">
        <v>1751</v>
      </c>
      <c r="B683" t="s">
        <v>34</v>
      </c>
      <c r="C683">
        <f t="shared" si="55"/>
        <v>1</v>
      </c>
      <c r="D683" t="s">
        <v>27</v>
      </c>
      <c r="E683">
        <f t="shared" si="56"/>
        <v>0</v>
      </c>
      <c r="F683" t="s">
        <v>28</v>
      </c>
      <c r="G683">
        <v>6</v>
      </c>
      <c r="H683" s="1">
        <v>65340</v>
      </c>
      <c r="I683" s="10">
        <v>0.11</v>
      </c>
      <c r="J683">
        <v>37.5</v>
      </c>
      <c r="K683" t="s">
        <v>34</v>
      </c>
      <c r="L683">
        <v>27</v>
      </c>
      <c r="M683" t="s">
        <v>47</v>
      </c>
      <c r="N683" t="s">
        <v>30</v>
      </c>
      <c r="O683" t="s">
        <v>31</v>
      </c>
      <c r="P683">
        <v>8</v>
      </c>
      <c r="Q683" t="s">
        <v>43</v>
      </c>
      <c r="R683" t="s">
        <v>33</v>
      </c>
      <c r="S683">
        <v>3</v>
      </c>
      <c r="T683">
        <v>0</v>
      </c>
      <c r="U683">
        <v>6</v>
      </c>
      <c r="V683">
        <v>5</v>
      </c>
      <c r="W683">
        <v>6</v>
      </c>
      <c r="X683">
        <v>2</v>
      </c>
      <c r="Y683">
        <v>1</v>
      </c>
      <c r="Z683">
        <v>4</v>
      </c>
      <c r="AA683" t="str">
        <f t="shared" si="58"/>
        <v>Mid Tenure</v>
      </c>
      <c r="AB683" s="5">
        <v>45886</v>
      </c>
      <c r="AC683">
        <f t="shared" si="59"/>
        <v>1</v>
      </c>
      <c r="AD683" t="s">
        <v>49</v>
      </c>
      <c r="AE683">
        <f>VLOOKUP(A683,'Employee Engagement Survey'!A558:B2027,2,FALSE)</f>
        <v>3</v>
      </c>
      <c r="AF683">
        <f>VLOOKUP(A683,'Employee Engagement Survey'!A558:C2027,3,FALSE)</f>
        <v>4</v>
      </c>
      <c r="AG683">
        <f>VLOOKUP(A683,'Employee Engagement Survey'!A558:D2027,4,FALSE)</f>
        <v>3</v>
      </c>
      <c r="AH683">
        <f>VLOOKUP(A683,'Employee Engagement Survey'!A558:E2027,5,FALSE)</f>
        <v>2</v>
      </c>
      <c r="AI683">
        <f t="shared" si="57"/>
        <v>3</v>
      </c>
    </row>
    <row r="684" spans="1:35" hidden="1" x14ac:dyDescent="0.4">
      <c r="A684">
        <v>776</v>
      </c>
      <c r="B684" t="s">
        <v>34</v>
      </c>
      <c r="C684">
        <f t="shared" si="55"/>
        <v>1</v>
      </c>
      <c r="D684" t="s">
        <v>110</v>
      </c>
      <c r="E684">
        <f t="shared" si="56"/>
        <v>1</v>
      </c>
      <c r="F684" t="s">
        <v>40</v>
      </c>
      <c r="G684">
        <v>4</v>
      </c>
      <c r="H684" s="1">
        <v>214272</v>
      </c>
      <c r="I684" s="10">
        <v>0.11</v>
      </c>
      <c r="J684">
        <v>37.5</v>
      </c>
      <c r="K684" t="s">
        <v>34</v>
      </c>
      <c r="L684">
        <v>52</v>
      </c>
      <c r="M684" t="s">
        <v>29</v>
      </c>
      <c r="N684" t="s">
        <v>42</v>
      </c>
      <c r="O684" t="s">
        <v>31</v>
      </c>
      <c r="P684">
        <v>3</v>
      </c>
      <c r="Q684" t="s">
        <v>51</v>
      </c>
      <c r="R684" t="s">
        <v>56</v>
      </c>
      <c r="S684">
        <v>3</v>
      </c>
      <c r="T684">
        <v>0</v>
      </c>
      <c r="U684">
        <v>34</v>
      </c>
      <c r="V684">
        <v>3</v>
      </c>
      <c r="W684">
        <v>34</v>
      </c>
      <c r="X684">
        <v>6</v>
      </c>
      <c r="Y684">
        <v>1</v>
      </c>
      <c r="Z684">
        <v>16</v>
      </c>
      <c r="AA684" t="str">
        <f t="shared" si="58"/>
        <v>Long Tenure</v>
      </c>
      <c r="AB684" s="5">
        <v>45879</v>
      </c>
      <c r="AC684">
        <f t="shared" si="59"/>
        <v>1</v>
      </c>
      <c r="AD684" t="s">
        <v>38</v>
      </c>
      <c r="AE684">
        <f>VLOOKUP(A684,'Employee Engagement Survey'!A559:B2028,2,FALSE)</f>
        <v>3</v>
      </c>
      <c r="AF684">
        <f>VLOOKUP(A684,'Employee Engagement Survey'!A559:C2028,3,FALSE)</f>
        <v>1</v>
      </c>
      <c r="AG684">
        <f>VLOOKUP(A684,'Employee Engagement Survey'!A559:D2028,4,FALSE)</f>
        <v>1</v>
      </c>
      <c r="AH684">
        <f>VLOOKUP(A684,'Employee Engagement Survey'!A559:E2028,5,FALSE)</f>
        <v>4</v>
      </c>
      <c r="AI684">
        <f t="shared" si="57"/>
        <v>2.25</v>
      </c>
    </row>
    <row r="685" spans="1:35" hidden="1" x14ac:dyDescent="0.4">
      <c r="A685">
        <v>521</v>
      </c>
      <c r="B685" t="s">
        <v>34</v>
      </c>
      <c r="C685">
        <f t="shared" si="55"/>
        <v>1</v>
      </c>
      <c r="D685" t="s">
        <v>46</v>
      </c>
      <c r="E685">
        <f t="shared" si="56"/>
        <v>0</v>
      </c>
      <c r="F685" t="s">
        <v>28</v>
      </c>
      <c r="G685">
        <v>6</v>
      </c>
      <c r="H685" s="1">
        <v>65376</v>
      </c>
      <c r="I685" s="10">
        <v>0.22</v>
      </c>
      <c r="J685">
        <v>37.5</v>
      </c>
      <c r="K685" t="s">
        <v>34</v>
      </c>
      <c r="L685">
        <v>40</v>
      </c>
      <c r="M685" t="s">
        <v>47</v>
      </c>
      <c r="N685" t="s">
        <v>42</v>
      </c>
      <c r="O685" t="s">
        <v>31</v>
      </c>
      <c r="P685">
        <v>2</v>
      </c>
      <c r="Q685" t="s">
        <v>43</v>
      </c>
      <c r="R685" t="s">
        <v>33</v>
      </c>
      <c r="S685">
        <v>4</v>
      </c>
      <c r="T685">
        <v>1</v>
      </c>
      <c r="U685">
        <v>20</v>
      </c>
      <c r="V685">
        <v>3</v>
      </c>
      <c r="W685">
        <v>1</v>
      </c>
      <c r="X685">
        <v>0</v>
      </c>
      <c r="Y685">
        <v>0</v>
      </c>
      <c r="Z685">
        <v>0</v>
      </c>
      <c r="AA685" t="str">
        <f t="shared" si="58"/>
        <v>Early Tenure</v>
      </c>
      <c r="AB685" s="5">
        <v>45010</v>
      </c>
      <c r="AC685">
        <f t="shared" si="59"/>
        <v>0</v>
      </c>
      <c r="AD685" t="s">
        <v>49</v>
      </c>
      <c r="AE685">
        <f>VLOOKUP(A685,'Employee Engagement Survey'!A561:B2030,2,FALSE)</f>
        <v>2</v>
      </c>
      <c r="AF685">
        <f>VLOOKUP(A685,'Employee Engagement Survey'!A561:C2030,3,FALSE)</f>
        <v>3</v>
      </c>
      <c r="AG685">
        <f>VLOOKUP(A685,'Employee Engagement Survey'!A561:D2030,4,FALSE)</f>
        <v>2</v>
      </c>
      <c r="AH685">
        <f>VLOOKUP(A685,'Employee Engagement Survey'!A561:E2030,5,FALSE)</f>
        <v>3</v>
      </c>
      <c r="AI685">
        <f t="shared" si="57"/>
        <v>2.5</v>
      </c>
    </row>
    <row r="686" spans="1:35" hidden="1" x14ac:dyDescent="0.4">
      <c r="A686">
        <v>1829</v>
      </c>
      <c r="B686" t="s">
        <v>34</v>
      </c>
      <c r="C686">
        <f t="shared" si="55"/>
        <v>1</v>
      </c>
      <c r="D686" t="s">
        <v>55</v>
      </c>
      <c r="E686">
        <f t="shared" si="56"/>
        <v>0</v>
      </c>
      <c r="F686" t="s">
        <v>28</v>
      </c>
      <c r="G686">
        <v>6</v>
      </c>
      <c r="H686" s="1">
        <v>65376</v>
      </c>
      <c r="I686" s="10">
        <v>0.12</v>
      </c>
      <c r="J686">
        <v>37.5</v>
      </c>
      <c r="K686" t="s">
        <v>34</v>
      </c>
      <c r="L686">
        <v>40</v>
      </c>
      <c r="M686" t="s">
        <v>47</v>
      </c>
      <c r="N686" t="s">
        <v>48</v>
      </c>
      <c r="O686" t="s">
        <v>31</v>
      </c>
      <c r="P686">
        <v>12</v>
      </c>
      <c r="Q686" t="s">
        <v>43</v>
      </c>
      <c r="R686" t="s">
        <v>37</v>
      </c>
      <c r="S686">
        <v>3</v>
      </c>
      <c r="T686">
        <v>1</v>
      </c>
      <c r="U686">
        <v>15</v>
      </c>
      <c r="V686">
        <v>3</v>
      </c>
      <c r="W686">
        <v>7</v>
      </c>
      <c r="X686">
        <v>4</v>
      </c>
      <c r="Y686">
        <v>7</v>
      </c>
      <c r="Z686">
        <v>7</v>
      </c>
      <c r="AA686" t="str">
        <f t="shared" si="58"/>
        <v>Mid Tenure</v>
      </c>
      <c r="AB686" s="5">
        <v>45834</v>
      </c>
      <c r="AC686">
        <f t="shared" si="59"/>
        <v>1</v>
      </c>
      <c r="AD686" t="s">
        <v>49</v>
      </c>
      <c r="AE686">
        <f>VLOOKUP(A686,'Employee Engagement Survey'!A562:B2031,2,FALSE)</f>
        <v>2</v>
      </c>
      <c r="AF686">
        <f>VLOOKUP(A686,'Employee Engagement Survey'!A562:C2031,3,FALSE)</f>
        <v>1</v>
      </c>
      <c r="AG686">
        <f>VLOOKUP(A686,'Employee Engagement Survey'!A562:D2031,4,FALSE)</f>
        <v>2</v>
      </c>
      <c r="AH686">
        <f>VLOOKUP(A686,'Employee Engagement Survey'!A562:E2031,5,FALSE)</f>
        <v>3</v>
      </c>
      <c r="AI686">
        <f t="shared" si="57"/>
        <v>2</v>
      </c>
    </row>
    <row r="687" spans="1:35" hidden="1" x14ac:dyDescent="0.4">
      <c r="A687">
        <v>529</v>
      </c>
      <c r="B687" t="s">
        <v>34</v>
      </c>
      <c r="C687">
        <f t="shared" si="55"/>
        <v>1</v>
      </c>
      <c r="D687" t="s">
        <v>27</v>
      </c>
      <c r="E687">
        <f t="shared" si="56"/>
        <v>0</v>
      </c>
      <c r="F687" t="s">
        <v>28</v>
      </c>
      <c r="G687">
        <v>6</v>
      </c>
      <c r="H687" s="1">
        <v>65388</v>
      </c>
      <c r="I687" s="10">
        <v>0.15</v>
      </c>
      <c r="J687">
        <v>37.5</v>
      </c>
      <c r="K687" t="s">
        <v>26</v>
      </c>
      <c r="L687">
        <v>37</v>
      </c>
      <c r="M687" t="s">
        <v>47</v>
      </c>
      <c r="N687" t="s">
        <v>42</v>
      </c>
      <c r="O687" t="s">
        <v>35</v>
      </c>
      <c r="P687">
        <v>25</v>
      </c>
      <c r="Q687" t="s">
        <v>58</v>
      </c>
      <c r="R687" t="s">
        <v>33</v>
      </c>
      <c r="S687">
        <v>3</v>
      </c>
      <c r="T687">
        <v>2</v>
      </c>
      <c r="U687">
        <v>15</v>
      </c>
      <c r="V687">
        <v>2</v>
      </c>
      <c r="W687">
        <v>13</v>
      </c>
      <c r="X687">
        <v>11</v>
      </c>
      <c r="Y687">
        <v>10</v>
      </c>
      <c r="Z687">
        <v>7</v>
      </c>
      <c r="AA687" t="str">
        <f t="shared" si="58"/>
        <v>Long Tenure</v>
      </c>
      <c r="AB687" s="5">
        <v>44597</v>
      </c>
      <c r="AC687">
        <f t="shared" si="59"/>
        <v>0</v>
      </c>
      <c r="AD687" t="s">
        <v>49</v>
      </c>
      <c r="AE687">
        <f>VLOOKUP(A687,'Employee Engagement Survey'!A563:B2032,2,FALSE)</f>
        <v>2</v>
      </c>
      <c r="AF687">
        <f>VLOOKUP(A687,'Employee Engagement Survey'!A563:C2032,3,FALSE)</f>
        <v>3</v>
      </c>
      <c r="AG687">
        <f>VLOOKUP(A687,'Employee Engagement Survey'!A563:D2032,4,FALSE)</f>
        <v>1</v>
      </c>
      <c r="AH687">
        <f>VLOOKUP(A687,'Employee Engagement Survey'!A563:E2032,5,FALSE)</f>
        <v>3</v>
      </c>
      <c r="AI687">
        <f t="shared" si="57"/>
        <v>2.25</v>
      </c>
    </row>
    <row r="688" spans="1:35" hidden="1" x14ac:dyDescent="0.4">
      <c r="A688">
        <v>250</v>
      </c>
      <c r="B688" t="s">
        <v>34</v>
      </c>
      <c r="C688">
        <f t="shared" si="55"/>
        <v>1</v>
      </c>
      <c r="D688" t="s">
        <v>54</v>
      </c>
      <c r="E688">
        <f t="shared" si="56"/>
        <v>1</v>
      </c>
      <c r="F688" t="s">
        <v>28</v>
      </c>
      <c r="G688">
        <v>6</v>
      </c>
      <c r="H688" s="1">
        <v>65400</v>
      </c>
      <c r="I688" s="10">
        <v>0.11</v>
      </c>
      <c r="J688">
        <v>37.5</v>
      </c>
      <c r="K688" t="s">
        <v>34</v>
      </c>
      <c r="L688">
        <v>53</v>
      </c>
      <c r="M688" t="s">
        <v>47</v>
      </c>
      <c r="N688" t="s">
        <v>48</v>
      </c>
      <c r="O688" t="s">
        <v>31</v>
      </c>
      <c r="P688">
        <v>13</v>
      </c>
      <c r="Q688" t="s">
        <v>36</v>
      </c>
      <c r="R688" t="s">
        <v>33</v>
      </c>
      <c r="S688">
        <v>3</v>
      </c>
      <c r="T688">
        <v>2</v>
      </c>
      <c r="U688">
        <v>5</v>
      </c>
      <c r="V688">
        <v>3</v>
      </c>
      <c r="W688">
        <v>4</v>
      </c>
      <c r="X688">
        <v>2</v>
      </c>
      <c r="Y688">
        <v>1</v>
      </c>
      <c r="Z688">
        <v>3</v>
      </c>
      <c r="AA688" t="str">
        <f t="shared" si="58"/>
        <v>Mid Tenure</v>
      </c>
      <c r="AB688" s="5">
        <v>45023</v>
      </c>
      <c r="AC688">
        <f t="shared" si="59"/>
        <v>0</v>
      </c>
      <c r="AD688" t="s">
        <v>49</v>
      </c>
      <c r="AE688">
        <f>VLOOKUP(A688,'Employee Engagement Survey'!A564:B2033,2,FALSE)</f>
        <v>4</v>
      </c>
      <c r="AF688">
        <f>VLOOKUP(A688,'Employee Engagement Survey'!A564:C2033,3,FALSE)</f>
        <v>1</v>
      </c>
      <c r="AG688">
        <f>VLOOKUP(A688,'Employee Engagement Survey'!A564:D2033,4,FALSE)</f>
        <v>3</v>
      </c>
      <c r="AH688">
        <f>VLOOKUP(A688,'Employee Engagement Survey'!A564:E2033,5,FALSE)</f>
        <v>3</v>
      </c>
      <c r="AI688">
        <f t="shared" si="57"/>
        <v>2.75</v>
      </c>
    </row>
    <row r="689" spans="1:35" hidden="1" x14ac:dyDescent="0.4">
      <c r="A689">
        <v>783</v>
      </c>
      <c r="B689" t="s">
        <v>34</v>
      </c>
      <c r="C689">
        <f t="shared" si="55"/>
        <v>1</v>
      </c>
      <c r="D689" t="s">
        <v>39</v>
      </c>
      <c r="E689">
        <f t="shared" si="56"/>
        <v>0</v>
      </c>
      <c r="F689" t="s">
        <v>40</v>
      </c>
      <c r="G689">
        <v>8</v>
      </c>
      <c r="H689" s="1">
        <v>91584</v>
      </c>
      <c r="I689" s="10">
        <v>0.13</v>
      </c>
      <c r="J689">
        <v>37.5</v>
      </c>
      <c r="K689" t="s">
        <v>34</v>
      </c>
      <c r="L689">
        <v>45</v>
      </c>
      <c r="M689" t="s">
        <v>29</v>
      </c>
      <c r="N689" t="s">
        <v>30</v>
      </c>
      <c r="O689" t="s">
        <v>31</v>
      </c>
      <c r="P689">
        <v>2</v>
      </c>
      <c r="Q689" t="s">
        <v>36</v>
      </c>
      <c r="R689" t="s">
        <v>45</v>
      </c>
      <c r="S689">
        <v>3</v>
      </c>
      <c r="T689">
        <v>0</v>
      </c>
      <c r="U689">
        <v>9</v>
      </c>
      <c r="V689">
        <v>3</v>
      </c>
      <c r="W689">
        <v>8</v>
      </c>
      <c r="X689">
        <v>7</v>
      </c>
      <c r="Y689">
        <v>3</v>
      </c>
      <c r="Z689">
        <v>1</v>
      </c>
      <c r="AA689" t="str">
        <f t="shared" si="58"/>
        <v>Mid Tenure</v>
      </c>
      <c r="AB689" s="5">
        <v>45554</v>
      </c>
      <c r="AC689">
        <f t="shared" si="59"/>
        <v>1</v>
      </c>
      <c r="AD689" t="s">
        <v>38</v>
      </c>
      <c r="AE689">
        <f>VLOOKUP(A689,'Employee Engagement Survey'!A565:B2034,2,FALSE)</f>
        <v>2</v>
      </c>
      <c r="AF689">
        <f>VLOOKUP(A689,'Employee Engagement Survey'!A565:C2034,3,FALSE)</f>
        <v>3</v>
      </c>
      <c r="AG689">
        <f>VLOOKUP(A689,'Employee Engagement Survey'!A565:D2034,4,FALSE)</f>
        <v>1</v>
      </c>
      <c r="AH689">
        <f>VLOOKUP(A689,'Employee Engagement Survey'!A565:E2034,5,FALSE)</f>
        <v>3</v>
      </c>
      <c r="AI689">
        <f t="shared" si="57"/>
        <v>2.25</v>
      </c>
    </row>
    <row r="690" spans="1:35" hidden="1" x14ac:dyDescent="0.4">
      <c r="A690">
        <v>486</v>
      </c>
      <c r="B690" t="s">
        <v>34</v>
      </c>
      <c r="C690">
        <f t="shared" ref="C690:C753" si="60">IF(B690="No",1,0)</f>
        <v>1</v>
      </c>
      <c r="D690" t="s">
        <v>46</v>
      </c>
      <c r="E690">
        <f t="shared" si="56"/>
        <v>0</v>
      </c>
      <c r="F690" t="s">
        <v>28</v>
      </c>
      <c r="G690">
        <v>6</v>
      </c>
      <c r="H690" s="1">
        <v>65424</v>
      </c>
      <c r="I690" s="10">
        <v>0.2</v>
      </c>
      <c r="J690">
        <v>37.5</v>
      </c>
      <c r="K690" t="s">
        <v>34</v>
      </c>
      <c r="L690">
        <v>37</v>
      </c>
      <c r="M690" t="s">
        <v>47</v>
      </c>
      <c r="N690" t="s">
        <v>42</v>
      </c>
      <c r="O690" t="s">
        <v>31</v>
      </c>
      <c r="P690">
        <v>10</v>
      </c>
      <c r="Q690" t="s">
        <v>43</v>
      </c>
      <c r="R690" t="s">
        <v>33</v>
      </c>
      <c r="S690">
        <v>4</v>
      </c>
      <c r="T690">
        <v>1</v>
      </c>
      <c r="U690">
        <v>17</v>
      </c>
      <c r="V690">
        <v>3</v>
      </c>
      <c r="W690">
        <v>5</v>
      </c>
      <c r="X690">
        <v>4</v>
      </c>
      <c r="Y690">
        <v>0</v>
      </c>
      <c r="Z690">
        <v>3</v>
      </c>
      <c r="AA690" t="str">
        <f t="shared" si="58"/>
        <v>Mid Tenure</v>
      </c>
      <c r="AB690" s="5">
        <v>44635</v>
      </c>
      <c r="AC690">
        <f t="shared" si="59"/>
        <v>0</v>
      </c>
      <c r="AD690" t="s">
        <v>49</v>
      </c>
      <c r="AE690">
        <f>VLOOKUP(A690,'Employee Engagement Survey'!A566:B2035,2,FALSE)</f>
        <v>3</v>
      </c>
      <c r="AF690">
        <f>VLOOKUP(A690,'Employee Engagement Survey'!A566:C2035,3,FALSE)</f>
        <v>1</v>
      </c>
      <c r="AG690">
        <f>VLOOKUP(A690,'Employee Engagement Survey'!A566:D2035,4,FALSE)</f>
        <v>2</v>
      </c>
      <c r="AH690">
        <f>VLOOKUP(A690,'Employee Engagement Survey'!A566:E2035,5,FALSE)</f>
        <v>3</v>
      </c>
      <c r="AI690">
        <f t="shared" si="57"/>
        <v>2.25</v>
      </c>
    </row>
    <row r="691" spans="1:35" hidden="1" x14ac:dyDescent="0.4">
      <c r="A691">
        <v>995</v>
      </c>
      <c r="B691" t="s">
        <v>34</v>
      </c>
      <c r="C691">
        <f t="shared" si="60"/>
        <v>1</v>
      </c>
      <c r="D691" t="s">
        <v>27</v>
      </c>
      <c r="E691">
        <f t="shared" si="56"/>
        <v>0</v>
      </c>
      <c r="F691" t="s">
        <v>28</v>
      </c>
      <c r="G691">
        <v>6</v>
      </c>
      <c r="H691" s="1">
        <v>65424</v>
      </c>
      <c r="I691" s="10">
        <v>0.18</v>
      </c>
      <c r="J691">
        <v>37.5</v>
      </c>
      <c r="K691" t="s">
        <v>34</v>
      </c>
      <c r="L691">
        <v>33</v>
      </c>
      <c r="M691" t="s">
        <v>47</v>
      </c>
      <c r="N691" t="s">
        <v>30</v>
      </c>
      <c r="O691" t="s">
        <v>31</v>
      </c>
      <c r="P691">
        <v>13</v>
      </c>
      <c r="Q691" t="s">
        <v>32</v>
      </c>
      <c r="R691" t="s">
        <v>37</v>
      </c>
      <c r="S691">
        <v>3</v>
      </c>
      <c r="T691">
        <v>0</v>
      </c>
      <c r="U691">
        <v>5</v>
      </c>
      <c r="V691">
        <v>4</v>
      </c>
      <c r="W691">
        <v>3</v>
      </c>
      <c r="X691">
        <v>2</v>
      </c>
      <c r="Y691">
        <v>0</v>
      </c>
      <c r="Z691">
        <v>2</v>
      </c>
      <c r="AA691" t="str">
        <f t="shared" si="58"/>
        <v>Mid Tenure</v>
      </c>
      <c r="AB691" s="5">
        <v>45075</v>
      </c>
      <c r="AC691">
        <f t="shared" si="59"/>
        <v>0</v>
      </c>
      <c r="AD691" t="s">
        <v>49</v>
      </c>
      <c r="AE691">
        <f>VLOOKUP(A691,'Employee Engagement Survey'!A567:B2036,2,FALSE)</f>
        <v>2</v>
      </c>
      <c r="AF691">
        <f>VLOOKUP(A691,'Employee Engagement Survey'!A567:C2036,3,FALSE)</f>
        <v>4</v>
      </c>
      <c r="AG691">
        <f>VLOOKUP(A691,'Employee Engagement Survey'!A567:D2036,4,FALSE)</f>
        <v>1</v>
      </c>
      <c r="AH691">
        <f>VLOOKUP(A691,'Employee Engagement Survey'!A567:E2036,5,FALSE)</f>
        <v>3</v>
      </c>
      <c r="AI691">
        <f t="shared" si="57"/>
        <v>2.5</v>
      </c>
    </row>
    <row r="692" spans="1:35" hidden="1" x14ac:dyDescent="0.4">
      <c r="A692">
        <v>784</v>
      </c>
      <c r="B692" t="s">
        <v>34</v>
      </c>
      <c r="C692">
        <f t="shared" si="60"/>
        <v>1</v>
      </c>
      <c r="D692" t="s">
        <v>27</v>
      </c>
      <c r="E692">
        <f t="shared" si="56"/>
        <v>0</v>
      </c>
      <c r="F692" t="s">
        <v>28</v>
      </c>
      <c r="G692">
        <v>6</v>
      </c>
      <c r="H692" s="1">
        <v>66060</v>
      </c>
      <c r="I692" s="10">
        <v>0.18</v>
      </c>
      <c r="J692">
        <v>37.5</v>
      </c>
      <c r="K692" t="s">
        <v>34</v>
      </c>
      <c r="L692">
        <v>23</v>
      </c>
      <c r="M692" t="s">
        <v>29</v>
      </c>
      <c r="N692" t="s">
        <v>30</v>
      </c>
      <c r="O692" t="s">
        <v>31</v>
      </c>
      <c r="P692">
        <v>10</v>
      </c>
      <c r="Q692" t="s">
        <v>32</v>
      </c>
      <c r="R692" t="s">
        <v>33</v>
      </c>
      <c r="S692">
        <v>3</v>
      </c>
      <c r="T692">
        <v>0</v>
      </c>
      <c r="U692">
        <v>2</v>
      </c>
      <c r="V692">
        <v>3</v>
      </c>
      <c r="W692">
        <v>2</v>
      </c>
      <c r="X692">
        <v>2</v>
      </c>
      <c r="Y692">
        <v>0</v>
      </c>
      <c r="Z692">
        <v>2</v>
      </c>
      <c r="AA692" t="str">
        <f t="shared" si="58"/>
        <v>Early Tenure</v>
      </c>
      <c r="AB692" s="5">
        <v>45003</v>
      </c>
      <c r="AC692">
        <f t="shared" si="59"/>
        <v>0</v>
      </c>
      <c r="AD692" t="s">
        <v>49</v>
      </c>
      <c r="AE692">
        <f>VLOOKUP(A692,'Employee Engagement Survey'!A568:B2037,2,FALSE)</f>
        <v>1</v>
      </c>
      <c r="AF692">
        <f>VLOOKUP(A692,'Employee Engagement Survey'!A568:C2037,3,FALSE)</f>
        <v>3</v>
      </c>
      <c r="AG692">
        <f>VLOOKUP(A692,'Employee Engagement Survey'!A568:D2037,4,FALSE)</f>
        <v>4</v>
      </c>
      <c r="AH692">
        <f>VLOOKUP(A692,'Employee Engagement Survey'!A568:E2037,5,FALSE)</f>
        <v>3</v>
      </c>
      <c r="AI692">
        <f t="shared" si="57"/>
        <v>2.75</v>
      </c>
    </row>
    <row r="693" spans="1:35" hidden="1" x14ac:dyDescent="0.4">
      <c r="A693">
        <v>786</v>
      </c>
      <c r="B693" t="s">
        <v>34</v>
      </c>
      <c r="C693">
        <f t="shared" si="60"/>
        <v>1</v>
      </c>
      <c r="D693" t="s">
        <v>57</v>
      </c>
      <c r="E693">
        <f t="shared" si="56"/>
        <v>0</v>
      </c>
      <c r="F693" t="s">
        <v>40</v>
      </c>
      <c r="G693">
        <v>8</v>
      </c>
      <c r="H693" s="1">
        <v>87288</v>
      </c>
      <c r="I693" s="10">
        <v>0.22</v>
      </c>
      <c r="J693">
        <v>37.5</v>
      </c>
      <c r="K693" t="s">
        <v>34</v>
      </c>
      <c r="L693">
        <v>34</v>
      </c>
      <c r="M693" t="s">
        <v>29</v>
      </c>
      <c r="N693" t="s">
        <v>30</v>
      </c>
      <c r="O693" t="s">
        <v>31</v>
      </c>
      <c r="P693">
        <v>2</v>
      </c>
      <c r="Q693" t="s">
        <v>43</v>
      </c>
      <c r="R693" t="s">
        <v>53</v>
      </c>
      <c r="S693">
        <v>4</v>
      </c>
      <c r="T693">
        <v>0</v>
      </c>
      <c r="U693">
        <v>6</v>
      </c>
      <c r="V693">
        <v>5</v>
      </c>
      <c r="W693">
        <v>6</v>
      </c>
      <c r="X693">
        <v>5</v>
      </c>
      <c r="Y693">
        <v>1</v>
      </c>
      <c r="Z693">
        <v>4</v>
      </c>
      <c r="AA693" t="str">
        <f t="shared" si="58"/>
        <v>Mid Tenure</v>
      </c>
      <c r="AB693" s="5">
        <v>46007</v>
      </c>
      <c r="AC693">
        <f t="shared" si="59"/>
        <v>1</v>
      </c>
      <c r="AD693" t="s">
        <v>49</v>
      </c>
      <c r="AE693">
        <f>VLOOKUP(A693,'Employee Engagement Survey'!A569:B2038,2,FALSE)</f>
        <v>4</v>
      </c>
      <c r="AF693">
        <f>VLOOKUP(A693,'Employee Engagement Survey'!A569:C2038,3,FALSE)</f>
        <v>4</v>
      </c>
      <c r="AG693">
        <f>VLOOKUP(A693,'Employee Engagement Survey'!A569:D2038,4,FALSE)</f>
        <v>3</v>
      </c>
      <c r="AH693">
        <f>VLOOKUP(A693,'Employee Engagement Survey'!A569:E2038,5,FALSE)</f>
        <v>3</v>
      </c>
      <c r="AI693">
        <f t="shared" si="57"/>
        <v>3.5</v>
      </c>
    </row>
    <row r="694" spans="1:35" hidden="1" x14ac:dyDescent="0.4">
      <c r="A694">
        <v>789</v>
      </c>
      <c r="B694" t="s">
        <v>34</v>
      </c>
      <c r="C694">
        <f t="shared" si="60"/>
        <v>1</v>
      </c>
      <c r="D694" t="s">
        <v>57</v>
      </c>
      <c r="E694">
        <f t="shared" si="56"/>
        <v>0</v>
      </c>
      <c r="F694" t="s">
        <v>40</v>
      </c>
      <c r="G694">
        <v>9</v>
      </c>
      <c r="H694" s="1">
        <v>103044</v>
      </c>
      <c r="I694" s="10">
        <v>0.15</v>
      </c>
      <c r="J694">
        <v>37.5</v>
      </c>
      <c r="K694" t="s">
        <v>34</v>
      </c>
      <c r="L694">
        <v>36</v>
      </c>
      <c r="M694" t="s">
        <v>29</v>
      </c>
      <c r="N694" t="s">
        <v>30</v>
      </c>
      <c r="O694" t="s">
        <v>35</v>
      </c>
      <c r="P694">
        <v>8</v>
      </c>
      <c r="Q694" t="s">
        <v>51</v>
      </c>
      <c r="R694" t="s">
        <v>37</v>
      </c>
      <c r="S694">
        <v>3</v>
      </c>
      <c r="T694">
        <v>0</v>
      </c>
      <c r="U694">
        <v>10</v>
      </c>
      <c r="V694">
        <v>1</v>
      </c>
      <c r="W694">
        <v>10</v>
      </c>
      <c r="X694">
        <v>7</v>
      </c>
      <c r="Y694">
        <v>0</v>
      </c>
      <c r="Z694">
        <v>9</v>
      </c>
      <c r="AA694" t="str">
        <f t="shared" si="58"/>
        <v>Long Tenure</v>
      </c>
      <c r="AB694" s="5">
        <v>44641</v>
      </c>
      <c r="AC694">
        <f t="shared" si="59"/>
        <v>0</v>
      </c>
      <c r="AD694" t="s">
        <v>38</v>
      </c>
      <c r="AE694">
        <f>VLOOKUP(A694,'Employee Engagement Survey'!A571:B2040,2,FALSE)</f>
        <v>1</v>
      </c>
      <c r="AF694">
        <f>VLOOKUP(A694,'Employee Engagement Survey'!A571:C2040,3,FALSE)</f>
        <v>1</v>
      </c>
      <c r="AG694">
        <f>VLOOKUP(A694,'Employee Engagement Survey'!A571:D2040,4,FALSE)</f>
        <v>2</v>
      </c>
      <c r="AH694">
        <f>VLOOKUP(A694,'Employee Engagement Survey'!A571:E2040,5,FALSE)</f>
        <v>3</v>
      </c>
      <c r="AI694">
        <f t="shared" si="57"/>
        <v>1.75</v>
      </c>
    </row>
    <row r="695" spans="1:35" hidden="1" x14ac:dyDescent="0.4">
      <c r="A695">
        <v>1195</v>
      </c>
      <c r="B695" t="s">
        <v>34</v>
      </c>
      <c r="C695">
        <f t="shared" si="60"/>
        <v>1</v>
      </c>
      <c r="D695" t="s">
        <v>27</v>
      </c>
      <c r="E695">
        <f t="shared" si="56"/>
        <v>0</v>
      </c>
      <c r="F695" t="s">
        <v>28</v>
      </c>
      <c r="G695">
        <v>6</v>
      </c>
      <c r="H695" s="1">
        <v>65724</v>
      </c>
      <c r="I695" s="10">
        <v>0.19</v>
      </c>
      <c r="J695">
        <v>37.5</v>
      </c>
      <c r="K695" t="s">
        <v>26</v>
      </c>
      <c r="L695">
        <v>45</v>
      </c>
      <c r="M695" t="s">
        <v>47</v>
      </c>
      <c r="N695" t="s">
        <v>42</v>
      </c>
      <c r="O695" t="s">
        <v>31</v>
      </c>
      <c r="P695">
        <v>7</v>
      </c>
      <c r="Q695" t="s">
        <v>43</v>
      </c>
      <c r="R695" t="s">
        <v>33</v>
      </c>
      <c r="S695">
        <v>3</v>
      </c>
      <c r="T695">
        <v>1</v>
      </c>
      <c r="U695">
        <v>7</v>
      </c>
      <c r="V695">
        <v>2</v>
      </c>
      <c r="W695">
        <v>3</v>
      </c>
      <c r="X695">
        <v>2</v>
      </c>
      <c r="Y695">
        <v>0</v>
      </c>
      <c r="Z695">
        <v>2</v>
      </c>
      <c r="AA695" t="str">
        <f t="shared" si="58"/>
        <v>Mid Tenure</v>
      </c>
      <c r="AB695" s="5">
        <v>45892</v>
      </c>
      <c r="AC695">
        <f t="shared" si="59"/>
        <v>1</v>
      </c>
      <c r="AD695" t="s">
        <v>49</v>
      </c>
      <c r="AE695">
        <f>VLOOKUP(A695,'Employee Engagement Survey'!A572:B2041,2,FALSE)</f>
        <v>1</v>
      </c>
      <c r="AF695">
        <f>VLOOKUP(A695,'Employee Engagement Survey'!A572:C2041,3,FALSE)</f>
        <v>3</v>
      </c>
      <c r="AG695">
        <f>VLOOKUP(A695,'Employee Engagement Survey'!A572:D2041,4,FALSE)</f>
        <v>3</v>
      </c>
      <c r="AH695">
        <f>VLOOKUP(A695,'Employee Engagement Survey'!A572:E2041,5,FALSE)</f>
        <v>2</v>
      </c>
      <c r="AI695">
        <f t="shared" si="57"/>
        <v>2.25</v>
      </c>
    </row>
    <row r="696" spans="1:35" hidden="1" x14ac:dyDescent="0.4">
      <c r="A696">
        <v>791</v>
      </c>
      <c r="B696" t="s">
        <v>34</v>
      </c>
      <c r="C696">
        <f t="shared" si="60"/>
        <v>1</v>
      </c>
      <c r="D696" t="s">
        <v>27</v>
      </c>
      <c r="E696">
        <f t="shared" si="56"/>
        <v>0</v>
      </c>
      <c r="F696" t="s">
        <v>28</v>
      </c>
      <c r="G696">
        <v>6</v>
      </c>
      <c r="H696" s="1">
        <v>63096</v>
      </c>
      <c r="I696" s="10">
        <v>0.18</v>
      </c>
      <c r="J696">
        <v>37.5</v>
      </c>
      <c r="K696" t="s">
        <v>34</v>
      </c>
      <c r="L696">
        <v>52</v>
      </c>
      <c r="M696" t="s">
        <v>29</v>
      </c>
      <c r="N696" t="s">
        <v>42</v>
      </c>
      <c r="O696" t="s">
        <v>35</v>
      </c>
      <c r="P696">
        <v>19</v>
      </c>
      <c r="Q696" t="s">
        <v>51</v>
      </c>
      <c r="R696" t="s">
        <v>33</v>
      </c>
      <c r="S696">
        <v>3</v>
      </c>
      <c r="T696">
        <v>1</v>
      </c>
      <c r="U696">
        <v>5</v>
      </c>
      <c r="V696">
        <v>3</v>
      </c>
      <c r="W696">
        <v>4</v>
      </c>
      <c r="X696">
        <v>3</v>
      </c>
      <c r="Y696">
        <v>1</v>
      </c>
      <c r="Z696">
        <v>2</v>
      </c>
      <c r="AA696" t="str">
        <f t="shared" si="58"/>
        <v>Mid Tenure</v>
      </c>
      <c r="AB696" s="5">
        <v>44984</v>
      </c>
      <c r="AC696">
        <f t="shared" si="59"/>
        <v>0</v>
      </c>
      <c r="AD696" t="s">
        <v>49</v>
      </c>
      <c r="AE696">
        <f>VLOOKUP(A696,'Employee Engagement Survey'!A573:B2042,2,FALSE)</f>
        <v>4</v>
      </c>
      <c r="AF696">
        <f>VLOOKUP(A696,'Employee Engagement Survey'!A573:C2042,3,FALSE)</f>
        <v>4</v>
      </c>
      <c r="AG696">
        <f>VLOOKUP(A696,'Employee Engagement Survey'!A573:D2042,4,FALSE)</f>
        <v>1</v>
      </c>
      <c r="AH696">
        <f>VLOOKUP(A696,'Employee Engagement Survey'!A573:E2042,5,FALSE)</f>
        <v>3</v>
      </c>
      <c r="AI696">
        <f t="shared" si="57"/>
        <v>3</v>
      </c>
    </row>
    <row r="697" spans="1:35" hidden="1" x14ac:dyDescent="0.4">
      <c r="A697">
        <v>800</v>
      </c>
      <c r="B697" t="s">
        <v>34</v>
      </c>
      <c r="C697">
        <f t="shared" si="60"/>
        <v>1</v>
      </c>
      <c r="D697" t="s">
        <v>57</v>
      </c>
      <c r="E697">
        <f t="shared" si="56"/>
        <v>0</v>
      </c>
      <c r="F697" t="s">
        <v>40</v>
      </c>
      <c r="G697">
        <v>6</v>
      </c>
      <c r="H697" s="1">
        <v>64104</v>
      </c>
      <c r="I697" s="10">
        <v>0.19</v>
      </c>
      <c r="J697">
        <v>37.5</v>
      </c>
      <c r="K697" t="s">
        <v>34</v>
      </c>
      <c r="L697">
        <v>27</v>
      </c>
      <c r="M697" t="s">
        <v>29</v>
      </c>
      <c r="N697" t="s">
        <v>42</v>
      </c>
      <c r="O697" t="s">
        <v>44</v>
      </c>
      <c r="P697">
        <v>8</v>
      </c>
      <c r="Q697" t="s">
        <v>32</v>
      </c>
      <c r="R697" t="s">
        <v>56</v>
      </c>
      <c r="S697">
        <v>3</v>
      </c>
      <c r="T697">
        <v>1</v>
      </c>
      <c r="U697">
        <v>5</v>
      </c>
      <c r="V697">
        <v>3</v>
      </c>
      <c r="W697">
        <v>4</v>
      </c>
      <c r="X697">
        <v>2</v>
      </c>
      <c r="Y697">
        <v>1</v>
      </c>
      <c r="Z697">
        <v>1</v>
      </c>
      <c r="AA697" t="str">
        <f t="shared" si="58"/>
        <v>Mid Tenure</v>
      </c>
      <c r="AB697" s="5">
        <v>45357</v>
      </c>
      <c r="AC697">
        <f t="shared" si="59"/>
        <v>1</v>
      </c>
      <c r="AD697" t="s">
        <v>49</v>
      </c>
      <c r="AE697">
        <f>VLOOKUP(A697,'Employee Engagement Survey'!A575:B2044,2,FALSE)</f>
        <v>3</v>
      </c>
      <c r="AF697">
        <f>VLOOKUP(A697,'Employee Engagement Survey'!A575:C2044,3,FALSE)</f>
        <v>4</v>
      </c>
      <c r="AG697">
        <f>VLOOKUP(A697,'Employee Engagement Survey'!A575:D2044,4,FALSE)</f>
        <v>2</v>
      </c>
      <c r="AH697">
        <f>VLOOKUP(A697,'Employee Engagement Survey'!A575:E2044,5,FALSE)</f>
        <v>3</v>
      </c>
      <c r="AI697">
        <f t="shared" si="57"/>
        <v>3</v>
      </c>
    </row>
    <row r="698" spans="1:35" hidden="1" x14ac:dyDescent="0.4">
      <c r="A698">
        <v>806</v>
      </c>
      <c r="B698" t="s">
        <v>34</v>
      </c>
      <c r="C698">
        <f t="shared" si="60"/>
        <v>1</v>
      </c>
      <c r="D698" t="s">
        <v>46</v>
      </c>
      <c r="E698">
        <f t="shared" si="56"/>
        <v>0</v>
      </c>
      <c r="F698" t="s">
        <v>28</v>
      </c>
      <c r="G698">
        <v>6</v>
      </c>
      <c r="H698" s="1">
        <v>69996</v>
      </c>
      <c r="I698" s="10">
        <v>0.21</v>
      </c>
      <c r="J698">
        <v>37.5</v>
      </c>
      <c r="K698" t="s">
        <v>34</v>
      </c>
      <c r="L698">
        <v>30</v>
      </c>
      <c r="M698" t="s">
        <v>29</v>
      </c>
      <c r="N698" t="s">
        <v>42</v>
      </c>
      <c r="O698" t="s">
        <v>31</v>
      </c>
      <c r="P698">
        <v>1</v>
      </c>
      <c r="Q698" t="s">
        <v>43</v>
      </c>
      <c r="R698" t="s">
        <v>37</v>
      </c>
      <c r="S698">
        <v>4</v>
      </c>
      <c r="T698">
        <v>2</v>
      </c>
      <c r="U698">
        <v>7</v>
      </c>
      <c r="V698">
        <v>2</v>
      </c>
      <c r="W698">
        <v>2</v>
      </c>
      <c r="X698">
        <v>2</v>
      </c>
      <c r="Y698">
        <v>0</v>
      </c>
      <c r="Z698">
        <v>2</v>
      </c>
      <c r="AA698" t="str">
        <f t="shared" si="58"/>
        <v>Early Tenure</v>
      </c>
      <c r="AB698" s="5">
        <v>44909</v>
      </c>
      <c r="AC698">
        <f t="shared" si="59"/>
        <v>0</v>
      </c>
      <c r="AD698" t="s">
        <v>38</v>
      </c>
      <c r="AE698">
        <f>VLOOKUP(A698,'Employee Engagement Survey'!A576:B2045,2,FALSE)</f>
        <v>4</v>
      </c>
      <c r="AF698">
        <f>VLOOKUP(A698,'Employee Engagement Survey'!A576:C2045,3,FALSE)</f>
        <v>3</v>
      </c>
      <c r="AG698">
        <f>VLOOKUP(A698,'Employee Engagement Survey'!A576:D2045,4,FALSE)</f>
        <v>3</v>
      </c>
      <c r="AH698">
        <f>VLOOKUP(A698,'Employee Engagement Survey'!A576:E2045,5,FALSE)</f>
        <v>3</v>
      </c>
      <c r="AI698">
        <f t="shared" si="57"/>
        <v>3.25</v>
      </c>
    </row>
    <row r="699" spans="1:35" hidden="1" x14ac:dyDescent="0.4">
      <c r="A699">
        <v>809</v>
      </c>
      <c r="B699" t="s">
        <v>34</v>
      </c>
      <c r="C699">
        <f t="shared" si="60"/>
        <v>1</v>
      </c>
      <c r="D699" t="s">
        <v>109</v>
      </c>
      <c r="E699">
        <f t="shared" si="56"/>
        <v>1</v>
      </c>
      <c r="F699" t="s">
        <v>28</v>
      </c>
      <c r="G699">
        <v>5</v>
      </c>
      <c r="H699" s="1">
        <v>233160</v>
      </c>
      <c r="I699" s="10">
        <v>0.13</v>
      </c>
      <c r="J699">
        <v>37.5</v>
      </c>
      <c r="K699" t="s">
        <v>34</v>
      </c>
      <c r="L699">
        <v>42</v>
      </c>
      <c r="M699" t="s">
        <v>29</v>
      </c>
      <c r="N699" t="s">
        <v>48</v>
      </c>
      <c r="O699" t="s">
        <v>44</v>
      </c>
      <c r="P699">
        <v>8</v>
      </c>
      <c r="Q699" t="s">
        <v>43</v>
      </c>
      <c r="R699" t="s">
        <v>37</v>
      </c>
      <c r="S699">
        <v>3</v>
      </c>
      <c r="T699">
        <v>1</v>
      </c>
      <c r="U699">
        <v>24</v>
      </c>
      <c r="V699">
        <v>4</v>
      </c>
      <c r="W699">
        <v>24</v>
      </c>
      <c r="X699">
        <v>7</v>
      </c>
      <c r="Y699">
        <v>14</v>
      </c>
      <c r="Z699">
        <v>9</v>
      </c>
      <c r="AA699" t="str">
        <f t="shared" si="58"/>
        <v>Long Tenure</v>
      </c>
      <c r="AB699" s="5">
        <v>45274</v>
      </c>
      <c r="AC699">
        <f t="shared" si="59"/>
        <v>0</v>
      </c>
      <c r="AD699" t="s">
        <v>38</v>
      </c>
      <c r="AE699">
        <f>VLOOKUP(A699,'Employee Engagement Survey'!A577:B2046,2,FALSE)</f>
        <v>2</v>
      </c>
      <c r="AF699">
        <f>VLOOKUP(A699,'Employee Engagement Survey'!A577:C2046,3,FALSE)</f>
        <v>4</v>
      </c>
      <c r="AG699">
        <f>VLOOKUP(A699,'Employee Engagement Survey'!A577:D2046,4,FALSE)</f>
        <v>2</v>
      </c>
      <c r="AH699">
        <f>VLOOKUP(A699,'Employee Engagement Survey'!A577:E2046,5,FALSE)</f>
        <v>2</v>
      </c>
      <c r="AI699">
        <f t="shared" si="57"/>
        <v>2.5</v>
      </c>
    </row>
    <row r="700" spans="1:35" hidden="1" x14ac:dyDescent="0.4">
      <c r="A700">
        <v>527</v>
      </c>
      <c r="B700" t="s">
        <v>34</v>
      </c>
      <c r="C700">
        <f t="shared" si="60"/>
        <v>1</v>
      </c>
      <c r="D700" t="s">
        <v>57</v>
      </c>
      <c r="E700">
        <f t="shared" si="56"/>
        <v>0</v>
      </c>
      <c r="F700" t="s">
        <v>40</v>
      </c>
      <c r="G700">
        <v>6</v>
      </c>
      <c r="H700" s="1">
        <v>65844</v>
      </c>
      <c r="I700" s="10">
        <v>0.11</v>
      </c>
      <c r="J700">
        <v>37.5</v>
      </c>
      <c r="K700" t="s">
        <v>26</v>
      </c>
      <c r="L700">
        <v>25</v>
      </c>
      <c r="M700" t="s">
        <v>47</v>
      </c>
      <c r="N700" t="s">
        <v>30</v>
      </c>
      <c r="O700" t="s">
        <v>31</v>
      </c>
      <c r="P700">
        <v>4</v>
      </c>
      <c r="Q700" t="s">
        <v>36</v>
      </c>
      <c r="R700" t="s">
        <v>37</v>
      </c>
      <c r="S700">
        <v>3</v>
      </c>
      <c r="T700">
        <v>0</v>
      </c>
      <c r="U700">
        <v>5</v>
      </c>
      <c r="V700">
        <v>3</v>
      </c>
      <c r="W700">
        <v>5</v>
      </c>
      <c r="X700">
        <v>4</v>
      </c>
      <c r="Y700">
        <v>1</v>
      </c>
      <c r="Z700">
        <v>3</v>
      </c>
      <c r="AA700" t="str">
        <f t="shared" si="58"/>
        <v>Mid Tenure</v>
      </c>
      <c r="AB700" s="5">
        <v>45601</v>
      </c>
      <c r="AC700">
        <f t="shared" si="59"/>
        <v>1</v>
      </c>
      <c r="AD700" t="s">
        <v>38</v>
      </c>
      <c r="AE700">
        <f>VLOOKUP(A700,'Employee Engagement Survey'!A578:B2047,2,FALSE)</f>
        <v>2</v>
      </c>
      <c r="AF700">
        <f>VLOOKUP(A700,'Employee Engagement Survey'!A578:C2047,3,FALSE)</f>
        <v>4</v>
      </c>
      <c r="AG700">
        <f>VLOOKUP(A700,'Employee Engagement Survey'!A578:D2047,4,FALSE)</f>
        <v>2</v>
      </c>
      <c r="AH700">
        <f>VLOOKUP(A700,'Employee Engagement Survey'!A578:E2047,5,FALSE)</f>
        <v>3</v>
      </c>
      <c r="AI700">
        <f t="shared" si="57"/>
        <v>2.75</v>
      </c>
    </row>
    <row r="701" spans="1:35" hidden="1" x14ac:dyDescent="0.4">
      <c r="A701">
        <v>812</v>
      </c>
      <c r="B701" t="s">
        <v>34</v>
      </c>
      <c r="C701">
        <f t="shared" si="60"/>
        <v>1</v>
      </c>
      <c r="D701" t="s">
        <v>46</v>
      </c>
      <c r="E701">
        <f t="shared" si="56"/>
        <v>0</v>
      </c>
      <c r="F701" t="s">
        <v>28</v>
      </c>
      <c r="G701">
        <v>5</v>
      </c>
      <c r="H701" s="1">
        <v>56328</v>
      </c>
      <c r="I701" s="10">
        <v>0.11</v>
      </c>
      <c r="J701">
        <v>37.5</v>
      </c>
      <c r="K701" t="s">
        <v>34</v>
      </c>
      <c r="L701">
        <v>24</v>
      </c>
      <c r="M701" t="s">
        <v>29</v>
      </c>
      <c r="N701" t="s">
        <v>48</v>
      </c>
      <c r="O701" t="s">
        <v>35</v>
      </c>
      <c r="P701">
        <v>9</v>
      </c>
      <c r="Q701" t="s">
        <v>43</v>
      </c>
      <c r="R701" t="s">
        <v>37</v>
      </c>
      <c r="S701">
        <v>3</v>
      </c>
      <c r="T701">
        <v>3</v>
      </c>
      <c r="U701">
        <v>1</v>
      </c>
      <c r="V701">
        <v>4</v>
      </c>
      <c r="W701">
        <v>1</v>
      </c>
      <c r="X701">
        <v>0</v>
      </c>
      <c r="Y701">
        <v>0</v>
      </c>
      <c r="Z701">
        <v>0</v>
      </c>
      <c r="AA701" t="str">
        <f t="shared" si="58"/>
        <v>Early Tenure</v>
      </c>
      <c r="AB701" s="5">
        <v>44655</v>
      </c>
      <c r="AC701">
        <f t="shared" si="59"/>
        <v>0</v>
      </c>
      <c r="AD701" t="s">
        <v>38</v>
      </c>
      <c r="AE701">
        <f>VLOOKUP(A701,'Employee Engagement Survey'!A580:B2049,2,FALSE)</f>
        <v>3</v>
      </c>
      <c r="AF701">
        <f>VLOOKUP(A701,'Employee Engagement Survey'!A580:C2049,3,FALSE)</f>
        <v>2</v>
      </c>
      <c r="AG701">
        <f>VLOOKUP(A701,'Employee Engagement Survey'!A580:D2049,4,FALSE)</f>
        <v>3</v>
      </c>
      <c r="AH701">
        <f>VLOOKUP(A701,'Employee Engagement Survey'!A580:E2049,5,FALSE)</f>
        <v>3</v>
      </c>
      <c r="AI701">
        <f t="shared" si="57"/>
        <v>2.75</v>
      </c>
    </row>
    <row r="702" spans="1:35" hidden="1" x14ac:dyDescent="0.4">
      <c r="A702">
        <v>815</v>
      </c>
      <c r="B702" t="s">
        <v>34</v>
      </c>
      <c r="C702">
        <f t="shared" si="60"/>
        <v>1</v>
      </c>
      <c r="D702" t="s">
        <v>60</v>
      </c>
      <c r="E702">
        <f t="shared" si="56"/>
        <v>1</v>
      </c>
      <c r="F702" t="s">
        <v>28</v>
      </c>
      <c r="G702">
        <v>4</v>
      </c>
      <c r="H702" s="1">
        <v>223668</v>
      </c>
      <c r="I702" s="10">
        <v>0.16</v>
      </c>
      <c r="J702">
        <v>37.5</v>
      </c>
      <c r="K702" t="s">
        <v>34</v>
      </c>
      <c r="L702">
        <v>50</v>
      </c>
      <c r="M702" t="s">
        <v>29</v>
      </c>
      <c r="N702" t="s">
        <v>42</v>
      </c>
      <c r="O702" t="s">
        <v>31</v>
      </c>
      <c r="P702">
        <v>2</v>
      </c>
      <c r="Q702" t="s">
        <v>43</v>
      </c>
      <c r="R702" t="s">
        <v>33</v>
      </c>
      <c r="S702">
        <v>3</v>
      </c>
      <c r="T702">
        <v>0</v>
      </c>
      <c r="U702">
        <v>30</v>
      </c>
      <c r="V702">
        <v>3</v>
      </c>
      <c r="W702">
        <v>4</v>
      </c>
      <c r="X702">
        <v>3</v>
      </c>
      <c r="Y702">
        <v>0</v>
      </c>
      <c r="Z702">
        <v>3</v>
      </c>
      <c r="AA702" t="str">
        <f t="shared" si="58"/>
        <v>Mid Tenure</v>
      </c>
      <c r="AB702" s="5">
        <v>45258</v>
      </c>
      <c r="AC702">
        <f t="shared" si="59"/>
        <v>0</v>
      </c>
      <c r="AD702" t="s">
        <v>49</v>
      </c>
      <c r="AE702">
        <f>VLOOKUP(A702,'Employee Engagement Survey'!A581:B2050,2,FALSE)</f>
        <v>3</v>
      </c>
      <c r="AF702">
        <f>VLOOKUP(A702,'Employee Engagement Survey'!A581:C2050,3,FALSE)</f>
        <v>3</v>
      </c>
      <c r="AG702">
        <f>VLOOKUP(A702,'Employee Engagement Survey'!A581:D2050,4,FALSE)</f>
        <v>4</v>
      </c>
      <c r="AH702">
        <f>VLOOKUP(A702,'Employee Engagement Survey'!A581:E2050,5,FALSE)</f>
        <v>3</v>
      </c>
      <c r="AI702">
        <f t="shared" si="57"/>
        <v>3.25</v>
      </c>
    </row>
    <row r="703" spans="1:35" hidden="1" x14ac:dyDescent="0.4">
      <c r="A703">
        <v>1710</v>
      </c>
      <c r="B703" t="s">
        <v>34</v>
      </c>
      <c r="C703">
        <f t="shared" si="60"/>
        <v>1</v>
      </c>
      <c r="D703" t="s">
        <v>39</v>
      </c>
      <c r="E703">
        <f t="shared" si="56"/>
        <v>0</v>
      </c>
      <c r="F703" t="s">
        <v>40</v>
      </c>
      <c r="G703">
        <v>6</v>
      </c>
      <c r="H703" s="1">
        <v>66024</v>
      </c>
      <c r="I703" s="10">
        <v>0.15</v>
      </c>
      <c r="J703">
        <v>37.5</v>
      </c>
      <c r="K703" t="s">
        <v>34</v>
      </c>
      <c r="L703">
        <v>36</v>
      </c>
      <c r="M703" t="s">
        <v>47</v>
      </c>
      <c r="N703" t="s">
        <v>30</v>
      </c>
      <c r="O703" t="s">
        <v>31</v>
      </c>
      <c r="P703">
        <v>2</v>
      </c>
      <c r="Q703" t="s">
        <v>51</v>
      </c>
      <c r="R703" t="s">
        <v>37</v>
      </c>
      <c r="S703">
        <v>3</v>
      </c>
      <c r="T703">
        <v>0</v>
      </c>
      <c r="U703">
        <v>17</v>
      </c>
      <c r="V703">
        <v>2</v>
      </c>
      <c r="W703">
        <v>13</v>
      </c>
      <c r="X703">
        <v>7</v>
      </c>
      <c r="Y703">
        <v>6</v>
      </c>
      <c r="Z703">
        <v>7</v>
      </c>
      <c r="AA703" t="str">
        <f t="shared" si="58"/>
        <v>Long Tenure</v>
      </c>
      <c r="AB703" s="5">
        <v>45568</v>
      </c>
      <c r="AC703">
        <f t="shared" si="59"/>
        <v>1</v>
      </c>
      <c r="AD703" t="s">
        <v>49</v>
      </c>
      <c r="AE703">
        <f>VLOOKUP(A703,'Employee Engagement Survey'!A582:B2051,2,FALSE)</f>
        <v>3</v>
      </c>
      <c r="AF703">
        <f>VLOOKUP(A703,'Employee Engagement Survey'!A582:C2051,3,FALSE)</f>
        <v>4</v>
      </c>
      <c r="AG703">
        <f>VLOOKUP(A703,'Employee Engagement Survey'!A582:D2051,4,FALSE)</f>
        <v>3</v>
      </c>
      <c r="AH703">
        <f>VLOOKUP(A703,'Employee Engagement Survey'!A582:E2051,5,FALSE)</f>
        <v>2</v>
      </c>
      <c r="AI703">
        <f t="shared" si="57"/>
        <v>3</v>
      </c>
    </row>
    <row r="704" spans="1:35" hidden="1" x14ac:dyDescent="0.4">
      <c r="A704">
        <v>817</v>
      </c>
      <c r="B704" t="s">
        <v>34</v>
      </c>
      <c r="C704">
        <f t="shared" si="60"/>
        <v>1</v>
      </c>
      <c r="D704" t="s">
        <v>60</v>
      </c>
      <c r="E704">
        <f t="shared" si="56"/>
        <v>1</v>
      </c>
      <c r="F704" t="s">
        <v>28</v>
      </c>
      <c r="G704">
        <v>10</v>
      </c>
      <c r="H704" s="1">
        <v>152292</v>
      </c>
      <c r="I704" s="10">
        <v>0.11</v>
      </c>
      <c r="J704">
        <v>37.5</v>
      </c>
      <c r="K704" t="s">
        <v>34</v>
      </c>
      <c r="L704">
        <v>33</v>
      </c>
      <c r="M704" t="s">
        <v>29</v>
      </c>
      <c r="N704" t="s">
        <v>42</v>
      </c>
      <c r="O704" t="s">
        <v>31</v>
      </c>
      <c r="P704">
        <v>7</v>
      </c>
      <c r="Q704" t="s">
        <v>43</v>
      </c>
      <c r="R704" t="s">
        <v>33</v>
      </c>
      <c r="S704">
        <v>3</v>
      </c>
      <c r="T704">
        <v>0</v>
      </c>
      <c r="U704">
        <v>14</v>
      </c>
      <c r="V704">
        <v>3</v>
      </c>
      <c r="W704">
        <v>13</v>
      </c>
      <c r="X704">
        <v>9</v>
      </c>
      <c r="Y704">
        <v>3</v>
      </c>
      <c r="Z704">
        <v>7</v>
      </c>
      <c r="AA704" t="str">
        <f t="shared" si="58"/>
        <v>Long Tenure</v>
      </c>
      <c r="AB704" s="5">
        <v>45975</v>
      </c>
      <c r="AC704">
        <f t="shared" si="59"/>
        <v>1</v>
      </c>
      <c r="AD704" t="s">
        <v>38</v>
      </c>
      <c r="AE704">
        <f>VLOOKUP(A704,'Employee Engagement Survey'!A583:B2052,2,FALSE)</f>
        <v>3</v>
      </c>
      <c r="AF704">
        <f>VLOOKUP(A704,'Employee Engagement Survey'!A583:C2052,3,FALSE)</f>
        <v>3</v>
      </c>
      <c r="AG704">
        <f>VLOOKUP(A704,'Employee Engagement Survey'!A583:D2052,4,FALSE)</f>
        <v>4</v>
      </c>
      <c r="AH704">
        <f>VLOOKUP(A704,'Employee Engagement Survey'!A583:E2052,5,FALSE)</f>
        <v>4</v>
      </c>
      <c r="AI704">
        <f t="shared" si="57"/>
        <v>3.5</v>
      </c>
    </row>
    <row r="705" spans="1:35" hidden="1" x14ac:dyDescent="0.4">
      <c r="A705">
        <v>151</v>
      </c>
      <c r="B705" t="s">
        <v>34</v>
      </c>
      <c r="C705">
        <f t="shared" si="60"/>
        <v>1</v>
      </c>
      <c r="D705" t="s">
        <v>27</v>
      </c>
      <c r="E705">
        <f t="shared" si="56"/>
        <v>0</v>
      </c>
      <c r="F705" t="s">
        <v>28</v>
      </c>
      <c r="G705">
        <v>6</v>
      </c>
      <c r="H705" s="1">
        <v>66060</v>
      </c>
      <c r="I705" s="10">
        <v>0.15</v>
      </c>
      <c r="J705">
        <v>37.5</v>
      </c>
      <c r="K705" t="s">
        <v>34</v>
      </c>
      <c r="L705">
        <v>34</v>
      </c>
      <c r="M705" t="s">
        <v>47</v>
      </c>
      <c r="N705" t="s">
        <v>48</v>
      </c>
      <c r="O705" t="s">
        <v>31</v>
      </c>
      <c r="P705">
        <v>6</v>
      </c>
      <c r="Q705" t="s">
        <v>51</v>
      </c>
      <c r="R705" t="s">
        <v>37</v>
      </c>
      <c r="S705">
        <v>3</v>
      </c>
      <c r="T705">
        <v>1</v>
      </c>
      <c r="U705">
        <v>12</v>
      </c>
      <c r="V705">
        <v>3</v>
      </c>
      <c r="W705">
        <v>1</v>
      </c>
      <c r="X705">
        <v>0</v>
      </c>
      <c r="Y705">
        <v>0</v>
      </c>
      <c r="Z705">
        <v>0</v>
      </c>
      <c r="AA705" t="str">
        <f t="shared" si="58"/>
        <v>Early Tenure</v>
      </c>
      <c r="AB705" s="5">
        <v>44750</v>
      </c>
      <c r="AC705">
        <f t="shared" si="59"/>
        <v>0</v>
      </c>
      <c r="AD705" t="s">
        <v>38</v>
      </c>
      <c r="AE705">
        <f>VLOOKUP(A705,'Employee Engagement Survey'!A584:B2053,2,FALSE)</f>
        <v>3</v>
      </c>
      <c r="AF705">
        <f>VLOOKUP(A705,'Employee Engagement Survey'!A584:C2053,3,FALSE)</f>
        <v>2</v>
      </c>
      <c r="AG705">
        <f>VLOOKUP(A705,'Employee Engagement Survey'!A584:D2053,4,FALSE)</f>
        <v>3</v>
      </c>
      <c r="AH705">
        <f>VLOOKUP(A705,'Employee Engagement Survey'!A584:E2053,5,FALSE)</f>
        <v>3</v>
      </c>
      <c r="AI705">
        <f t="shared" si="57"/>
        <v>2.75</v>
      </c>
    </row>
    <row r="706" spans="1:35" hidden="1" x14ac:dyDescent="0.4">
      <c r="A706">
        <v>824</v>
      </c>
      <c r="B706" t="s">
        <v>34</v>
      </c>
      <c r="C706">
        <f t="shared" si="60"/>
        <v>1</v>
      </c>
      <c r="D706" t="s">
        <v>27</v>
      </c>
      <c r="E706">
        <f t="shared" ref="E706:E769" si="61">IF(OR(D706="Manager, HR", D706="Manager, Sales", D706="Manager, R&amp;D", D706="Manufacturing Director",D706="Research Director", D706="VP, HR", D706="CEO"),1,0)</f>
        <v>0</v>
      </c>
      <c r="F706" t="s">
        <v>28</v>
      </c>
      <c r="G706">
        <v>5</v>
      </c>
      <c r="H706" s="1">
        <v>56400</v>
      </c>
      <c r="I706" s="10">
        <v>0.24</v>
      </c>
      <c r="J706">
        <v>37.5</v>
      </c>
      <c r="K706" t="s">
        <v>34</v>
      </c>
      <c r="L706">
        <v>29</v>
      </c>
      <c r="M706" t="s">
        <v>29</v>
      </c>
      <c r="N706" t="s">
        <v>42</v>
      </c>
      <c r="O706" t="s">
        <v>31</v>
      </c>
      <c r="P706">
        <v>23</v>
      </c>
      <c r="Q706" t="s">
        <v>36</v>
      </c>
      <c r="R706" t="s">
        <v>37</v>
      </c>
      <c r="S706">
        <v>4</v>
      </c>
      <c r="T706">
        <v>1</v>
      </c>
      <c r="U706">
        <v>10</v>
      </c>
      <c r="V706">
        <v>3</v>
      </c>
      <c r="W706">
        <v>10</v>
      </c>
      <c r="X706">
        <v>7</v>
      </c>
      <c r="Y706">
        <v>0</v>
      </c>
      <c r="Z706">
        <v>7</v>
      </c>
      <c r="AA706" t="str">
        <f t="shared" si="58"/>
        <v>Long Tenure</v>
      </c>
      <c r="AB706" s="5">
        <v>45020</v>
      </c>
      <c r="AC706">
        <f t="shared" si="59"/>
        <v>0</v>
      </c>
      <c r="AD706" t="s">
        <v>38</v>
      </c>
      <c r="AE706">
        <f>VLOOKUP(A706,'Employee Engagement Survey'!A585:B2054,2,FALSE)</f>
        <v>3</v>
      </c>
      <c r="AF706">
        <f>VLOOKUP(A706,'Employee Engagement Survey'!A585:C2054,3,FALSE)</f>
        <v>3</v>
      </c>
      <c r="AG706">
        <f>VLOOKUP(A706,'Employee Engagement Survey'!A585:D2054,4,FALSE)</f>
        <v>3</v>
      </c>
      <c r="AH706">
        <f>VLOOKUP(A706,'Employee Engagement Survey'!A585:E2054,5,FALSE)</f>
        <v>3</v>
      </c>
      <c r="AI706">
        <f t="shared" ref="AI706:AI769" si="62">AVERAGE(AE706:AH706)</f>
        <v>3</v>
      </c>
    </row>
    <row r="707" spans="1:35" hidden="1" x14ac:dyDescent="0.4">
      <c r="A707">
        <v>1757</v>
      </c>
      <c r="B707" t="s">
        <v>34</v>
      </c>
      <c r="C707">
        <f t="shared" si="60"/>
        <v>1</v>
      </c>
      <c r="D707" t="s">
        <v>57</v>
      </c>
      <c r="E707">
        <f t="shared" si="61"/>
        <v>0</v>
      </c>
      <c r="F707" t="s">
        <v>40</v>
      </c>
      <c r="G707">
        <v>6</v>
      </c>
      <c r="H707" s="1">
        <v>66084</v>
      </c>
      <c r="I707" s="10">
        <v>0.12</v>
      </c>
      <c r="J707">
        <v>37.5</v>
      </c>
      <c r="K707" t="s">
        <v>34</v>
      </c>
      <c r="L707">
        <v>49</v>
      </c>
      <c r="M707" t="s">
        <v>47</v>
      </c>
      <c r="N707" t="s">
        <v>30</v>
      </c>
      <c r="O707" t="s">
        <v>31</v>
      </c>
      <c r="P707">
        <v>11</v>
      </c>
      <c r="Q707" t="s">
        <v>51</v>
      </c>
      <c r="R707" t="s">
        <v>56</v>
      </c>
      <c r="S707">
        <v>3</v>
      </c>
      <c r="T707">
        <v>0</v>
      </c>
      <c r="U707">
        <v>8</v>
      </c>
      <c r="V707">
        <v>1</v>
      </c>
      <c r="W707">
        <v>5</v>
      </c>
      <c r="X707">
        <v>1</v>
      </c>
      <c r="Y707">
        <v>0</v>
      </c>
      <c r="Z707">
        <v>4</v>
      </c>
      <c r="AA707" t="str">
        <f t="shared" ref="AA707:AA770" si="63">IF(W707&lt;=2,"Early Tenure",IF(W707&lt;=9,"Mid Tenure","Long Tenure"))</f>
        <v>Mid Tenure</v>
      </c>
      <c r="AB707" s="5">
        <v>45760</v>
      </c>
      <c r="AC707">
        <f t="shared" ref="AC707:AC770" si="64">IF(AND(AB707&lt;&gt;"",AB707&gt;DATE(2024,1,1)),1,0)</f>
        <v>1</v>
      </c>
      <c r="AD707" t="s">
        <v>49</v>
      </c>
      <c r="AE707">
        <f>VLOOKUP(A707,'Employee Engagement Survey'!A586:B2055,2,FALSE)</f>
        <v>4</v>
      </c>
      <c r="AF707">
        <f>VLOOKUP(A707,'Employee Engagement Survey'!A586:C2055,3,FALSE)</f>
        <v>4</v>
      </c>
      <c r="AG707">
        <f>VLOOKUP(A707,'Employee Engagement Survey'!A586:D2055,4,FALSE)</f>
        <v>3</v>
      </c>
      <c r="AH707">
        <f>VLOOKUP(A707,'Employee Engagement Survey'!A586:E2055,5,FALSE)</f>
        <v>4</v>
      </c>
      <c r="AI707">
        <f t="shared" si="62"/>
        <v>3.75</v>
      </c>
    </row>
    <row r="708" spans="1:35" hidden="1" x14ac:dyDescent="0.4">
      <c r="A708">
        <v>1647</v>
      </c>
      <c r="B708" t="s">
        <v>34</v>
      </c>
      <c r="C708">
        <f t="shared" si="60"/>
        <v>1</v>
      </c>
      <c r="D708" t="s">
        <v>27</v>
      </c>
      <c r="E708">
        <f t="shared" si="61"/>
        <v>0</v>
      </c>
      <c r="F708" t="s">
        <v>28</v>
      </c>
      <c r="G708">
        <v>6</v>
      </c>
      <c r="H708" s="1">
        <v>66204</v>
      </c>
      <c r="I708" s="10">
        <v>0.17</v>
      </c>
      <c r="J708">
        <v>37.5</v>
      </c>
      <c r="K708" t="s">
        <v>34</v>
      </c>
      <c r="L708">
        <v>27</v>
      </c>
      <c r="M708" t="s">
        <v>47</v>
      </c>
      <c r="N708" t="s">
        <v>42</v>
      </c>
      <c r="O708" t="s">
        <v>31</v>
      </c>
      <c r="P708">
        <v>8</v>
      </c>
      <c r="Q708" t="s">
        <v>43</v>
      </c>
      <c r="R708" t="s">
        <v>33</v>
      </c>
      <c r="S708">
        <v>3</v>
      </c>
      <c r="T708">
        <v>0</v>
      </c>
      <c r="U708">
        <v>5</v>
      </c>
      <c r="V708">
        <v>0</v>
      </c>
      <c r="W708">
        <v>3</v>
      </c>
      <c r="X708">
        <v>2</v>
      </c>
      <c r="Y708">
        <v>0</v>
      </c>
      <c r="Z708">
        <v>2</v>
      </c>
      <c r="AA708" t="str">
        <f t="shared" si="63"/>
        <v>Mid Tenure</v>
      </c>
      <c r="AB708" s="5">
        <v>45899</v>
      </c>
      <c r="AC708">
        <f t="shared" si="64"/>
        <v>1</v>
      </c>
      <c r="AD708" t="s">
        <v>38</v>
      </c>
      <c r="AE708">
        <f>VLOOKUP(A708,'Employee Engagement Survey'!A588:B2057,2,FALSE)</f>
        <v>2</v>
      </c>
      <c r="AF708">
        <f>VLOOKUP(A708,'Employee Engagement Survey'!A588:C2057,3,FALSE)</f>
        <v>3</v>
      </c>
      <c r="AG708">
        <f>VLOOKUP(A708,'Employee Engagement Survey'!A588:D2057,4,FALSE)</f>
        <v>1</v>
      </c>
      <c r="AH708">
        <f>VLOOKUP(A708,'Employee Engagement Survey'!A588:E2057,5,FALSE)</f>
        <v>3</v>
      </c>
      <c r="AI708">
        <f t="shared" si="62"/>
        <v>2.25</v>
      </c>
    </row>
    <row r="709" spans="1:35" hidden="1" x14ac:dyDescent="0.4">
      <c r="A709">
        <v>526</v>
      </c>
      <c r="B709" t="s">
        <v>34</v>
      </c>
      <c r="C709">
        <f t="shared" si="60"/>
        <v>1</v>
      </c>
      <c r="D709" t="s">
        <v>55</v>
      </c>
      <c r="E709">
        <f t="shared" si="61"/>
        <v>0</v>
      </c>
      <c r="F709" t="s">
        <v>28</v>
      </c>
      <c r="G709">
        <v>6</v>
      </c>
      <c r="H709" s="1">
        <v>66264</v>
      </c>
      <c r="I709" s="10">
        <v>0.14000000000000001</v>
      </c>
      <c r="J709">
        <v>37.5</v>
      </c>
      <c r="K709" t="s">
        <v>26</v>
      </c>
      <c r="L709">
        <v>43</v>
      </c>
      <c r="M709" t="s">
        <v>47</v>
      </c>
      <c r="N709" t="s">
        <v>48</v>
      </c>
      <c r="O709" t="s">
        <v>31</v>
      </c>
      <c r="P709">
        <v>8</v>
      </c>
      <c r="Q709" t="s">
        <v>51</v>
      </c>
      <c r="R709" t="s">
        <v>53</v>
      </c>
      <c r="S709">
        <v>3</v>
      </c>
      <c r="T709">
        <v>0</v>
      </c>
      <c r="U709">
        <v>8</v>
      </c>
      <c r="V709">
        <v>3</v>
      </c>
      <c r="W709">
        <v>5</v>
      </c>
      <c r="X709">
        <v>2</v>
      </c>
      <c r="Y709">
        <v>0</v>
      </c>
      <c r="Z709">
        <v>2</v>
      </c>
      <c r="AA709" t="str">
        <f t="shared" si="63"/>
        <v>Mid Tenure</v>
      </c>
      <c r="AB709" s="5">
        <v>45395</v>
      </c>
      <c r="AC709">
        <f t="shared" si="64"/>
        <v>1</v>
      </c>
      <c r="AD709" t="s">
        <v>49</v>
      </c>
      <c r="AE709">
        <f>VLOOKUP(A709,'Employee Engagement Survey'!A589:B2058,2,FALSE)</f>
        <v>3</v>
      </c>
      <c r="AF709">
        <f>VLOOKUP(A709,'Employee Engagement Survey'!A589:C2058,3,FALSE)</f>
        <v>3</v>
      </c>
      <c r="AG709">
        <f>VLOOKUP(A709,'Employee Engagement Survey'!A589:D2058,4,FALSE)</f>
        <v>4</v>
      </c>
      <c r="AH709">
        <f>VLOOKUP(A709,'Employee Engagement Survey'!A589:E2058,5,FALSE)</f>
        <v>3</v>
      </c>
      <c r="AI709">
        <f t="shared" si="62"/>
        <v>3.25</v>
      </c>
    </row>
    <row r="710" spans="1:35" hidden="1" x14ac:dyDescent="0.4">
      <c r="A710">
        <v>551</v>
      </c>
      <c r="B710" t="s">
        <v>34</v>
      </c>
      <c r="C710">
        <f t="shared" si="60"/>
        <v>1</v>
      </c>
      <c r="D710" t="s">
        <v>55</v>
      </c>
      <c r="E710">
        <f t="shared" si="61"/>
        <v>0</v>
      </c>
      <c r="F710" t="s">
        <v>28</v>
      </c>
      <c r="G710">
        <v>6</v>
      </c>
      <c r="H710" s="1">
        <v>66276</v>
      </c>
      <c r="I710" s="10">
        <v>0.11</v>
      </c>
      <c r="J710">
        <v>37.5</v>
      </c>
      <c r="K710" t="s">
        <v>34</v>
      </c>
      <c r="L710">
        <v>42</v>
      </c>
      <c r="M710" t="s">
        <v>47</v>
      </c>
      <c r="N710" t="s">
        <v>42</v>
      </c>
      <c r="O710" t="s">
        <v>44</v>
      </c>
      <c r="P710">
        <v>28</v>
      </c>
      <c r="Q710" t="s">
        <v>51</v>
      </c>
      <c r="R710" t="s">
        <v>45</v>
      </c>
      <c r="S710">
        <v>3</v>
      </c>
      <c r="T710">
        <v>3</v>
      </c>
      <c r="U710">
        <v>7</v>
      </c>
      <c r="V710">
        <v>4</v>
      </c>
      <c r="W710">
        <v>6</v>
      </c>
      <c r="X710">
        <v>5</v>
      </c>
      <c r="Y710">
        <v>0</v>
      </c>
      <c r="Z710">
        <v>4</v>
      </c>
      <c r="AA710" t="str">
        <f t="shared" si="63"/>
        <v>Mid Tenure</v>
      </c>
      <c r="AB710" s="5">
        <v>45010</v>
      </c>
      <c r="AC710">
        <f t="shared" si="64"/>
        <v>0</v>
      </c>
      <c r="AD710" t="s">
        <v>49</v>
      </c>
      <c r="AE710">
        <f>VLOOKUP(A710,'Employee Engagement Survey'!A590:B2059,2,FALSE)</f>
        <v>4</v>
      </c>
      <c r="AF710">
        <f>VLOOKUP(A710,'Employee Engagement Survey'!A590:C2059,3,FALSE)</f>
        <v>4</v>
      </c>
      <c r="AG710">
        <f>VLOOKUP(A710,'Employee Engagement Survey'!A590:D2059,4,FALSE)</f>
        <v>4</v>
      </c>
      <c r="AH710">
        <f>VLOOKUP(A710,'Employee Engagement Survey'!A590:E2059,5,FALSE)</f>
        <v>4</v>
      </c>
      <c r="AI710">
        <f t="shared" si="62"/>
        <v>4</v>
      </c>
    </row>
    <row r="711" spans="1:35" hidden="1" x14ac:dyDescent="0.4">
      <c r="A711">
        <v>903</v>
      </c>
      <c r="B711" t="s">
        <v>34</v>
      </c>
      <c r="C711">
        <f t="shared" si="60"/>
        <v>1</v>
      </c>
      <c r="D711" t="s">
        <v>57</v>
      </c>
      <c r="E711">
        <f t="shared" si="61"/>
        <v>0</v>
      </c>
      <c r="F711" t="s">
        <v>40</v>
      </c>
      <c r="G711">
        <v>6</v>
      </c>
      <c r="H711" s="1">
        <v>66444</v>
      </c>
      <c r="I711" s="10">
        <v>0.22</v>
      </c>
      <c r="J711">
        <v>37.5</v>
      </c>
      <c r="K711" t="s">
        <v>26</v>
      </c>
      <c r="L711">
        <v>47</v>
      </c>
      <c r="M711" t="s">
        <v>47</v>
      </c>
      <c r="N711" t="s">
        <v>42</v>
      </c>
      <c r="O711" t="s">
        <v>31</v>
      </c>
      <c r="P711">
        <v>2</v>
      </c>
      <c r="Q711" t="s">
        <v>36</v>
      </c>
      <c r="R711" t="s">
        <v>56</v>
      </c>
      <c r="S711">
        <v>4</v>
      </c>
      <c r="T711">
        <v>1</v>
      </c>
      <c r="U711">
        <v>8</v>
      </c>
      <c r="V711">
        <v>2</v>
      </c>
      <c r="W711">
        <v>7</v>
      </c>
      <c r="X711">
        <v>6</v>
      </c>
      <c r="Y711">
        <v>7</v>
      </c>
      <c r="Z711">
        <v>7</v>
      </c>
      <c r="AA711" t="str">
        <f t="shared" si="63"/>
        <v>Mid Tenure</v>
      </c>
      <c r="AB711" s="5">
        <v>46019</v>
      </c>
      <c r="AC711">
        <f t="shared" si="64"/>
        <v>1</v>
      </c>
      <c r="AD711" t="s">
        <v>38</v>
      </c>
      <c r="AE711">
        <f>VLOOKUP(A711,'Employee Engagement Survey'!A593:B2062,2,FALSE)</f>
        <v>3</v>
      </c>
      <c r="AF711">
        <f>VLOOKUP(A711,'Employee Engagement Survey'!A593:C2062,3,FALSE)</f>
        <v>4</v>
      </c>
      <c r="AG711">
        <f>VLOOKUP(A711,'Employee Engagement Survey'!A593:D2062,4,FALSE)</f>
        <v>1</v>
      </c>
      <c r="AH711">
        <f>VLOOKUP(A711,'Employee Engagement Survey'!A593:E2062,5,FALSE)</f>
        <v>3</v>
      </c>
      <c r="AI711">
        <f t="shared" si="62"/>
        <v>2.75</v>
      </c>
    </row>
    <row r="712" spans="1:35" hidden="1" x14ac:dyDescent="0.4">
      <c r="A712">
        <v>1281</v>
      </c>
      <c r="B712" t="s">
        <v>34</v>
      </c>
      <c r="C712">
        <f t="shared" si="60"/>
        <v>1</v>
      </c>
      <c r="D712" t="s">
        <v>57</v>
      </c>
      <c r="E712">
        <f t="shared" si="61"/>
        <v>0</v>
      </c>
      <c r="F712" t="s">
        <v>40</v>
      </c>
      <c r="G712">
        <v>6</v>
      </c>
      <c r="H712" s="1">
        <v>66456</v>
      </c>
      <c r="I712" s="10">
        <v>0.12</v>
      </c>
      <c r="J712">
        <v>37.5</v>
      </c>
      <c r="K712" t="s">
        <v>26</v>
      </c>
      <c r="L712">
        <v>34</v>
      </c>
      <c r="M712" t="s">
        <v>47</v>
      </c>
      <c r="N712" t="s">
        <v>30</v>
      </c>
      <c r="O712" t="s">
        <v>31</v>
      </c>
      <c r="P712">
        <v>2</v>
      </c>
      <c r="Q712" t="s">
        <v>43</v>
      </c>
      <c r="R712" t="s">
        <v>56</v>
      </c>
      <c r="S712">
        <v>3</v>
      </c>
      <c r="T712">
        <v>0</v>
      </c>
      <c r="U712">
        <v>4</v>
      </c>
      <c r="V712">
        <v>3</v>
      </c>
      <c r="W712">
        <v>3</v>
      </c>
      <c r="X712">
        <v>2</v>
      </c>
      <c r="Y712">
        <v>0</v>
      </c>
      <c r="Z712">
        <v>2</v>
      </c>
      <c r="AA712" t="str">
        <f t="shared" si="63"/>
        <v>Mid Tenure</v>
      </c>
      <c r="AB712" s="5">
        <v>45451</v>
      </c>
      <c r="AC712">
        <f t="shared" si="64"/>
        <v>1</v>
      </c>
      <c r="AD712" t="s">
        <v>38</v>
      </c>
      <c r="AE712">
        <f>VLOOKUP(A712,'Employee Engagement Survey'!A594:B2063,2,FALSE)</f>
        <v>3</v>
      </c>
      <c r="AF712">
        <f>VLOOKUP(A712,'Employee Engagement Survey'!A594:C2063,3,FALSE)</f>
        <v>1</v>
      </c>
      <c r="AG712">
        <f>VLOOKUP(A712,'Employee Engagement Survey'!A594:D2063,4,FALSE)</f>
        <v>4</v>
      </c>
      <c r="AH712">
        <f>VLOOKUP(A712,'Employee Engagement Survey'!A594:E2063,5,FALSE)</f>
        <v>3</v>
      </c>
      <c r="AI712">
        <f t="shared" si="62"/>
        <v>2.75</v>
      </c>
    </row>
    <row r="713" spans="1:35" hidden="1" x14ac:dyDescent="0.4">
      <c r="A713">
        <v>829</v>
      </c>
      <c r="B713" t="s">
        <v>34</v>
      </c>
      <c r="C713">
        <f t="shared" si="60"/>
        <v>1</v>
      </c>
      <c r="D713" t="s">
        <v>104</v>
      </c>
      <c r="E713">
        <f t="shared" si="61"/>
        <v>0</v>
      </c>
      <c r="F713" t="s">
        <v>59</v>
      </c>
      <c r="G713">
        <v>3</v>
      </c>
      <c r="H713" s="1">
        <v>49716</v>
      </c>
      <c r="I713" s="10">
        <v>0.13</v>
      </c>
      <c r="J713">
        <v>37.5</v>
      </c>
      <c r="K713" t="s">
        <v>34</v>
      </c>
      <c r="L713">
        <v>36</v>
      </c>
      <c r="M713" t="s">
        <v>29</v>
      </c>
      <c r="N713" t="s">
        <v>42</v>
      </c>
      <c r="O713" t="s">
        <v>31</v>
      </c>
      <c r="P713">
        <v>13</v>
      </c>
      <c r="Q713" t="s">
        <v>43</v>
      </c>
      <c r="R713" t="s">
        <v>59</v>
      </c>
      <c r="S713">
        <v>3</v>
      </c>
      <c r="T713">
        <v>1</v>
      </c>
      <c r="U713">
        <v>8</v>
      </c>
      <c r="V713">
        <v>2</v>
      </c>
      <c r="W713">
        <v>5</v>
      </c>
      <c r="X713">
        <v>2</v>
      </c>
      <c r="Y713">
        <v>0</v>
      </c>
      <c r="Z713">
        <v>4</v>
      </c>
      <c r="AA713" t="str">
        <f t="shared" si="63"/>
        <v>Mid Tenure</v>
      </c>
      <c r="AB713" s="5">
        <v>44682</v>
      </c>
      <c r="AC713">
        <f t="shared" si="64"/>
        <v>0</v>
      </c>
      <c r="AD713" t="s">
        <v>49</v>
      </c>
      <c r="AE713">
        <f>VLOOKUP(A713,'Employee Engagement Survey'!A595:B2064,2,FALSE)</f>
        <v>3</v>
      </c>
      <c r="AF713">
        <f>VLOOKUP(A713,'Employee Engagement Survey'!A595:C2064,3,FALSE)</f>
        <v>2</v>
      </c>
      <c r="AG713">
        <f>VLOOKUP(A713,'Employee Engagement Survey'!A595:D2064,4,FALSE)</f>
        <v>2</v>
      </c>
      <c r="AH713">
        <f>VLOOKUP(A713,'Employee Engagement Survey'!A595:E2064,5,FALSE)</f>
        <v>3</v>
      </c>
      <c r="AI713">
        <f t="shared" si="62"/>
        <v>2.5</v>
      </c>
    </row>
    <row r="714" spans="1:35" hidden="1" x14ac:dyDescent="0.4">
      <c r="A714">
        <v>1220</v>
      </c>
      <c r="B714" t="s">
        <v>34</v>
      </c>
      <c r="C714">
        <f t="shared" si="60"/>
        <v>1</v>
      </c>
      <c r="D714" t="s">
        <v>57</v>
      </c>
      <c r="E714">
        <f t="shared" si="61"/>
        <v>0</v>
      </c>
      <c r="F714" t="s">
        <v>40</v>
      </c>
      <c r="G714">
        <v>6</v>
      </c>
      <c r="H714" s="1">
        <v>66468</v>
      </c>
      <c r="I714" s="10">
        <v>0.12</v>
      </c>
      <c r="J714">
        <v>37.5</v>
      </c>
      <c r="K714" t="s">
        <v>34</v>
      </c>
      <c r="L714">
        <v>33</v>
      </c>
      <c r="M714" t="s">
        <v>47</v>
      </c>
      <c r="N714" t="s">
        <v>42</v>
      </c>
      <c r="O714" t="s">
        <v>44</v>
      </c>
      <c r="P714">
        <v>25</v>
      </c>
      <c r="Q714" t="s">
        <v>43</v>
      </c>
      <c r="R714" t="s">
        <v>33</v>
      </c>
      <c r="S714">
        <v>3</v>
      </c>
      <c r="T714">
        <v>1</v>
      </c>
      <c r="U714">
        <v>10</v>
      </c>
      <c r="V714">
        <v>3</v>
      </c>
      <c r="W714">
        <v>10</v>
      </c>
      <c r="X714">
        <v>7</v>
      </c>
      <c r="Y714">
        <v>0</v>
      </c>
      <c r="Z714">
        <v>1</v>
      </c>
      <c r="AA714" t="str">
        <f t="shared" si="63"/>
        <v>Long Tenure</v>
      </c>
      <c r="AB714" s="5">
        <v>45977</v>
      </c>
      <c r="AC714">
        <f t="shared" si="64"/>
        <v>1</v>
      </c>
      <c r="AD714" t="s">
        <v>49</v>
      </c>
      <c r="AE714">
        <f>VLOOKUP(A714,'Employee Engagement Survey'!A596:B2065,2,FALSE)</f>
        <v>2</v>
      </c>
      <c r="AF714">
        <f>VLOOKUP(A714,'Employee Engagement Survey'!A596:C2065,3,FALSE)</f>
        <v>3</v>
      </c>
      <c r="AG714">
        <f>VLOOKUP(A714,'Employee Engagement Survey'!A596:D2065,4,FALSE)</f>
        <v>1</v>
      </c>
      <c r="AH714">
        <f>VLOOKUP(A714,'Employee Engagement Survey'!A596:E2065,5,FALSE)</f>
        <v>2</v>
      </c>
      <c r="AI714">
        <f t="shared" si="62"/>
        <v>2</v>
      </c>
    </row>
    <row r="715" spans="1:35" hidden="1" x14ac:dyDescent="0.4">
      <c r="A715">
        <v>1864</v>
      </c>
      <c r="B715" t="s">
        <v>34</v>
      </c>
      <c r="C715">
        <f t="shared" si="60"/>
        <v>1</v>
      </c>
      <c r="D715" t="s">
        <v>39</v>
      </c>
      <c r="E715">
        <f t="shared" si="61"/>
        <v>0</v>
      </c>
      <c r="F715" t="s">
        <v>40</v>
      </c>
      <c r="G715">
        <v>6</v>
      </c>
      <c r="H715" s="1">
        <v>66480</v>
      </c>
      <c r="I715" s="10">
        <v>0.21</v>
      </c>
      <c r="J715">
        <v>37.5</v>
      </c>
      <c r="K715" t="s">
        <v>34</v>
      </c>
      <c r="L715">
        <v>27</v>
      </c>
      <c r="M715" t="s">
        <v>47</v>
      </c>
      <c r="N715" t="s">
        <v>42</v>
      </c>
      <c r="O715" t="s">
        <v>31</v>
      </c>
      <c r="P715">
        <v>23</v>
      </c>
      <c r="Q715" t="s">
        <v>32</v>
      </c>
      <c r="R715" t="s">
        <v>33</v>
      </c>
      <c r="S715">
        <v>4</v>
      </c>
      <c r="T715">
        <v>1</v>
      </c>
      <c r="U715">
        <v>9</v>
      </c>
      <c r="V715">
        <v>5</v>
      </c>
      <c r="W715">
        <v>9</v>
      </c>
      <c r="X715">
        <v>8</v>
      </c>
      <c r="Y715">
        <v>5</v>
      </c>
      <c r="Z715">
        <v>8</v>
      </c>
      <c r="AA715" t="str">
        <f t="shared" si="63"/>
        <v>Mid Tenure</v>
      </c>
      <c r="AB715" s="5">
        <v>44776</v>
      </c>
      <c r="AC715">
        <f t="shared" si="64"/>
        <v>0</v>
      </c>
      <c r="AD715" t="s">
        <v>38</v>
      </c>
      <c r="AE715">
        <f>VLOOKUP(A715,'Employee Engagement Survey'!A597:B2066,2,FALSE)</f>
        <v>2</v>
      </c>
      <c r="AF715">
        <f>VLOOKUP(A715,'Employee Engagement Survey'!A597:C2066,3,FALSE)</f>
        <v>3</v>
      </c>
      <c r="AG715">
        <f>VLOOKUP(A715,'Employee Engagement Survey'!A597:D2066,4,FALSE)</f>
        <v>4</v>
      </c>
      <c r="AH715">
        <f>VLOOKUP(A715,'Employee Engagement Survey'!A597:E2066,5,FALSE)</f>
        <v>3</v>
      </c>
      <c r="AI715">
        <f t="shared" si="62"/>
        <v>3</v>
      </c>
    </row>
    <row r="716" spans="1:35" hidden="1" x14ac:dyDescent="0.4">
      <c r="A716">
        <v>832</v>
      </c>
      <c r="B716" t="s">
        <v>34</v>
      </c>
      <c r="C716">
        <f t="shared" si="60"/>
        <v>1</v>
      </c>
      <c r="D716" t="s">
        <v>46</v>
      </c>
      <c r="E716">
        <f t="shared" si="61"/>
        <v>0</v>
      </c>
      <c r="F716" t="s">
        <v>28</v>
      </c>
      <c r="G716">
        <v>7</v>
      </c>
      <c r="H716" s="1">
        <v>73128</v>
      </c>
      <c r="I716" s="10">
        <v>0.14000000000000001</v>
      </c>
      <c r="J716">
        <v>37.5</v>
      </c>
      <c r="K716" t="s">
        <v>34</v>
      </c>
      <c r="L716">
        <v>40</v>
      </c>
      <c r="M716" t="s">
        <v>29</v>
      </c>
      <c r="N716" t="s">
        <v>30</v>
      </c>
      <c r="O716" t="s">
        <v>44</v>
      </c>
      <c r="P716">
        <v>16</v>
      </c>
      <c r="Q716" t="s">
        <v>51</v>
      </c>
      <c r="R716" t="s">
        <v>33</v>
      </c>
      <c r="S716">
        <v>3</v>
      </c>
      <c r="T716">
        <v>0</v>
      </c>
      <c r="U716">
        <v>10</v>
      </c>
      <c r="V716">
        <v>6</v>
      </c>
      <c r="W716">
        <v>1</v>
      </c>
      <c r="X716">
        <v>0</v>
      </c>
      <c r="Y716">
        <v>0</v>
      </c>
      <c r="Z716">
        <v>0</v>
      </c>
      <c r="AA716" t="str">
        <f t="shared" si="63"/>
        <v>Early Tenure</v>
      </c>
      <c r="AB716" s="5">
        <v>45721</v>
      </c>
      <c r="AC716">
        <f t="shared" si="64"/>
        <v>1</v>
      </c>
      <c r="AD716" t="s">
        <v>38</v>
      </c>
      <c r="AE716">
        <f>VLOOKUP(A716,'Employee Engagement Survey'!A598:B2067,2,FALSE)</f>
        <v>1</v>
      </c>
      <c r="AF716">
        <f>VLOOKUP(A716,'Employee Engagement Survey'!A598:C2067,3,FALSE)</f>
        <v>3</v>
      </c>
      <c r="AG716">
        <f>VLOOKUP(A716,'Employee Engagement Survey'!A598:D2067,4,FALSE)</f>
        <v>4</v>
      </c>
      <c r="AH716">
        <f>VLOOKUP(A716,'Employee Engagement Survey'!A598:E2067,5,FALSE)</f>
        <v>3</v>
      </c>
      <c r="AI716">
        <f t="shared" si="62"/>
        <v>2.75</v>
      </c>
    </row>
    <row r="717" spans="1:35" hidden="1" x14ac:dyDescent="0.4">
      <c r="A717">
        <v>836</v>
      </c>
      <c r="B717" t="s">
        <v>34</v>
      </c>
      <c r="C717">
        <f t="shared" si="60"/>
        <v>1</v>
      </c>
      <c r="D717" t="s">
        <v>54</v>
      </c>
      <c r="E717">
        <f t="shared" si="61"/>
        <v>1</v>
      </c>
      <c r="F717" t="s">
        <v>28</v>
      </c>
      <c r="G717">
        <v>6</v>
      </c>
      <c r="H717" s="1">
        <v>65208</v>
      </c>
      <c r="I717" s="10">
        <v>0.13</v>
      </c>
      <c r="J717">
        <v>37.5</v>
      </c>
      <c r="K717" t="s">
        <v>34</v>
      </c>
      <c r="L717">
        <v>42</v>
      </c>
      <c r="M717" t="s">
        <v>29</v>
      </c>
      <c r="N717" t="s">
        <v>42</v>
      </c>
      <c r="O717" t="s">
        <v>31</v>
      </c>
      <c r="P717">
        <v>29</v>
      </c>
      <c r="Q717" t="s">
        <v>43</v>
      </c>
      <c r="R717" t="s">
        <v>37</v>
      </c>
      <c r="S717">
        <v>3</v>
      </c>
      <c r="T717">
        <v>1</v>
      </c>
      <c r="U717">
        <v>10</v>
      </c>
      <c r="V717">
        <v>3</v>
      </c>
      <c r="W717">
        <v>9</v>
      </c>
      <c r="X717">
        <v>8</v>
      </c>
      <c r="Y717">
        <v>7</v>
      </c>
      <c r="Z717">
        <v>8</v>
      </c>
      <c r="AA717" t="str">
        <f t="shared" si="63"/>
        <v>Mid Tenure</v>
      </c>
      <c r="AB717" s="5">
        <v>45164</v>
      </c>
      <c r="AC717">
        <f t="shared" si="64"/>
        <v>0</v>
      </c>
      <c r="AD717" t="s">
        <v>49</v>
      </c>
      <c r="AE717">
        <f>VLOOKUP(A717,'Employee Engagement Survey'!A599:B2068,2,FALSE)</f>
        <v>2</v>
      </c>
      <c r="AF717">
        <f>VLOOKUP(A717,'Employee Engagement Survey'!A599:C2068,3,FALSE)</f>
        <v>2</v>
      </c>
      <c r="AG717">
        <f>VLOOKUP(A717,'Employee Engagement Survey'!A599:D2068,4,FALSE)</f>
        <v>4</v>
      </c>
      <c r="AH717">
        <f>VLOOKUP(A717,'Employee Engagement Survey'!A599:E2068,5,FALSE)</f>
        <v>2</v>
      </c>
      <c r="AI717">
        <f t="shared" si="62"/>
        <v>2.5</v>
      </c>
    </row>
    <row r="718" spans="1:35" hidden="1" x14ac:dyDescent="0.4">
      <c r="A718">
        <v>721</v>
      </c>
      <c r="B718" t="s">
        <v>34</v>
      </c>
      <c r="C718">
        <f t="shared" si="60"/>
        <v>1</v>
      </c>
      <c r="D718" t="s">
        <v>55</v>
      </c>
      <c r="E718">
        <f t="shared" si="61"/>
        <v>0</v>
      </c>
      <c r="F718" t="s">
        <v>28</v>
      </c>
      <c r="G718">
        <v>6</v>
      </c>
      <c r="H718" s="1">
        <v>66636</v>
      </c>
      <c r="I718" s="10">
        <v>0.11</v>
      </c>
      <c r="J718">
        <v>37.5</v>
      </c>
      <c r="K718" t="s">
        <v>34</v>
      </c>
      <c r="L718">
        <v>39</v>
      </c>
      <c r="M718" t="s">
        <v>47</v>
      </c>
      <c r="N718" t="s">
        <v>30</v>
      </c>
      <c r="O718" t="s">
        <v>31</v>
      </c>
      <c r="P718">
        <v>2</v>
      </c>
      <c r="Q718" t="s">
        <v>51</v>
      </c>
      <c r="R718" t="s">
        <v>45</v>
      </c>
      <c r="S718">
        <v>3</v>
      </c>
      <c r="T718">
        <v>0</v>
      </c>
      <c r="U718">
        <v>20</v>
      </c>
      <c r="V718">
        <v>4</v>
      </c>
      <c r="W718">
        <v>20</v>
      </c>
      <c r="X718">
        <v>7</v>
      </c>
      <c r="Y718">
        <v>11</v>
      </c>
      <c r="Z718">
        <v>10</v>
      </c>
      <c r="AA718" t="str">
        <f t="shared" si="63"/>
        <v>Long Tenure</v>
      </c>
      <c r="AB718" s="5">
        <v>45287</v>
      </c>
      <c r="AC718">
        <f t="shared" si="64"/>
        <v>0</v>
      </c>
      <c r="AD718" t="s">
        <v>49</v>
      </c>
      <c r="AE718">
        <f>VLOOKUP(A718,'Employee Engagement Survey'!A600:B2069,2,FALSE)</f>
        <v>4</v>
      </c>
      <c r="AF718">
        <f>VLOOKUP(A718,'Employee Engagement Survey'!A600:C2069,3,FALSE)</f>
        <v>3</v>
      </c>
      <c r="AG718">
        <f>VLOOKUP(A718,'Employee Engagement Survey'!A600:D2069,4,FALSE)</f>
        <v>1</v>
      </c>
      <c r="AH718">
        <f>VLOOKUP(A718,'Employee Engagement Survey'!A600:E2069,5,FALSE)</f>
        <v>3</v>
      </c>
      <c r="AI718">
        <f t="shared" si="62"/>
        <v>2.75</v>
      </c>
    </row>
    <row r="719" spans="1:35" hidden="1" x14ac:dyDescent="0.4">
      <c r="A719">
        <v>837</v>
      </c>
      <c r="B719" t="s">
        <v>34</v>
      </c>
      <c r="C719">
        <f t="shared" si="60"/>
        <v>1</v>
      </c>
      <c r="D719" t="s">
        <v>55</v>
      </c>
      <c r="E719">
        <f t="shared" si="61"/>
        <v>0</v>
      </c>
      <c r="F719" t="s">
        <v>28</v>
      </c>
      <c r="G719">
        <v>8</v>
      </c>
      <c r="H719" s="1">
        <v>87456</v>
      </c>
      <c r="I719" s="10">
        <v>0.15</v>
      </c>
      <c r="J719">
        <v>37.5</v>
      </c>
      <c r="K719" t="s">
        <v>34</v>
      </c>
      <c r="L719">
        <v>38</v>
      </c>
      <c r="M719" t="s">
        <v>29</v>
      </c>
      <c r="N719" t="s">
        <v>48</v>
      </c>
      <c r="O719" t="s">
        <v>44</v>
      </c>
      <c r="P719">
        <v>12</v>
      </c>
      <c r="Q719" t="s">
        <v>43</v>
      </c>
      <c r="R719" t="s">
        <v>37</v>
      </c>
      <c r="S719">
        <v>3</v>
      </c>
      <c r="T719">
        <v>1</v>
      </c>
      <c r="U719">
        <v>13</v>
      </c>
      <c r="V719">
        <v>3</v>
      </c>
      <c r="W719">
        <v>4</v>
      </c>
      <c r="X719">
        <v>3</v>
      </c>
      <c r="Y719">
        <v>1</v>
      </c>
      <c r="Z719">
        <v>2</v>
      </c>
      <c r="AA719" t="str">
        <f t="shared" si="63"/>
        <v>Mid Tenure</v>
      </c>
      <c r="AB719" s="5">
        <v>45708</v>
      </c>
      <c r="AC719">
        <f t="shared" si="64"/>
        <v>1</v>
      </c>
      <c r="AD719" t="s">
        <v>38</v>
      </c>
      <c r="AE719">
        <f>VLOOKUP(A719,'Employee Engagement Survey'!A601:B2070,2,FALSE)</f>
        <v>1</v>
      </c>
      <c r="AF719">
        <f>VLOOKUP(A719,'Employee Engagement Survey'!A601:C2070,3,FALSE)</f>
        <v>1</v>
      </c>
      <c r="AG719">
        <f>VLOOKUP(A719,'Employee Engagement Survey'!A601:D2070,4,FALSE)</f>
        <v>3</v>
      </c>
      <c r="AH719">
        <f>VLOOKUP(A719,'Employee Engagement Survey'!A601:E2070,5,FALSE)</f>
        <v>2</v>
      </c>
      <c r="AI719">
        <f t="shared" si="62"/>
        <v>1.75</v>
      </c>
    </row>
    <row r="720" spans="1:35" hidden="1" x14ac:dyDescent="0.4">
      <c r="A720">
        <v>547</v>
      </c>
      <c r="B720" t="s">
        <v>34</v>
      </c>
      <c r="C720">
        <f t="shared" si="60"/>
        <v>1</v>
      </c>
      <c r="D720" t="s">
        <v>27</v>
      </c>
      <c r="E720">
        <f t="shared" si="61"/>
        <v>0</v>
      </c>
      <c r="F720" t="s">
        <v>28</v>
      </c>
      <c r="G720">
        <v>6</v>
      </c>
      <c r="H720" s="1">
        <v>66672</v>
      </c>
      <c r="I720" s="10">
        <v>0.11</v>
      </c>
      <c r="J720">
        <v>37.5</v>
      </c>
      <c r="K720" t="s">
        <v>34</v>
      </c>
      <c r="L720">
        <v>42</v>
      </c>
      <c r="M720" t="s">
        <v>47</v>
      </c>
      <c r="N720" t="s">
        <v>48</v>
      </c>
      <c r="O720" t="s">
        <v>44</v>
      </c>
      <c r="P720">
        <v>29</v>
      </c>
      <c r="Q720" t="s">
        <v>36</v>
      </c>
      <c r="R720" t="s">
        <v>37</v>
      </c>
      <c r="S720">
        <v>3</v>
      </c>
      <c r="T720">
        <v>1</v>
      </c>
      <c r="U720">
        <v>19</v>
      </c>
      <c r="V720">
        <v>3</v>
      </c>
      <c r="W720">
        <v>5</v>
      </c>
      <c r="X720">
        <v>4</v>
      </c>
      <c r="Y720">
        <v>0</v>
      </c>
      <c r="Z720">
        <v>2</v>
      </c>
      <c r="AA720" t="str">
        <f t="shared" si="63"/>
        <v>Mid Tenure</v>
      </c>
      <c r="AB720" s="5">
        <v>44607</v>
      </c>
      <c r="AC720">
        <f t="shared" si="64"/>
        <v>0</v>
      </c>
      <c r="AD720" t="s">
        <v>38</v>
      </c>
      <c r="AE720">
        <f>VLOOKUP(A720,'Employee Engagement Survey'!A602:B2071,2,FALSE)</f>
        <v>1</v>
      </c>
      <c r="AF720">
        <f>VLOOKUP(A720,'Employee Engagement Survey'!A602:C2071,3,FALSE)</f>
        <v>3</v>
      </c>
      <c r="AG720">
        <f>VLOOKUP(A720,'Employee Engagement Survey'!A602:D2071,4,FALSE)</f>
        <v>2</v>
      </c>
      <c r="AH720">
        <f>VLOOKUP(A720,'Employee Engagement Survey'!A602:E2071,5,FALSE)</f>
        <v>3</v>
      </c>
      <c r="AI720">
        <f t="shared" si="62"/>
        <v>2.25</v>
      </c>
    </row>
    <row r="721" spans="1:35" hidden="1" x14ac:dyDescent="0.4">
      <c r="A721">
        <v>843</v>
      </c>
      <c r="B721" t="s">
        <v>34</v>
      </c>
      <c r="C721">
        <f t="shared" si="60"/>
        <v>1</v>
      </c>
      <c r="D721" t="s">
        <v>60</v>
      </c>
      <c r="E721">
        <f t="shared" si="61"/>
        <v>1</v>
      </c>
      <c r="F721" t="s">
        <v>28</v>
      </c>
      <c r="G721">
        <v>4</v>
      </c>
      <c r="H721" s="1">
        <v>217908</v>
      </c>
      <c r="I721" s="10">
        <v>0.24</v>
      </c>
      <c r="J721">
        <v>37.5</v>
      </c>
      <c r="K721" t="s">
        <v>34</v>
      </c>
      <c r="L721">
        <v>43</v>
      </c>
      <c r="M721" t="s">
        <v>29</v>
      </c>
      <c r="N721" t="s">
        <v>42</v>
      </c>
      <c r="O721" t="s">
        <v>31</v>
      </c>
      <c r="P721">
        <v>14</v>
      </c>
      <c r="Q721" t="s">
        <v>36</v>
      </c>
      <c r="R721" t="s">
        <v>37</v>
      </c>
      <c r="S721">
        <v>4</v>
      </c>
      <c r="T721">
        <v>1</v>
      </c>
      <c r="U721">
        <v>22</v>
      </c>
      <c r="V721">
        <v>3</v>
      </c>
      <c r="W721">
        <v>4</v>
      </c>
      <c r="X721">
        <v>1</v>
      </c>
      <c r="Y721">
        <v>1</v>
      </c>
      <c r="Z721">
        <v>0</v>
      </c>
      <c r="AA721" t="str">
        <f t="shared" si="63"/>
        <v>Mid Tenure</v>
      </c>
      <c r="AB721" s="5">
        <v>45415</v>
      </c>
      <c r="AC721">
        <f t="shared" si="64"/>
        <v>1</v>
      </c>
      <c r="AD721" t="s">
        <v>49</v>
      </c>
      <c r="AE721">
        <f>VLOOKUP(A721,'Employee Engagement Survey'!A605:B2074,2,FALSE)</f>
        <v>2</v>
      </c>
      <c r="AF721">
        <f>VLOOKUP(A721,'Employee Engagement Survey'!A605:C2074,3,FALSE)</f>
        <v>1</v>
      </c>
      <c r="AG721">
        <f>VLOOKUP(A721,'Employee Engagement Survey'!A605:D2074,4,FALSE)</f>
        <v>3</v>
      </c>
      <c r="AH721">
        <f>VLOOKUP(A721,'Employee Engagement Survey'!A605:E2074,5,FALSE)</f>
        <v>3</v>
      </c>
      <c r="AI721">
        <f t="shared" si="62"/>
        <v>2.25</v>
      </c>
    </row>
    <row r="722" spans="1:35" hidden="1" x14ac:dyDescent="0.4">
      <c r="A722">
        <v>844</v>
      </c>
      <c r="B722" t="s">
        <v>34</v>
      </c>
      <c r="C722">
        <f t="shared" si="60"/>
        <v>1</v>
      </c>
      <c r="D722" t="s">
        <v>60</v>
      </c>
      <c r="E722">
        <f t="shared" si="61"/>
        <v>1</v>
      </c>
      <c r="F722" t="s">
        <v>28</v>
      </c>
      <c r="G722">
        <v>10</v>
      </c>
      <c r="H722" s="1">
        <v>165696</v>
      </c>
      <c r="I722" s="10">
        <v>0.16</v>
      </c>
      <c r="J722">
        <v>37.5</v>
      </c>
      <c r="K722" t="s">
        <v>26</v>
      </c>
      <c r="L722">
        <v>27</v>
      </c>
      <c r="M722" t="s">
        <v>29</v>
      </c>
      <c r="N722" t="s">
        <v>48</v>
      </c>
      <c r="O722" t="s">
        <v>31</v>
      </c>
      <c r="P722">
        <v>5</v>
      </c>
      <c r="Q722" t="s">
        <v>32</v>
      </c>
      <c r="R722" t="s">
        <v>45</v>
      </c>
      <c r="S722">
        <v>3</v>
      </c>
      <c r="T722">
        <v>1</v>
      </c>
      <c r="U722">
        <v>9</v>
      </c>
      <c r="V722">
        <v>3</v>
      </c>
      <c r="W722">
        <v>9</v>
      </c>
      <c r="X722">
        <v>8</v>
      </c>
      <c r="Y722">
        <v>0</v>
      </c>
      <c r="Z722">
        <v>8</v>
      </c>
      <c r="AA722" t="str">
        <f t="shared" si="63"/>
        <v>Mid Tenure</v>
      </c>
      <c r="AB722" s="5">
        <v>45111</v>
      </c>
      <c r="AC722">
        <f t="shared" si="64"/>
        <v>0</v>
      </c>
      <c r="AD722" t="s">
        <v>49</v>
      </c>
      <c r="AE722">
        <f>VLOOKUP(A722,'Employee Engagement Survey'!A606:B2075,2,FALSE)</f>
        <v>3</v>
      </c>
      <c r="AF722">
        <f>VLOOKUP(A722,'Employee Engagement Survey'!A606:C2075,3,FALSE)</f>
        <v>4</v>
      </c>
      <c r="AG722">
        <f>VLOOKUP(A722,'Employee Engagement Survey'!A606:D2075,4,FALSE)</f>
        <v>2</v>
      </c>
      <c r="AH722">
        <f>VLOOKUP(A722,'Employee Engagement Survey'!A606:E2075,5,FALSE)</f>
        <v>3</v>
      </c>
      <c r="AI722">
        <f t="shared" si="62"/>
        <v>3</v>
      </c>
    </row>
    <row r="723" spans="1:35" hidden="1" x14ac:dyDescent="0.4">
      <c r="A723">
        <v>845</v>
      </c>
      <c r="B723" t="s">
        <v>34</v>
      </c>
      <c r="C723">
        <f t="shared" si="60"/>
        <v>1</v>
      </c>
      <c r="D723" t="s">
        <v>54</v>
      </c>
      <c r="E723">
        <f t="shared" si="61"/>
        <v>1</v>
      </c>
      <c r="F723" t="s">
        <v>28</v>
      </c>
      <c r="G723">
        <v>9</v>
      </c>
      <c r="H723" s="1">
        <v>134652</v>
      </c>
      <c r="I723" s="10">
        <v>0.21</v>
      </c>
      <c r="J723">
        <v>37.5</v>
      </c>
      <c r="K723" t="s">
        <v>34</v>
      </c>
      <c r="L723">
        <v>35</v>
      </c>
      <c r="M723" t="s">
        <v>29</v>
      </c>
      <c r="N723" t="s">
        <v>30</v>
      </c>
      <c r="O723" t="s">
        <v>31</v>
      </c>
      <c r="P723">
        <v>7</v>
      </c>
      <c r="Q723" t="s">
        <v>43</v>
      </c>
      <c r="R723" t="s">
        <v>53</v>
      </c>
      <c r="S723">
        <v>4</v>
      </c>
      <c r="T723">
        <v>0</v>
      </c>
      <c r="U723">
        <v>17</v>
      </c>
      <c r="V723">
        <v>3</v>
      </c>
      <c r="W723">
        <v>8</v>
      </c>
      <c r="X723">
        <v>5</v>
      </c>
      <c r="Y723">
        <v>1</v>
      </c>
      <c r="Z723">
        <v>6</v>
      </c>
      <c r="AA723" t="str">
        <f t="shared" si="63"/>
        <v>Mid Tenure</v>
      </c>
      <c r="AB723" s="5">
        <v>45327</v>
      </c>
      <c r="AC723">
        <f t="shared" si="64"/>
        <v>1</v>
      </c>
      <c r="AD723" t="s">
        <v>38</v>
      </c>
      <c r="AE723">
        <f>VLOOKUP(A723,'Employee Engagement Survey'!A608:B2077,2,FALSE)</f>
        <v>3</v>
      </c>
      <c r="AF723">
        <f>VLOOKUP(A723,'Employee Engagement Survey'!A608:C2077,3,FALSE)</f>
        <v>3</v>
      </c>
      <c r="AG723">
        <f>VLOOKUP(A723,'Employee Engagement Survey'!A608:D2077,4,FALSE)</f>
        <v>2</v>
      </c>
      <c r="AH723">
        <f>VLOOKUP(A723,'Employee Engagement Survey'!A608:E2077,5,FALSE)</f>
        <v>4</v>
      </c>
      <c r="AI723">
        <f t="shared" si="62"/>
        <v>3</v>
      </c>
    </row>
    <row r="724" spans="1:35" hidden="1" x14ac:dyDescent="0.4">
      <c r="A724">
        <v>847</v>
      </c>
      <c r="B724" t="s">
        <v>34</v>
      </c>
      <c r="C724">
        <f t="shared" si="60"/>
        <v>1</v>
      </c>
      <c r="D724" t="s">
        <v>105</v>
      </c>
      <c r="E724">
        <f t="shared" si="61"/>
        <v>0</v>
      </c>
      <c r="F724" t="s">
        <v>59</v>
      </c>
      <c r="G724">
        <v>6</v>
      </c>
      <c r="H724" s="1">
        <v>68844</v>
      </c>
      <c r="I724" s="10">
        <v>0.19</v>
      </c>
      <c r="J724">
        <v>37.5</v>
      </c>
      <c r="K724" t="s">
        <v>34</v>
      </c>
      <c r="L724">
        <v>34</v>
      </c>
      <c r="M724" t="s">
        <v>29</v>
      </c>
      <c r="N724" t="s">
        <v>42</v>
      </c>
      <c r="O724" t="s">
        <v>31</v>
      </c>
      <c r="P724">
        <v>3</v>
      </c>
      <c r="Q724" t="s">
        <v>36</v>
      </c>
      <c r="R724" t="s">
        <v>59</v>
      </c>
      <c r="S724">
        <v>3</v>
      </c>
      <c r="T724">
        <v>1</v>
      </c>
      <c r="U724">
        <v>4</v>
      </c>
      <c r="V724">
        <v>1</v>
      </c>
      <c r="W724">
        <v>3</v>
      </c>
      <c r="X724">
        <v>2</v>
      </c>
      <c r="Y724">
        <v>0</v>
      </c>
      <c r="Z724">
        <v>2</v>
      </c>
      <c r="AA724" t="str">
        <f t="shared" si="63"/>
        <v>Mid Tenure</v>
      </c>
      <c r="AB724" s="5">
        <v>45548</v>
      </c>
      <c r="AC724">
        <f t="shared" si="64"/>
        <v>1</v>
      </c>
      <c r="AD724" t="s">
        <v>49</v>
      </c>
      <c r="AE724">
        <f>VLOOKUP(A724,'Employee Engagement Survey'!A609:B2078,2,FALSE)</f>
        <v>3</v>
      </c>
      <c r="AF724">
        <f>VLOOKUP(A724,'Employee Engagement Survey'!A609:C2078,3,FALSE)</f>
        <v>4</v>
      </c>
      <c r="AG724">
        <f>VLOOKUP(A724,'Employee Engagement Survey'!A609:D2078,4,FALSE)</f>
        <v>3</v>
      </c>
      <c r="AH724">
        <f>VLOOKUP(A724,'Employee Engagement Survey'!A609:E2078,5,FALSE)</f>
        <v>1</v>
      </c>
      <c r="AI724">
        <f t="shared" si="62"/>
        <v>2.75</v>
      </c>
    </row>
    <row r="725" spans="1:35" hidden="1" x14ac:dyDescent="0.4">
      <c r="A725">
        <v>887</v>
      </c>
      <c r="B725" t="s">
        <v>34</v>
      </c>
      <c r="C725">
        <f t="shared" si="60"/>
        <v>1</v>
      </c>
      <c r="D725" t="s">
        <v>27</v>
      </c>
      <c r="E725">
        <f t="shared" si="61"/>
        <v>0</v>
      </c>
      <c r="F725" t="s">
        <v>28</v>
      </c>
      <c r="G725">
        <v>6</v>
      </c>
      <c r="H725" s="1">
        <v>66960</v>
      </c>
      <c r="I725" s="10">
        <v>0.16</v>
      </c>
      <c r="J725">
        <v>37.5</v>
      </c>
      <c r="K725" t="s">
        <v>34</v>
      </c>
      <c r="L725">
        <v>49</v>
      </c>
      <c r="M725" t="s">
        <v>47</v>
      </c>
      <c r="N725" t="s">
        <v>42</v>
      </c>
      <c r="O725" t="s">
        <v>31</v>
      </c>
      <c r="P725">
        <v>1</v>
      </c>
      <c r="Q725" t="s">
        <v>43</v>
      </c>
      <c r="R725" t="s">
        <v>45</v>
      </c>
      <c r="S725">
        <v>3</v>
      </c>
      <c r="T725">
        <v>1</v>
      </c>
      <c r="U725">
        <v>7</v>
      </c>
      <c r="V725">
        <v>2</v>
      </c>
      <c r="W725">
        <v>4</v>
      </c>
      <c r="X725">
        <v>2</v>
      </c>
      <c r="Y725">
        <v>0</v>
      </c>
      <c r="Z725">
        <v>2</v>
      </c>
      <c r="AA725" t="str">
        <f t="shared" si="63"/>
        <v>Mid Tenure</v>
      </c>
      <c r="AB725" s="5">
        <v>45607</v>
      </c>
      <c r="AC725">
        <f t="shared" si="64"/>
        <v>1</v>
      </c>
      <c r="AD725" t="s">
        <v>49</v>
      </c>
      <c r="AE725">
        <f>VLOOKUP(A725,'Employee Engagement Survey'!A610:B2079,2,FALSE)</f>
        <v>3</v>
      </c>
      <c r="AF725">
        <f>VLOOKUP(A725,'Employee Engagement Survey'!A610:C2079,3,FALSE)</f>
        <v>1</v>
      </c>
      <c r="AG725">
        <f>VLOOKUP(A725,'Employee Engagement Survey'!A610:D2079,4,FALSE)</f>
        <v>2</v>
      </c>
      <c r="AH725">
        <f>VLOOKUP(A725,'Employee Engagement Survey'!A610:E2079,5,FALSE)</f>
        <v>3</v>
      </c>
      <c r="AI725">
        <f t="shared" si="62"/>
        <v>2.25</v>
      </c>
    </row>
    <row r="726" spans="1:35" hidden="1" x14ac:dyDescent="0.4">
      <c r="A726">
        <v>850</v>
      </c>
      <c r="B726" t="s">
        <v>34</v>
      </c>
      <c r="C726">
        <f t="shared" si="60"/>
        <v>1</v>
      </c>
      <c r="D726" t="s">
        <v>27</v>
      </c>
      <c r="E726">
        <f t="shared" si="61"/>
        <v>0</v>
      </c>
      <c r="F726" t="s">
        <v>28</v>
      </c>
      <c r="G726">
        <v>2</v>
      </c>
      <c r="H726" s="1">
        <v>44472</v>
      </c>
      <c r="I726" s="10">
        <v>0.11</v>
      </c>
      <c r="J726">
        <v>37.5</v>
      </c>
      <c r="K726" t="s">
        <v>34</v>
      </c>
      <c r="L726">
        <v>27</v>
      </c>
      <c r="M726" t="s">
        <v>29</v>
      </c>
      <c r="N726" t="s">
        <v>42</v>
      </c>
      <c r="O726" t="s">
        <v>35</v>
      </c>
      <c r="P726">
        <v>3</v>
      </c>
      <c r="Q726" t="s">
        <v>43</v>
      </c>
      <c r="R726" t="s">
        <v>33</v>
      </c>
      <c r="S726">
        <v>3</v>
      </c>
      <c r="T726">
        <v>3</v>
      </c>
      <c r="U726">
        <v>0</v>
      </c>
      <c r="V726">
        <v>6</v>
      </c>
      <c r="W726">
        <v>0</v>
      </c>
      <c r="X726">
        <v>0</v>
      </c>
      <c r="Y726">
        <v>0</v>
      </c>
      <c r="Z726">
        <v>0</v>
      </c>
      <c r="AA726" t="str">
        <f t="shared" si="63"/>
        <v>Early Tenure</v>
      </c>
      <c r="AB726" s="5">
        <v>45739</v>
      </c>
      <c r="AC726">
        <f t="shared" si="64"/>
        <v>1</v>
      </c>
      <c r="AD726" t="s">
        <v>38</v>
      </c>
      <c r="AE726">
        <f>VLOOKUP(A726,'Employee Engagement Survey'!A611:B2080,2,FALSE)</f>
        <v>4</v>
      </c>
      <c r="AF726">
        <f>VLOOKUP(A726,'Employee Engagement Survey'!A611:C2080,3,FALSE)</f>
        <v>4</v>
      </c>
      <c r="AG726">
        <f>VLOOKUP(A726,'Employee Engagement Survey'!A611:D2080,4,FALSE)</f>
        <v>3</v>
      </c>
      <c r="AH726">
        <f>VLOOKUP(A726,'Employee Engagement Survey'!A611:E2080,5,FALSE)</f>
        <v>2</v>
      </c>
      <c r="AI726">
        <f t="shared" si="62"/>
        <v>3.25</v>
      </c>
    </row>
    <row r="727" spans="1:35" hidden="1" x14ac:dyDescent="0.4">
      <c r="A727">
        <v>1834</v>
      </c>
      <c r="B727" t="s">
        <v>34</v>
      </c>
      <c r="C727">
        <f t="shared" si="60"/>
        <v>1</v>
      </c>
      <c r="D727" t="s">
        <v>27</v>
      </c>
      <c r="E727">
        <f t="shared" si="61"/>
        <v>0</v>
      </c>
      <c r="F727" t="s">
        <v>28</v>
      </c>
      <c r="G727">
        <v>6</v>
      </c>
      <c r="H727" s="1">
        <v>67092</v>
      </c>
      <c r="I727" s="10">
        <v>0.25</v>
      </c>
      <c r="J727">
        <v>37.5</v>
      </c>
      <c r="K727" t="s">
        <v>34</v>
      </c>
      <c r="L727">
        <v>28</v>
      </c>
      <c r="M727" t="s">
        <v>47</v>
      </c>
      <c r="N727" t="s">
        <v>42</v>
      </c>
      <c r="O727" t="s">
        <v>31</v>
      </c>
      <c r="P727">
        <v>1</v>
      </c>
      <c r="Q727" t="s">
        <v>43</v>
      </c>
      <c r="R727" t="s">
        <v>33</v>
      </c>
      <c r="S727">
        <v>4</v>
      </c>
      <c r="T727">
        <v>1</v>
      </c>
      <c r="U727">
        <v>3</v>
      </c>
      <c r="V727">
        <v>3</v>
      </c>
      <c r="W727">
        <v>3</v>
      </c>
      <c r="X727">
        <v>2</v>
      </c>
      <c r="Y727">
        <v>1</v>
      </c>
      <c r="Z727">
        <v>2</v>
      </c>
      <c r="AA727" t="str">
        <f t="shared" si="63"/>
        <v>Mid Tenure</v>
      </c>
      <c r="AB727" s="5">
        <v>44786</v>
      </c>
      <c r="AC727">
        <f t="shared" si="64"/>
        <v>0</v>
      </c>
      <c r="AD727" t="s">
        <v>49</v>
      </c>
      <c r="AE727">
        <f>VLOOKUP(A727,'Employee Engagement Survey'!A612:B2081,2,FALSE)</f>
        <v>3</v>
      </c>
      <c r="AF727">
        <f>VLOOKUP(A727,'Employee Engagement Survey'!A612:C2081,3,FALSE)</f>
        <v>1</v>
      </c>
      <c r="AG727">
        <f>VLOOKUP(A727,'Employee Engagement Survey'!A612:D2081,4,FALSE)</f>
        <v>3</v>
      </c>
      <c r="AH727">
        <f>VLOOKUP(A727,'Employee Engagement Survey'!A612:E2081,5,FALSE)</f>
        <v>3</v>
      </c>
      <c r="AI727">
        <f t="shared" si="62"/>
        <v>2.5</v>
      </c>
    </row>
    <row r="728" spans="1:35" hidden="1" x14ac:dyDescent="0.4">
      <c r="A728">
        <v>1503</v>
      </c>
      <c r="B728" t="s">
        <v>34</v>
      </c>
      <c r="C728">
        <f t="shared" si="60"/>
        <v>1</v>
      </c>
      <c r="D728" t="s">
        <v>57</v>
      </c>
      <c r="E728">
        <f t="shared" si="61"/>
        <v>0</v>
      </c>
      <c r="F728" t="s">
        <v>40</v>
      </c>
      <c r="G728">
        <v>6</v>
      </c>
      <c r="H728" s="1">
        <v>67092</v>
      </c>
      <c r="I728" s="10">
        <v>0.17</v>
      </c>
      <c r="J728">
        <v>37.5</v>
      </c>
      <c r="K728" t="s">
        <v>26</v>
      </c>
      <c r="L728">
        <v>47</v>
      </c>
      <c r="M728" t="s">
        <v>47</v>
      </c>
      <c r="N728" t="s">
        <v>42</v>
      </c>
      <c r="O728" t="s">
        <v>31</v>
      </c>
      <c r="P728">
        <v>14</v>
      </c>
      <c r="Q728" t="s">
        <v>43</v>
      </c>
      <c r="R728" t="s">
        <v>33</v>
      </c>
      <c r="S728">
        <v>3</v>
      </c>
      <c r="T728">
        <v>1</v>
      </c>
      <c r="U728">
        <v>11</v>
      </c>
      <c r="V728">
        <v>4</v>
      </c>
      <c r="W728">
        <v>5</v>
      </c>
      <c r="X728">
        <v>4</v>
      </c>
      <c r="Y728">
        <v>1</v>
      </c>
      <c r="Z728">
        <v>2</v>
      </c>
      <c r="AA728" t="str">
        <f t="shared" si="63"/>
        <v>Mid Tenure</v>
      </c>
      <c r="AB728" s="5">
        <v>45339</v>
      </c>
      <c r="AC728">
        <f t="shared" si="64"/>
        <v>1</v>
      </c>
      <c r="AD728" t="s">
        <v>49</v>
      </c>
      <c r="AE728">
        <f>VLOOKUP(A728,'Employee Engagement Survey'!A613:B2082,2,FALSE)</f>
        <v>3</v>
      </c>
      <c r="AF728">
        <f>VLOOKUP(A728,'Employee Engagement Survey'!A613:C2082,3,FALSE)</f>
        <v>3</v>
      </c>
      <c r="AG728">
        <f>VLOOKUP(A728,'Employee Engagement Survey'!A613:D2082,4,FALSE)</f>
        <v>3</v>
      </c>
      <c r="AH728">
        <f>VLOOKUP(A728,'Employee Engagement Survey'!A613:E2082,5,FALSE)</f>
        <v>2</v>
      </c>
      <c r="AI728">
        <f t="shared" si="62"/>
        <v>2.75</v>
      </c>
    </row>
    <row r="729" spans="1:35" hidden="1" x14ac:dyDescent="0.4">
      <c r="A729">
        <v>852</v>
      </c>
      <c r="B729" t="s">
        <v>34</v>
      </c>
      <c r="C729">
        <f t="shared" si="60"/>
        <v>1</v>
      </c>
      <c r="D729" t="s">
        <v>55</v>
      </c>
      <c r="E729">
        <f t="shared" si="61"/>
        <v>0</v>
      </c>
      <c r="F729" t="s">
        <v>28</v>
      </c>
      <c r="G729">
        <v>7</v>
      </c>
      <c r="H729" s="1">
        <v>83196</v>
      </c>
      <c r="I729" s="10">
        <v>0.12</v>
      </c>
      <c r="J729">
        <v>37.5</v>
      </c>
      <c r="K729" t="s">
        <v>34</v>
      </c>
      <c r="L729">
        <v>44</v>
      </c>
      <c r="M729" t="s">
        <v>29</v>
      </c>
      <c r="N729" t="s">
        <v>30</v>
      </c>
      <c r="O729" t="s">
        <v>31</v>
      </c>
      <c r="P729">
        <v>4</v>
      </c>
      <c r="Q729" t="s">
        <v>43</v>
      </c>
      <c r="R729" t="s">
        <v>33</v>
      </c>
      <c r="S729">
        <v>3</v>
      </c>
      <c r="T729">
        <v>0</v>
      </c>
      <c r="U729">
        <v>10</v>
      </c>
      <c r="V729">
        <v>2</v>
      </c>
      <c r="W729">
        <v>5</v>
      </c>
      <c r="X729">
        <v>2</v>
      </c>
      <c r="Y729">
        <v>2</v>
      </c>
      <c r="Z729">
        <v>3</v>
      </c>
      <c r="AA729" t="str">
        <f t="shared" si="63"/>
        <v>Mid Tenure</v>
      </c>
      <c r="AB729" s="5">
        <v>45622</v>
      </c>
      <c r="AC729">
        <f t="shared" si="64"/>
        <v>1</v>
      </c>
      <c r="AD729" t="s">
        <v>38</v>
      </c>
      <c r="AE729">
        <f>VLOOKUP(A729,'Employee Engagement Survey'!A614:B2083,2,FALSE)</f>
        <v>4</v>
      </c>
      <c r="AF729">
        <f>VLOOKUP(A729,'Employee Engagement Survey'!A614:C2083,3,FALSE)</f>
        <v>2</v>
      </c>
      <c r="AG729">
        <f>VLOOKUP(A729,'Employee Engagement Survey'!A614:D2083,4,FALSE)</f>
        <v>4</v>
      </c>
      <c r="AH729">
        <f>VLOOKUP(A729,'Employee Engagement Survey'!A614:E2083,5,FALSE)</f>
        <v>2</v>
      </c>
      <c r="AI729">
        <f t="shared" si="62"/>
        <v>3</v>
      </c>
    </row>
    <row r="730" spans="1:35" hidden="1" x14ac:dyDescent="0.4">
      <c r="A730">
        <v>854</v>
      </c>
      <c r="B730" t="s">
        <v>34</v>
      </c>
      <c r="C730">
        <f t="shared" si="60"/>
        <v>1</v>
      </c>
      <c r="D730" t="s">
        <v>27</v>
      </c>
      <c r="E730">
        <f t="shared" si="61"/>
        <v>0</v>
      </c>
      <c r="F730" t="s">
        <v>28</v>
      </c>
      <c r="G730">
        <v>6</v>
      </c>
      <c r="H730" s="1">
        <v>65088</v>
      </c>
      <c r="I730" s="10">
        <v>0.13</v>
      </c>
      <c r="J730">
        <v>37.5</v>
      </c>
      <c r="K730" t="s">
        <v>34</v>
      </c>
      <c r="L730">
        <v>25</v>
      </c>
      <c r="M730" t="s">
        <v>29</v>
      </c>
      <c r="N730" t="s">
        <v>30</v>
      </c>
      <c r="O730" t="s">
        <v>31</v>
      </c>
      <c r="P730">
        <v>2</v>
      </c>
      <c r="Q730" t="s">
        <v>32</v>
      </c>
      <c r="R730" t="s">
        <v>33</v>
      </c>
      <c r="S730">
        <v>3</v>
      </c>
      <c r="T730">
        <v>0</v>
      </c>
      <c r="U730">
        <v>6</v>
      </c>
      <c r="V730">
        <v>3</v>
      </c>
      <c r="W730">
        <v>4</v>
      </c>
      <c r="X730">
        <v>3</v>
      </c>
      <c r="Y730">
        <v>0</v>
      </c>
      <c r="Z730">
        <v>1</v>
      </c>
      <c r="AA730" t="str">
        <f t="shared" si="63"/>
        <v>Mid Tenure</v>
      </c>
      <c r="AB730" s="5">
        <v>45936</v>
      </c>
      <c r="AC730">
        <f t="shared" si="64"/>
        <v>1</v>
      </c>
      <c r="AD730" t="s">
        <v>49</v>
      </c>
      <c r="AE730">
        <f>VLOOKUP(A730,'Employee Engagement Survey'!A616:B2085,2,FALSE)</f>
        <v>1</v>
      </c>
      <c r="AF730">
        <f>VLOOKUP(A730,'Employee Engagement Survey'!A616:C2085,3,FALSE)</f>
        <v>1</v>
      </c>
      <c r="AG730">
        <f>VLOOKUP(A730,'Employee Engagement Survey'!A616:D2085,4,FALSE)</f>
        <v>3</v>
      </c>
      <c r="AH730">
        <f>VLOOKUP(A730,'Employee Engagement Survey'!A616:E2085,5,FALSE)</f>
        <v>2</v>
      </c>
      <c r="AI730">
        <f t="shared" si="62"/>
        <v>1.75</v>
      </c>
    </row>
    <row r="731" spans="1:35" hidden="1" x14ac:dyDescent="0.4">
      <c r="A731">
        <v>975</v>
      </c>
      <c r="B731" t="s">
        <v>34</v>
      </c>
      <c r="C731">
        <f t="shared" si="60"/>
        <v>1</v>
      </c>
      <c r="D731" t="s">
        <v>57</v>
      </c>
      <c r="E731">
        <f t="shared" si="61"/>
        <v>0</v>
      </c>
      <c r="F731" t="s">
        <v>40</v>
      </c>
      <c r="G731">
        <v>6</v>
      </c>
      <c r="H731" s="1">
        <v>67212</v>
      </c>
      <c r="I731" s="10">
        <v>0.16</v>
      </c>
      <c r="J731">
        <v>37.5</v>
      </c>
      <c r="K731" t="s">
        <v>34</v>
      </c>
      <c r="L731">
        <v>35</v>
      </c>
      <c r="M731" t="s">
        <v>47</v>
      </c>
      <c r="N731" t="s">
        <v>42</v>
      </c>
      <c r="O731" t="s">
        <v>31</v>
      </c>
      <c r="P731">
        <v>18</v>
      </c>
      <c r="Q731" t="s">
        <v>43</v>
      </c>
      <c r="R731" t="s">
        <v>33</v>
      </c>
      <c r="S731">
        <v>3</v>
      </c>
      <c r="T731">
        <v>0</v>
      </c>
      <c r="U731">
        <v>5</v>
      </c>
      <c r="V731">
        <v>3</v>
      </c>
      <c r="W731">
        <v>5</v>
      </c>
      <c r="X731">
        <v>2</v>
      </c>
      <c r="Y731">
        <v>1</v>
      </c>
      <c r="Z731">
        <v>0</v>
      </c>
      <c r="AA731" t="str">
        <f t="shared" si="63"/>
        <v>Mid Tenure</v>
      </c>
      <c r="AB731" s="5">
        <v>45690</v>
      </c>
      <c r="AC731">
        <f t="shared" si="64"/>
        <v>1</v>
      </c>
      <c r="AD731" t="s">
        <v>49</v>
      </c>
      <c r="AE731">
        <f>VLOOKUP(A731,'Employee Engagement Survey'!A617:B2086,2,FALSE)</f>
        <v>3</v>
      </c>
      <c r="AF731">
        <f>VLOOKUP(A731,'Employee Engagement Survey'!A617:C2086,3,FALSE)</f>
        <v>3</v>
      </c>
      <c r="AG731">
        <f>VLOOKUP(A731,'Employee Engagement Survey'!A617:D2086,4,FALSE)</f>
        <v>2</v>
      </c>
      <c r="AH731">
        <f>VLOOKUP(A731,'Employee Engagement Survey'!A617:E2086,5,FALSE)</f>
        <v>3</v>
      </c>
      <c r="AI731">
        <f t="shared" si="62"/>
        <v>2.75</v>
      </c>
    </row>
    <row r="732" spans="1:35" hidden="1" x14ac:dyDescent="0.4">
      <c r="A732">
        <v>1080</v>
      </c>
      <c r="B732" t="s">
        <v>34</v>
      </c>
      <c r="C732">
        <f t="shared" si="60"/>
        <v>1</v>
      </c>
      <c r="D732" t="s">
        <v>27</v>
      </c>
      <c r="E732">
        <f t="shared" si="61"/>
        <v>0</v>
      </c>
      <c r="F732" t="s">
        <v>28</v>
      </c>
      <c r="G732">
        <v>6</v>
      </c>
      <c r="H732" s="1">
        <v>67380</v>
      </c>
      <c r="I732" s="10">
        <v>0.23</v>
      </c>
      <c r="J732">
        <v>37.5</v>
      </c>
      <c r="K732" t="s">
        <v>26</v>
      </c>
      <c r="L732">
        <v>46</v>
      </c>
      <c r="M732" t="s">
        <v>47</v>
      </c>
      <c r="N732" t="s">
        <v>48</v>
      </c>
      <c r="O732" t="s">
        <v>31</v>
      </c>
      <c r="P732">
        <v>8</v>
      </c>
      <c r="Q732" t="s">
        <v>51</v>
      </c>
      <c r="R732" t="s">
        <v>37</v>
      </c>
      <c r="S732">
        <v>4</v>
      </c>
      <c r="T732">
        <v>3</v>
      </c>
      <c r="U732">
        <v>19</v>
      </c>
      <c r="V732">
        <v>2</v>
      </c>
      <c r="W732">
        <v>16</v>
      </c>
      <c r="X732">
        <v>13</v>
      </c>
      <c r="Y732">
        <v>1</v>
      </c>
      <c r="Z732">
        <v>7</v>
      </c>
      <c r="AA732" t="str">
        <f t="shared" si="63"/>
        <v>Long Tenure</v>
      </c>
      <c r="AB732" s="5">
        <v>45013</v>
      </c>
      <c r="AC732">
        <f t="shared" si="64"/>
        <v>0</v>
      </c>
      <c r="AD732" t="s">
        <v>38</v>
      </c>
      <c r="AE732">
        <f>VLOOKUP(A732,'Employee Engagement Survey'!A619:B2088,2,FALSE)</f>
        <v>4</v>
      </c>
      <c r="AF732">
        <f>VLOOKUP(A732,'Employee Engagement Survey'!A619:C2088,3,FALSE)</f>
        <v>1</v>
      </c>
      <c r="AG732">
        <f>VLOOKUP(A732,'Employee Engagement Survey'!A619:D2088,4,FALSE)</f>
        <v>1</v>
      </c>
      <c r="AH732">
        <f>VLOOKUP(A732,'Employee Engagement Survey'!A619:E2088,5,FALSE)</f>
        <v>3</v>
      </c>
      <c r="AI732">
        <f t="shared" si="62"/>
        <v>2.25</v>
      </c>
    </row>
    <row r="733" spans="1:35" hidden="1" x14ac:dyDescent="0.4">
      <c r="A733">
        <v>855</v>
      </c>
      <c r="B733" t="s">
        <v>34</v>
      </c>
      <c r="C733">
        <f t="shared" si="60"/>
        <v>1</v>
      </c>
      <c r="D733" t="s">
        <v>57</v>
      </c>
      <c r="E733">
        <f t="shared" si="61"/>
        <v>0</v>
      </c>
      <c r="F733" t="s">
        <v>40</v>
      </c>
      <c r="G733">
        <v>6</v>
      </c>
      <c r="H733" s="1">
        <v>60444</v>
      </c>
      <c r="I733" s="10">
        <v>0.22</v>
      </c>
      <c r="J733">
        <v>37.5</v>
      </c>
      <c r="K733" t="s">
        <v>34</v>
      </c>
      <c r="L733">
        <v>33</v>
      </c>
      <c r="M733" t="s">
        <v>29</v>
      </c>
      <c r="N733" t="s">
        <v>48</v>
      </c>
      <c r="O733" t="s">
        <v>31</v>
      </c>
      <c r="P733">
        <v>1</v>
      </c>
      <c r="Q733" t="s">
        <v>43</v>
      </c>
      <c r="R733" t="s">
        <v>33</v>
      </c>
      <c r="S733">
        <v>4</v>
      </c>
      <c r="T733">
        <v>1</v>
      </c>
      <c r="U733">
        <v>9</v>
      </c>
      <c r="V733">
        <v>5</v>
      </c>
      <c r="W733">
        <v>9</v>
      </c>
      <c r="X733">
        <v>8</v>
      </c>
      <c r="Y733">
        <v>0</v>
      </c>
      <c r="Z733">
        <v>8</v>
      </c>
      <c r="AA733" t="str">
        <f t="shared" si="63"/>
        <v>Mid Tenure</v>
      </c>
      <c r="AB733" s="5">
        <v>44641</v>
      </c>
      <c r="AC733">
        <f t="shared" si="64"/>
        <v>0</v>
      </c>
      <c r="AD733" t="s">
        <v>49</v>
      </c>
      <c r="AE733">
        <f>VLOOKUP(A733,'Employee Engagement Survey'!A620:B2089,2,FALSE)</f>
        <v>1</v>
      </c>
      <c r="AF733">
        <f>VLOOKUP(A733,'Employee Engagement Survey'!A620:C2089,3,FALSE)</f>
        <v>1</v>
      </c>
      <c r="AG733">
        <f>VLOOKUP(A733,'Employee Engagement Survey'!A620:D2089,4,FALSE)</f>
        <v>1</v>
      </c>
      <c r="AH733">
        <f>VLOOKUP(A733,'Employee Engagement Survey'!A620:E2089,5,FALSE)</f>
        <v>3</v>
      </c>
      <c r="AI733">
        <f t="shared" si="62"/>
        <v>1.5</v>
      </c>
    </row>
    <row r="734" spans="1:35" hidden="1" x14ac:dyDescent="0.4">
      <c r="A734">
        <v>857</v>
      </c>
      <c r="B734" t="s">
        <v>34</v>
      </c>
      <c r="C734">
        <f t="shared" si="60"/>
        <v>1</v>
      </c>
      <c r="D734" t="s">
        <v>57</v>
      </c>
      <c r="E734">
        <f t="shared" si="61"/>
        <v>0</v>
      </c>
      <c r="F734" t="s">
        <v>40</v>
      </c>
      <c r="G734">
        <v>8</v>
      </c>
      <c r="H734" s="1">
        <v>86412</v>
      </c>
      <c r="I734" s="10">
        <v>0.14000000000000001</v>
      </c>
      <c r="J734">
        <v>37.5</v>
      </c>
      <c r="K734" t="s">
        <v>26</v>
      </c>
      <c r="L734">
        <v>36</v>
      </c>
      <c r="M734" t="s">
        <v>29</v>
      </c>
      <c r="N734" t="s">
        <v>42</v>
      </c>
      <c r="O734" t="s">
        <v>31</v>
      </c>
      <c r="P734">
        <v>1</v>
      </c>
      <c r="Q734" t="s">
        <v>36</v>
      </c>
      <c r="R734" t="s">
        <v>37</v>
      </c>
      <c r="S734">
        <v>3</v>
      </c>
      <c r="T734">
        <v>1</v>
      </c>
      <c r="U734">
        <v>18</v>
      </c>
      <c r="V734">
        <v>1</v>
      </c>
      <c r="W734">
        <v>18</v>
      </c>
      <c r="X734">
        <v>14</v>
      </c>
      <c r="Y734">
        <v>4</v>
      </c>
      <c r="Z734">
        <v>11</v>
      </c>
      <c r="AA734" t="str">
        <f t="shared" si="63"/>
        <v>Long Tenure</v>
      </c>
      <c r="AB734" s="5">
        <v>45228</v>
      </c>
      <c r="AC734">
        <f t="shared" si="64"/>
        <v>0</v>
      </c>
      <c r="AD734" t="s">
        <v>38</v>
      </c>
      <c r="AE734">
        <f>VLOOKUP(A734,'Employee Engagement Survey'!A621:B2090,2,FALSE)</f>
        <v>2</v>
      </c>
      <c r="AF734">
        <f>VLOOKUP(A734,'Employee Engagement Survey'!A621:C2090,3,FALSE)</f>
        <v>4</v>
      </c>
      <c r="AG734">
        <f>VLOOKUP(A734,'Employee Engagement Survey'!A621:D2090,4,FALSE)</f>
        <v>4</v>
      </c>
      <c r="AH734">
        <f>VLOOKUP(A734,'Employee Engagement Survey'!A621:E2090,5,FALSE)</f>
        <v>2</v>
      </c>
      <c r="AI734">
        <f t="shared" si="62"/>
        <v>3</v>
      </c>
    </row>
    <row r="735" spans="1:35" hidden="1" x14ac:dyDescent="0.4">
      <c r="A735">
        <v>859</v>
      </c>
      <c r="B735" t="s">
        <v>34</v>
      </c>
      <c r="C735">
        <f t="shared" si="60"/>
        <v>1</v>
      </c>
      <c r="D735" t="s">
        <v>57</v>
      </c>
      <c r="E735">
        <f t="shared" si="61"/>
        <v>0</v>
      </c>
      <c r="F735" t="s">
        <v>40</v>
      </c>
      <c r="G735">
        <v>6</v>
      </c>
      <c r="H735" s="1">
        <v>64836</v>
      </c>
      <c r="I735" s="10">
        <v>0.11</v>
      </c>
      <c r="J735">
        <v>37.5</v>
      </c>
      <c r="K735" t="s">
        <v>34</v>
      </c>
      <c r="L735">
        <v>32</v>
      </c>
      <c r="M735" t="s">
        <v>29</v>
      </c>
      <c r="N735" t="s">
        <v>48</v>
      </c>
      <c r="O735" t="s">
        <v>31</v>
      </c>
      <c r="P735">
        <v>13</v>
      </c>
      <c r="Q735" t="s">
        <v>51</v>
      </c>
      <c r="R735" t="s">
        <v>37</v>
      </c>
      <c r="S735">
        <v>3</v>
      </c>
      <c r="T735">
        <v>1</v>
      </c>
      <c r="U735">
        <v>8</v>
      </c>
      <c r="V735">
        <v>3</v>
      </c>
      <c r="W735">
        <v>5</v>
      </c>
      <c r="X735">
        <v>2</v>
      </c>
      <c r="Y735">
        <v>0</v>
      </c>
      <c r="Z735">
        <v>3</v>
      </c>
      <c r="AA735" t="str">
        <f t="shared" si="63"/>
        <v>Mid Tenure</v>
      </c>
      <c r="AB735" s="5">
        <v>45866</v>
      </c>
      <c r="AC735">
        <f t="shared" si="64"/>
        <v>1</v>
      </c>
      <c r="AD735" t="s">
        <v>49</v>
      </c>
      <c r="AE735">
        <f>VLOOKUP(A735,'Employee Engagement Survey'!A622:B2091,2,FALSE)</f>
        <v>2</v>
      </c>
      <c r="AF735">
        <f>VLOOKUP(A735,'Employee Engagement Survey'!A622:C2091,3,FALSE)</f>
        <v>4</v>
      </c>
      <c r="AG735">
        <f>VLOOKUP(A735,'Employee Engagement Survey'!A622:D2091,4,FALSE)</f>
        <v>3</v>
      </c>
      <c r="AH735">
        <f>VLOOKUP(A735,'Employee Engagement Survey'!A622:E2091,5,FALSE)</f>
        <v>2</v>
      </c>
      <c r="AI735">
        <f t="shared" si="62"/>
        <v>2.75</v>
      </c>
    </row>
    <row r="736" spans="1:35" hidden="1" x14ac:dyDescent="0.4">
      <c r="A736">
        <v>861</v>
      </c>
      <c r="B736" t="s">
        <v>34</v>
      </c>
      <c r="C736">
        <f t="shared" si="60"/>
        <v>1</v>
      </c>
      <c r="D736" t="s">
        <v>27</v>
      </c>
      <c r="E736">
        <f t="shared" si="61"/>
        <v>0</v>
      </c>
      <c r="F736" t="s">
        <v>28</v>
      </c>
      <c r="G736">
        <v>6</v>
      </c>
      <c r="H736" s="1">
        <v>69132</v>
      </c>
      <c r="I736" s="10">
        <v>0.12</v>
      </c>
      <c r="J736">
        <v>37.5</v>
      </c>
      <c r="K736" t="s">
        <v>34</v>
      </c>
      <c r="L736">
        <v>30</v>
      </c>
      <c r="M736" t="s">
        <v>29</v>
      </c>
      <c r="N736" t="s">
        <v>48</v>
      </c>
      <c r="O736" t="s">
        <v>44</v>
      </c>
      <c r="P736">
        <v>5</v>
      </c>
      <c r="Q736" t="s">
        <v>51</v>
      </c>
      <c r="R736" t="s">
        <v>37</v>
      </c>
      <c r="S736">
        <v>3</v>
      </c>
      <c r="T736">
        <v>1</v>
      </c>
      <c r="U736">
        <v>10</v>
      </c>
      <c r="V736">
        <v>3</v>
      </c>
      <c r="W736">
        <v>5</v>
      </c>
      <c r="X736">
        <v>4</v>
      </c>
      <c r="Y736">
        <v>0</v>
      </c>
      <c r="Z736">
        <v>3</v>
      </c>
      <c r="AA736" t="str">
        <f t="shared" si="63"/>
        <v>Mid Tenure</v>
      </c>
      <c r="AB736" s="5">
        <v>44688</v>
      </c>
      <c r="AC736">
        <f t="shared" si="64"/>
        <v>0</v>
      </c>
      <c r="AD736" t="s">
        <v>38</v>
      </c>
      <c r="AE736">
        <f>VLOOKUP(A736,'Employee Engagement Survey'!A623:B2092,2,FALSE)</f>
        <v>2</v>
      </c>
      <c r="AF736">
        <f>VLOOKUP(A736,'Employee Engagement Survey'!A623:C2092,3,FALSE)</f>
        <v>4</v>
      </c>
      <c r="AG736">
        <f>VLOOKUP(A736,'Employee Engagement Survey'!A623:D2092,4,FALSE)</f>
        <v>2</v>
      </c>
      <c r="AH736">
        <f>VLOOKUP(A736,'Employee Engagement Survey'!A623:E2092,5,FALSE)</f>
        <v>2</v>
      </c>
      <c r="AI736">
        <f t="shared" si="62"/>
        <v>2.5</v>
      </c>
    </row>
    <row r="737" spans="1:35" hidden="1" x14ac:dyDescent="0.4">
      <c r="A737">
        <v>1311</v>
      </c>
      <c r="B737" t="s">
        <v>34</v>
      </c>
      <c r="C737">
        <f t="shared" si="60"/>
        <v>1</v>
      </c>
      <c r="D737" t="s">
        <v>46</v>
      </c>
      <c r="E737">
        <f t="shared" si="61"/>
        <v>0</v>
      </c>
      <c r="F737" t="s">
        <v>28</v>
      </c>
      <c r="G737">
        <v>6</v>
      </c>
      <c r="H737" s="1">
        <v>67524</v>
      </c>
      <c r="I737" s="10">
        <v>0.12</v>
      </c>
      <c r="J737">
        <v>37.5</v>
      </c>
      <c r="K737" t="s">
        <v>34</v>
      </c>
      <c r="L737">
        <v>30</v>
      </c>
      <c r="M737" t="s">
        <v>47</v>
      </c>
      <c r="N737" t="s">
        <v>42</v>
      </c>
      <c r="O737" t="s">
        <v>31</v>
      </c>
      <c r="P737">
        <v>6</v>
      </c>
      <c r="Q737" t="s">
        <v>43</v>
      </c>
      <c r="R737" t="s">
        <v>45</v>
      </c>
      <c r="S737">
        <v>3</v>
      </c>
      <c r="T737">
        <v>1</v>
      </c>
      <c r="U737">
        <v>10</v>
      </c>
      <c r="V737">
        <v>6</v>
      </c>
      <c r="W737">
        <v>9</v>
      </c>
      <c r="X737">
        <v>2</v>
      </c>
      <c r="Y737">
        <v>6</v>
      </c>
      <c r="Z737">
        <v>7</v>
      </c>
      <c r="AA737" t="str">
        <f t="shared" si="63"/>
        <v>Mid Tenure</v>
      </c>
      <c r="AB737" s="5">
        <v>45631</v>
      </c>
      <c r="AC737">
        <f t="shared" si="64"/>
        <v>1</v>
      </c>
      <c r="AD737" t="s">
        <v>38</v>
      </c>
      <c r="AE737">
        <f>VLOOKUP(A737,'Employee Engagement Survey'!A624:B2093,2,FALSE)</f>
        <v>1</v>
      </c>
      <c r="AF737">
        <f>VLOOKUP(A737,'Employee Engagement Survey'!A624:C2093,3,FALSE)</f>
        <v>4</v>
      </c>
      <c r="AG737">
        <f>VLOOKUP(A737,'Employee Engagement Survey'!A624:D2093,4,FALSE)</f>
        <v>1</v>
      </c>
      <c r="AH737">
        <f>VLOOKUP(A737,'Employee Engagement Survey'!A624:E2093,5,FALSE)</f>
        <v>3</v>
      </c>
      <c r="AI737">
        <f t="shared" si="62"/>
        <v>2.25</v>
      </c>
    </row>
    <row r="738" spans="1:35" hidden="1" x14ac:dyDescent="0.4">
      <c r="A738">
        <v>1411</v>
      </c>
      <c r="B738" t="s">
        <v>34</v>
      </c>
      <c r="C738">
        <f t="shared" si="60"/>
        <v>1</v>
      </c>
      <c r="D738" t="s">
        <v>46</v>
      </c>
      <c r="E738">
        <f t="shared" si="61"/>
        <v>0</v>
      </c>
      <c r="F738" t="s">
        <v>28</v>
      </c>
      <c r="G738">
        <v>6</v>
      </c>
      <c r="H738" s="1">
        <v>67548</v>
      </c>
      <c r="I738" s="10">
        <v>0.18</v>
      </c>
      <c r="J738">
        <v>37.5</v>
      </c>
      <c r="K738" t="s">
        <v>34</v>
      </c>
      <c r="L738">
        <v>37</v>
      </c>
      <c r="M738" t="s">
        <v>47</v>
      </c>
      <c r="N738" t="s">
        <v>30</v>
      </c>
      <c r="O738" t="s">
        <v>31</v>
      </c>
      <c r="P738">
        <v>11</v>
      </c>
      <c r="Q738" t="s">
        <v>43</v>
      </c>
      <c r="R738" t="s">
        <v>33</v>
      </c>
      <c r="S738">
        <v>3</v>
      </c>
      <c r="T738">
        <v>0</v>
      </c>
      <c r="U738">
        <v>8</v>
      </c>
      <c r="V738">
        <v>6</v>
      </c>
      <c r="W738">
        <v>3</v>
      </c>
      <c r="X738">
        <v>2</v>
      </c>
      <c r="Y738">
        <v>0</v>
      </c>
      <c r="Z738">
        <v>2</v>
      </c>
      <c r="AA738" t="str">
        <f t="shared" si="63"/>
        <v>Mid Tenure</v>
      </c>
      <c r="AB738" s="5">
        <v>45056</v>
      </c>
      <c r="AC738">
        <f t="shared" si="64"/>
        <v>0</v>
      </c>
      <c r="AD738" t="s">
        <v>38</v>
      </c>
      <c r="AE738">
        <f>VLOOKUP(A738,'Employee Engagement Survey'!A625:B2094,2,FALSE)</f>
        <v>1</v>
      </c>
      <c r="AF738">
        <f>VLOOKUP(A738,'Employee Engagement Survey'!A625:C2094,3,FALSE)</f>
        <v>3</v>
      </c>
      <c r="AG738">
        <f>VLOOKUP(A738,'Employee Engagement Survey'!A625:D2094,4,FALSE)</f>
        <v>1</v>
      </c>
      <c r="AH738">
        <f>VLOOKUP(A738,'Employee Engagement Survey'!A625:E2094,5,FALSE)</f>
        <v>3</v>
      </c>
      <c r="AI738">
        <f t="shared" si="62"/>
        <v>2</v>
      </c>
    </row>
    <row r="739" spans="1:35" hidden="1" x14ac:dyDescent="0.4">
      <c r="A739">
        <v>864</v>
      </c>
      <c r="B739" t="s">
        <v>34</v>
      </c>
      <c r="C739">
        <f t="shared" si="60"/>
        <v>1</v>
      </c>
      <c r="D739" t="s">
        <v>57</v>
      </c>
      <c r="E739">
        <f t="shared" si="61"/>
        <v>0</v>
      </c>
      <c r="F739" t="s">
        <v>40</v>
      </c>
      <c r="G739">
        <v>10</v>
      </c>
      <c r="H739" s="1">
        <v>141132</v>
      </c>
      <c r="I739" s="10">
        <v>0.12</v>
      </c>
      <c r="J739">
        <v>37.5</v>
      </c>
      <c r="K739" t="s">
        <v>26</v>
      </c>
      <c r="L739">
        <v>45</v>
      </c>
      <c r="M739" t="s">
        <v>29</v>
      </c>
      <c r="N739" t="s">
        <v>48</v>
      </c>
      <c r="O739" t="s">
        <v>31</v>
      </c>
      <c r="P739">
        <v>9</v>
      </c>
      <c r="Q739" t="s">
        <v>43</v>
      </c>
      <c r="R739" t="s">
        <v>56</v>
      </c>
      <c r="S739">
        <v>3</v>
      </c>
      <c r="T739">
        <v>1</v>
      </c>
      <c r="U739">
        <v>18</v>
      </c>
      <c r="V739">
        <v>2</v>
      </c>
      <c r="W739">
        <v>5</v>
      </c>
      <c r="X739">
        <v>4</v>
      </c>
      <c r="Y739">
        <v>0</v>
      </c>
      <c r="Z739">
        <v>2</v>
      </c>
      <c r="AA739" t="str">
        <f t="shared" si="63"/>
        <v>Mid Tenure</v>
      </c>
      <c r="AB739" s="5">
        <v>45892</v>
      </c>
      <c r="AC739">
        <f t="shared" si="64"/>
        <v>1</v>
      </c>
      <c r="AD739" t="s">
        <v>38</v>
      </c>
      <c r="AE739">
        <f>VLOOKUP(A739,'Employee Engagement Survey'!A626:B2095,2,FALSE)</f>
        <v>4</v>
      </c>
      <c r="AF739">
        <f>VLOOKUP(A739,'Employee Engagement Survey'!A626:C2095,3,FALSE)</f>
        <v>1</v>
      </c>
      <c r="AG739">
        <f>VLOOKUP(A739,'Employee Engagement Survey'!A626:D2095,4,FALSE)</f>
        <v>3</v>
      </c>
      <c r="AH739">
        <f>VLOOKUP(A739,'Employee Engagement Survey'!A626:E2095,5,FALSE)</f>
        <v>3</v>
      </c>
      <c r="AI739">
        <f t="shared" si="62"/>
        <v>2.75</v>
      </c>
    </row>
    <row r="740" spans="1:35" hidden="1" x14ac:dyDescent="0.4">
      <c r="A740">
        <v>1362</v>
      </c>
      <c r="B740" t="s">
        <v>34</v>
      </c>
      <c r="C740">
        <f t="shared" si="60"/>
        <v>1</v>
      </c>
      <c r="D740" t="s">
        <v>57</v>
      </c>
      <c r="E740">
        <f t="shared" si="61"/>
        <v>0</v>
      </c>
      <c r="F740" t="s">
        <v>40</v>
      </c>
      <c r="G740">
        <v>6</v>
      </c>
      <c r="H740" s="1">
        <v>67668</v>
      </c>
      <c r="I740" s="10">
        <v>0.16</v>
      </c>
      <c r="J740">
        <v>37.5</v>
      </c>
      <c r="K740" t="s">
        <v>34</v>
      </c>
      <c r="L740">
        <v>36</v>
      </c>
      <c r="M740" t="s">
        <v>47</v>
      </c>
      <c r="N740" t="s">
        <v>42</v>
      </c>
      <c r="O740" t="s">
        <v>44</v>
      </c>
      <c r="P740">
        <v>7</v>
      </c>
      <c r="Q740" t="s">
        <v>43</v>
      </c>
      <c r="R740" t="s">
        <v>56</v>
      </c>
      <c r="S740">
        <v>3</v>
      </c>
      <c r="T740">
        <v>1</v>
      </c>
      <c r="U740">
        <v>17</v>
      </c>
      <c r="V740">
        <v>2</v>
      </c>
      <c r="W740">
        <v>15</v>
      </c>
      <c r="X740">
        <v>7</v>
      </c>
      <c r="Y740">
        <v>6</v>
      </c>
      <c r="Z740">
        <v>13</v>
      </c>
      <c r="AA740" t="str">
        <f t="shared" si="63"/>
        <v>Long Tenure</v>
      </c>
      <c r="AB740" s="5">
        <v>45004</v>
      </c>
      <c r="AC740">
        <f t="shared" si="64"/>
        <v>0</v>
      </c>
      <c r="AD740" t="s">
        <v>38</v>
      </c>
      <c r="AE740">
        <f>VLOOKUP(A740,'Employee Engagement Survey'!A627:B2096,2,FALSE)</f>
        <v>1</v>
      </c>
      <c r="AF740">
        <f>VLOOKUP(A740,'Employee Engagement Survey'!A627:C2096,3,FALSE)</f>
        <v>1</v>
      </c>
      <c r="AG740">
        <f>VLOOKUP(A740,'Employee Engagement Survey'!A627:D2096,4,FALSE)</f>
        <v>4</v>
      </c>
      <c r="AH740">
        <f>VLOOKUP(A740,'Employee Engagement Survey'!A627:E2096,5,FALSE)</f>
        <v>2</v>
      </c>
      <c r="AI740">
        <f t="shared" si="62"/>
        <v>2</v>
      </c>
    </row>
    <row r="741" spans="1:35" hidden="1" x14ac:dyDescent="0.4">
      <c r="A741">
        <v>1598</v>
      </c>
      <c r="B741" t="s">
        <v>34</v>
      </c>
      <c r="C741">
        <f t="shared" si="60"/>
        <v>1</v>
      </c>
      <c r="D741" t="s">
        <v>57</v>
      </c>
      <c r="E741">
        <f t="shared" si="61"/>
        <v>0</v>
      </c>
      <c r="F741" t="s">
        <v>40</v>
      </c>
      <c r="G741">
        <v>6</v>
      </c>
      <c r="H741" s="1">
        <v>67668</v>
      </c>
      <c r="I741" s="10">
        <v>0.15</v>
      </c>
      <c r="J741">
        <v>37.5</v>
      </c>
      <c r="K741" t="s">
        <v>34</v>
      </c>
      <c r="L741">
        <v>40</v>
      </c>
      <c r="M741" t="s">
        <v>47</v>
      </c>
      <c r="N741" t="s">
        <v>42</v>
      </c>
      <c r="O741" t="s">
        <v>31</v>
      </c>
      <c r="P741">
        <v>14</v>
      </c>
      <c r="Q741" t="s">
        <v>36</v>
      </c>
      <c r="R741" t="s">
        <v>37</v>
      </c>
      <c r="S741">
        <v>3</v>
      </c>
      <c r="T741">
        <v>1</v>
      </c>
      <c r="U741">
        <v>5</v>
      </c>
      <c r="V741">
        <v>2</v>
      </c>
      <c r="W741">
        <v>5</v>
      </c>
      <c r="X741">
        <v>4</v>
      </c>
      <c r="Y741">
        <v>1</v>
      </c>
      <c r="Z741">
        <v>2</v>
      </c>
      <c r="AA741" t="str">
        <f t="shared" si="63"/>
        <v>Mid Tenure</v>
      </c>
      <c r="AB741" s="5">
        <v>44689</v>
      </c>
      <c r="AC741">
        <f t="shared" si="64"/>
        <v>0</v>
      </c>
      <c r="AD741" t="s">
        <v>49</v>
      </c>
      <c r="AE741">
        <f>VLOOKUP(A741,'Employee Engagement Survey'!A628:B2097,2,FALSE)</f>
        <v>4</v>
      </c>
      <c r="AF741">
        <f>VLOOKUP(A741,'Employee Engagement Survey'!A628:C2097,3,FALSE)</f>
        <v>1</v>
      </c>
      <c r="AG741">
        <f>VLOOKUP(A741,'Employee Engagement Survey'!A628:D2097,4,FALSE)</f>
        <v>3</v>
      </c>
      <c r="AH741">
        <f>VLOOKUP(A741,'Employee Engagement Survey'!A628:E2097,5,FALSE)</f>
        <v>3</v>
      </c>
      <c r="AI741">
        <f t="shared" si="62"/>
        <v>2.75</v>
      </c>
    </row>
    <row r="742" spans="1:35" hidden="1" x14ac:dyDescent="0.4">
      <c r="A742">
        <v>714</v>
      </c>
      <c r="B742" t="s">
        <v>34</v>
      </c>
      <c r="C742">
        <f t="shared" si="60"/>
        <v>1</v>
      </c>
      <c r="D742" t="s">
        <v>57</v>
      </c>
      <c r="E742">
        <f t="shared" si="61"/>
        <v>0</v>
      </c>
      <c r="F742" t="s">
        <v>40</v>
      </c>
      <c r="G742">
        <v>6</v>
      </c>
      <c r="H742" s="1">
        <v>67764</v>
      </c>
      <c r="I742" s="10">
        <v>0.2</v>
      </c>
      <c r="J742">
        <v>37.5</v>
      </c>
      <c r="K742" t="s">
        <v>26</v>
      </c>
      <c r="L742">
        <v>27</v>
      </c>
      <c r="M742" t="s">
        <v>47</v>
      </c>
      <c r="N742" t="s">
        <v>48</v>
      </c>
      <c r="O742" t="s">
        <v>44</v>
      </c>
      <c r="P742">
        <v>3</v>
      </c>
      <c r="Q742" t="s">
        <v>32</v>
      </c>
      <c r="R742" t="s">
        <v>33</v>
      </c>
      <c r="S742">
        <v>4</v>
      </c>
      <c r="T742">
        <v>2</v>
      </c>
      <c r="U742">
        <v>6</v>
      </c>
      <c r="V742">
        <v>3</v>
      </c>
      <c r="W742">
        <v>6</v>
      </c>
      <c r="X742">
        <v>5</v>
      </c>
      <c r="Y742">
        <v>0</v>
      </c>
      <c r="Z742">
        <v>4</v>
      </c>
      <c r="AA742" t="str">
        <f t="shared" si="63"/>
        <v>Mid Tenure</v>
      </c>
      <c r="AB742" s="5">
        <v>45928</v>
      </c>
      <c r="AC742">
        <f t="shared" si="64"/>
        <v>1</v>
      </c>
      <c r="AD742" t="s">
        <v>49</v>
      </c>
      <c r="AE742">
        <f>VLOOKUP(A742,'Employee Engagement Survey'!A630:B2099,2,FALSE)</f>
        <v>4</v>
      </c>
      <c r="AF742">
        <f>VLOOKUP(A742,'Employee Engagement Survey'!A630:C2099,3,FALSE)</f>
        <v>4</v>
      </c>
      <c r="AG742">
        <f>VLOOKUP(A742,'Employee Engagement Survey'!A630:D2099,4,FALSE)</f>
        <v>2</v>
      </c>
      <c r="AH742">
        <f>VLOOKUP(A742,'Employee Engagement Survey'!A630:E2099,5,FALSE)</f>
        <v>3</v>
      </c>
      <c r="AI742">
        <f t="shared" si="62"/>
        <v>3.25</v>
      </c>
    </row>
    <row r="743" spans="1:35" hidden="1" x14ac:dyDescent="0.4">
      <c r="A743">
        <v>868</v>
      </c>
      <c r="B743" t="s">
        <v>34</v>
      </c>
      <c r="C743">
        <f t="shared" si="60"/>
        <v>1</v>
      </c>
      <c r="D743" t="s">
        <v>57</v>
      </c>
      <c r="E743">
        <f t="shared" si="61"/>
        <v>0</v>
      </c>
      <c r="F743" t="s">
        <v>40</v>
      </c>
      <c r="G743">
        <v>8</v>
      </c>
      <c r="H743" s="1">
        <v>88008</v>
      </c>
      <c r="I743" s="10">
        <v>0.19</v>
      </c>
      <c r="J743">
        <v>37.5</v>
      </c>
      <c r="K743" t="s">
        <v>34</v>
      </c>
      <c r="L743">
        <v>37</v>
      </c>
      <c r="M743" t="s">
        <v>29</v>
      </c>
      <c r="N743" t="s">
        <v>48</v>
      </c>
      <c r="O743" t="s">
        <v>31</v>
      </c>
      <c r="P743">
        <v>16</v>
      </c>
      <c r="Q743" t="s">
        <v>51</v>
      </c>
      <c r="R743" t="s">
        <v>56</v>
      </c>
      <c r="S743">
        <v>3</v>
      </c>
      <c r="T743">
        <v>2</v>
      </c>
      <c r="U743">
        <v>9</v>
      </c>
      <c r="V743">
        <v>2</v>
      </c>
      <c r="W743">
        <v>1</v>
      </c>
      <c r="X743">
        <v>0</v>
      </c>
      <c r="Y743">
        <v>0</v>
      </c>
      <c r="Z743">
        <v>0</v>
      </c>
      <c r="AA743" t="str">
        <f t="shared" si="63"/>
        <v>Early Tenure</v>
      </c>
      <c r="AB743" s="5">
        <v>45802</v>
      </c>
      <c r="AC743">
        <f t="shared" si="64"/>
        <v>1</v>
      </c>
      <c r="AD743" t="s">
        <v>38</v>
      </c>
      <c r="AE743">
        <f>VLOOKUP(A743,'Employee Engagement Survey'!A631:B2100,2,FALSE)</f>
        <v>4</v>
      </c>
      <c r="AF743">
        <f>VLOOKUP(A743,'Employee Engagement Survey'!A631:C2100,3,FALSE)</f>
        <v>3</v>
      </c>
      <c r="AG743">
        <f>VLOOKUP(A743,'Employee Engagement Survey'!A631:D2100,4,FALSE)</f>
        <v>4</v>
      </c>
      <c r="AH743">
        <f>VLOOKUP(A743,'Employee Engagement Survey'!A631:E2100,5,FALSE)</f>
        <v>3</v>
      </c>
      <c r="AI743">
        <f t="shared" si="62"/>
        <v>3.5</v>
      </c>
    </row>
    <row r="744" spans="1:35" hidden="1" x14ac:dyDescent="0.4">
      <c r="A744">
        <v>869</v>
      </c>
      <c r="B744" t="s">
        <v>34</v>
      </c>
      <c r="C744">
        <f t="shared" si="60"/>
        <v>1</v>
      </c>
      <c r="D744" t="s">
        <v>104</v>
      </c>
      <c r="E744">
        <f t="shared" si="61"/>
        <v>0</v>
      </c>
      <c r="F744" t="s">
        <v>59</v>
      </c>
      <c r="G744">
        <v>7</v>
      </c>
      <c r="H744" s="1">
        <v>71232</v>
      </c>
      <c r="I744" s="10">
        <v>0.13</v>
      </c>
      <c r="J744">
        <v>37.5</v>
      </c>
      <c r="K744" t="s">
        <v>34</v>
      </c>
      <c r="L744">
        <v>28</v>
      </c>
      <c r="M744" t="s">
        <v>29</v>
      </c>
      <c r="N744" t="s">
        <v>48</v>
      </c>
      <c r="O744" t="s">
        <v>31</v>
      </c>
      <c r="P744">
        <v>8</v>
      </c>
      <c r="Q744" t="s">
        <v>36</v>
      </c>
      <c r="R744" t="s">
        <v>33</v>
      </c>
      <c r="S744">
        <v>3</v>
      </c>
      <c r="T744">
        <v>1</v>
      </c>
      <c r="U744">
        <v>6</v>
      </c>
      <c r="V744">
        <v>6</v>
      </c>
      <c r="W744">
        <v>5</v>
      </c>
      <c r="X744">
        <v>1</v>
      </c>
      <c r="Y744">
        <v>0</v>
      </c>
      <c r="Z744">
        <v>4</v>
      </c>
      <c r="AA744" t="str">
        <f t="shared" si="63"/>
        <v>Mid Tenure</v>
      </c>
      <c r="AB744" s="5">
        <v>44696</v>
      </c>
      <c r="AC744">
        <f t="shared" si="64"/>
        <v>0</v>
      </c>
      <c r="AD744" t="s">
        <v>49</v>
      </c>
      <c r="AE744">
        <f>VLOOKUP(A744,'Employee Engagement Survey'!A632:B2101,2,FALSE)</f>
        <v>2</v>
      </c>
      <c r="AF744">
        <f>VLOOKUP(A744,'Employee Engagement Survey'!A632:C2101,3,FALSE)</f>
        <v>4</v>
      </c>
      <c r="AG744">
        <f>VLOOKUP(A744,'Employee Engagement Survey'!A632:D2101,4,FALSE)</f>
        <v>4</v>
      </c>
      <c r="AH744">
        <f>VLOOKUP(A744,'Employee Engagement Survey'!A632:E2101,5,FALSE)</f>
        <v>3</v>
      </c>
      <c r="AI744">
        <f t="shared" si="62"/>
        <v>3.25</v>
      </c>
    </row>
    <row r="745" spans="1:35" hidden="1" x14ac:dyDescent="0.4">
      <c r="A745">
        <v>1097</v>
      </c>
      <c r="B745" t="s">
        <v>34</v>
      </c>
      <c r="C745">
        <f t="shared" si="60"/>
        <v>1</v>
      </c>
      <c r="D745" t="s">
        <v>27</v>
      </c>
      <c r="E745">
        <f t="shared" si="61"/>
        <v>0</v>
      </c>
      <c r="F745" t="s">
        <v>28</v>
      </c>
      <c r="G745">
        <v>6</v>
      </c>
      <c r="H745" s="1">
        <v>67920</v>
      </c>
      <c r="I745" s="10">
        <v>0.13</v>
      </c>
      <c r="J745">
        <v>37.5</v>
      </c>
      <c r="K745" t="s">
        <v>34</v>
      </c>
      <c r="L745">
        <v>28</v>
      </c>
      <c r="M745" t="s">
        <v>47</v>
      </c>
      <c r="N745" t="s">
        <v>30</v>
      </c>
      <c r="O745" t="s">
        <v>31</v>
      </c>
      <c r="P745">
        <v>10</v>
      </c>
      <c r="Q745" t="s">
        <v>43</v>
      </c>
      <c r="R745" t="s">
        <v>53</v>
      </c>
      <c r="S745">
        <v>3</v>
      </c>
      <c r="T745">
        <v>0</v>
      </c>
      <c r="U745">
        <v>10</v>
      </c>
      <c r="V745">
        <v>4</v>
      </c>
      <c r="W745">
        <v>8</v>
      </c>
      <c r="X745">
        <v>7</v>
      </c>
      <c r="Y745">
        <v>1</v>
      </c>
      <c r="Z745">
        <v>7</v>
      </c>
      <c r="AA745" t="str">
        <f t="shared" si="63"/>
        <v>Mid Tenure</v>
      </c>
      <c r="AB745" s="5">
        <v>45519</v>
      </c>
      <c r="AC745">
        <f t="shared" si="64"/>
        <v>1</v>
      </c>
      <c r="AD745" t="s">
        <v>38</v>
      </c>
      <c r="AE745">
        <f>VLOOKUP(A745,'Employee Engagement Survey'!A633:B2102,2,FALSE)</f>
        <v>3</v>
      </c>
      <c r="AF745">
        <f>VLOOKUP(A745,'Employee Engagement Survey'!A633:C2102,3,FALSE)</f>
        <v>3</v>
      </c>
      <c r="AG745">
        <f>VLOOKUP(A745,'Employee Engagement Survey'!A633:D2102,4,FALSE)</f>
        <v>4</v>
      </c>
      <c r="AH745">
        <f>VLOOKUP(A745,'Employee Engagement Survey'!A633:E2102,5,FALSE)</f>
        <v>4</v>
      </c>
      <c r="AI745">
        <f t="shared" si="62"/>
        <v>3.5</v>
      </c>
    </row>
    <row r="746" spans="1:35" x14ac:dyDescent="0.4">
      <c r="A746">
        <v>872</v>
      </c>
      <c r="B746" t="s">
        <v>34</v>
      </c>
      <c r="C746">
        <f t="shared" si="60"/>
        <v>1</v>
      </c>
      <c r="D746" t="s">
        <v>54</v>
      </c>
      <c r="E746">
        <f t="shared" si="61"/>
        <v>1</v>
      </c>
      <c r="F746" t="s">
        <v>28</v>
      </c>
      <c r="G746">
        <v>6</v>
      </c>
      <c r="H746" s="1">
        <v>69300</v>
      </c>
      <c r="I746" s="10">
        <v>0.22</v>
      </c>
      <c r="J746">
        <v>37.5</v>
      </c>
      <c r="K746" t="s">
        <v>34</v>
      </c>
      <c r="L746">
        <v>22</v>
      </c>
      <c r="M746" t="s">
        <v>29</v>
      </c>
      <c r="N746" t="s">
        <v>42</v>
      </c>
      <c r="O746" t="s">
        <v>31</v>
      </c>
      <c r="P746">
        <v>1</v>
      </c>
      <c r="Q746" t="s">
        <v>36</v>
      </c>
      <c r="R746" t="s">
        <v>37</v>
      </c>
      <c r="S746">
        <v>4</v>
      </c>
      <c r="T746">
        <v>2</v>
      </c>
      <c r="U746">
        <v>4</v>
      </c>
      <c r="V746">
        <v>2</v>
      </c>
      <c r="W746">
        <v>2</v>
      </c>
      <c r="X746">
        <v>2</v>
      </c>
      <c r="Y746">
        <v>2</v>
      </c>
      <c r="Z746">
        <v>2</v>
      </c>
      <c r="AA746" t="str">
        <f t="shared" si="63"/>
        <v>Early Tenure</v>
      </c>
      <c r="AB746" s="5">
        <v>45439</v>
      </c>
      <c r="AC746">
        <f t="shared" si="64"/>
        <v>1</v>
      </c>
      <c r="AD746" t="s">
        <v>49</v>
      </c>
      <c r="AE746">
        <f>VLOOKUP(A746,'Employee Engagement Survey'!A634:B2103,2,FALSE)</f>
        <v>4</v>
      </c>
      <c r="AF746">
        <f>VLOOKUP(A746,'Employee Engagement Survey'!A634:C2103,3,FALSE)</f>
        <v>4</v>
      </c>
      <c r="AG746">
        <f>VLOOKUP(A746,'Employee Engagement Survey'!A634:D2103,4,FALSE)</f>
        <v>1</v>
      </c>
      <c r="AH746">
        <f>VLOOKUP(A746,'Employee Engagement Survey'!A634:E2103,5,FALSE)</f>
        <v>1</v>
      </c>
      <c r="AI746">
        <f t="shared" si="62"/>
        <v>2.5</v>
      </c>
    </row>
    <row r="747" spans="1:35" hidden="1" x14ac:dyDescent="0.4">
      <c r="A747">
        <v>1614</v>
      </c>
      <c r="B747" t="s">
        <v>34</v>
      </c>
      <c r="C747">
        <f t="shared" si="60"/>
        <v>1</v>
      </c>
      <c r="D747" t="s">
        <v>54</v>
      </c>
      <c r="E747">
        <f t="shared" si="61"/>
        <v>1</v>
      </c>
      <c r="F747" t="s">
        <v>28</v>
      </c>
      <c r="G747">
        <v>6</v>
      </c>
      <c r="H747" s="1">
        <v>67956</v>
      </c>
      <c r="I747" s="10">
        <v>0.12</v>
      </c>
      <c r="J747">
        <v>37.5</v>
      </c>
      <c r="K747" t="s">
        <v>26</v>
      </c>
      <c r="L747">
        <v>36</v>
      </c>
      <c r="M747" t="s">
        <v>47</v>
      </c>
      <c r="N747" t="s">
        <v>42</v>
      </c>
      <c r="O747" t="s">
        <v>31</v>
      </c>
      <c r="P747">
        <v>12</v>
      </c>
      <c r="Q747" t="s">
        <v>51</v>
      </c>
      <c r="R747" t="s">
        <v>37</v>
      </c>
      <c r="S747">
        <v>3</v>
      </c>
      <c r="T747">
        <v>2</v>
      </c>
      <c r="U747">
        <v>7</v>
      </c>
      <c r="V747">
        <v>2</v>
      </c>
      <c r="W747">
        <v>3</v>
      </c>
      <c r="X747">
        <v>2</v>
      </c>
      <c r="Y747">
        <v>1</v>
      </c>
      <c r="Z747">
        <v>1</v>
      </c>
      <c r="AA747" t="str">
        <f t="shared" si="63"/>
        <v>Mid Tenure</v>
      </c>
      <c r="AB747" s="5">
        <v>45491</v>
      </c>
      <c r="AC747">
        <f t="shared" si="64"/>
        <v>1</v>
      </c>
      <c r="AD747" t="s">
        <v>49</v>
      </c>
      <c r="AE747">
        <f>VLOOKUP(A747,'Employee Engagement Survey'!A635:B2104,2,FALSE)</f>
        <v>3</v>
      </c>
      <c r="AF747">
        <f>VLOOKUP(A747,'Employee Engagement Survey'!A635:C2104,3,FALSE)</f>
        <v>3</v>
      </c>
      <c r="AG747">
        <f>VLOOKUP(A747,'Employee Engagement Survey'!A635:D2104,4,FALSE)</f>
        <v>2</v>
      </c>
      <c r="AH747">
        <f>VLOOKUP(A747,'Employee Engagement Survey'!A635:E2104,5,FALSE)</f>
        <v>3</v>
      </c>
      <c r="AI747">
        <f t="shared" si="62"/>
        <v>2.75</v>
      </c>
    </row>
    <row r="748" spans="1:35" hidden="1" x14ac:dyDescent="0.4">
      <c r="A748">
        <v>874</v>
      </c>
      <c r="B748" t="s">
        <v>34</v>
      </c>
      <c r="C748">
        <f t="shared" si="60"/>
        <v>1</v>
      </c>
      <c r="D748" t="s">
        <v>46</v>
      </c>
      <c r="E748">
        <f t="shared" si="61"/>
        <v>0</v>
      </c>
      <c r="F748" t="s">
        <v>28</v>
      </c>
      <c r="G748">
        <v>5</v>
      </c>
      <c r="H748" s="1">
        <v>57816</v>
      </c>
      <c r="I748" s="10">
        <v>0.24</v>
      </c>
      <c r="J748">
        <v>37.5</v>
      </c>
      <c r="K748" t="s">
        <v>26</v>
      </c>
      <c r="L748">
        <v>44</v>
      </c>
      <c r="M748" t="s">
        <v>29</v>
      </c>
      <c r="N748" t="s">
        <v>42</v>
      </c>
      <c r="O748" t="s">
        <v>31</v>
      </c>
      <c r="P748">
        <v>8</v>
      </c>
      <c r="Q748" t="s">
        <v>51</v>
      </c>
      <c r="R748" t="s">
        <v>37</v>
      </c>
      <c r="S748">
        <v>4</v>
      </c>
      <c r="T748">
        <v>1</v>
      </c>
      <c r="U748">
        <v>10</v>
      </c>
      <c r="V748">
        <v>2</v>
      </c>
      <c r="W748">
        <v>3</v>
      </c>
      <c r="X748">
        <v>2</v>
      </c>
      <c r="Y748">
        <v>0</v>
      </c>
      <c r="Z748">
        <v>2</v>
      </c>
      <c r="AA748" t="str">
        <f t="shared" si="63"/>
        <v>Mid Tenure</v>
      </c>
      <c r="AB748" s="5">
        <v>45093</v>
      </c>
      <c r="AC748">
        <f t="shared" si="64"/>
        <v>0</v>
      </c>
      <c r="AD748" t="s">
        <v>38</v>
      </c>
      <c r="AE748">
        <f>VLOOKUP(A748,'Employee Engagement Survey'!A636:B2105,2,FALSE)</f>
        <v>1</v>
      </c>
      <c r="AF748">
        <f>VLOOKUP(A748,'Employee Engagement Survey'!A636:C2105,3,FALSE)</f>
        <v>4</v>
      </c>
      <c r="AG748">
        <f>VLOOKUP(A748,'Employee Engagement Survey'!A636:D2105,4,FALSE)</f>
        <v>3</v>
      </c>
      <c r="AH748">
        <f>VLOOKUP(A748,'Employee Engagement Survey'!A636:E2105,5,FALSE)</f>
        <v>2</v>
      </c>
      <c r="AI748">
        <f t="shared" si="62"/>
        <v>2.5</v>
      </c>
    </row>
    <row r="749" spans="1:35" hidden="1" x14ac:dyDescent="0.4">
      <c r="A749">
        <v>875</v>
      </c>
      <c r="B749" t="s">
        <v>34</v>
      </c>
      <c r="C749">
        <f t="shared" si="60"/>
        <v>1</v>
      </c>
      <c r="D749" t="s">
        <v>27</v>
      </c>
      <c r="E749">
        <f t="shared" si="61"/>
        <v>0</v>
      </c>
      <c r="F749" t="s">
        <v>28</v>
      </c>
      <c r="G749">
        <v>4</v>
      </c>
      <c r="H749" s="1">
        <v>54180</v>
      </c>
      <c r="I749" s="10">
        <v>0.14000000000000001</v>
      </c>
      <c r="J749">
        <v>37.5</v>
      </c>
      <c r="K749" t="s">
        <v>26</v>
      </c>
      <c r="L749">
        <v>42</v>
      </c>
      <c r="M749" t="s">
        <v>29</v>
      </c>
      <c r="N749" t="s">
        <v>30</v>
      </c>
      <c r="O749" t="s">
        <v>44</v>
      </c>
      <c r="P749">
        <v>2</v>
      </c>
      <c r="Q749" t="s">
        <v>32</v>
      </c>
      <c r="R749" t="s">
        <v>33</v>
      </c>
      <c r="S749">
        <v>3</v>
      </c>
      <c r="T749">
        <v>0</v>
      </c>
      <c r="U749">
        <v>8</v>
      </c>
      <c r="V749">
        <v>2</v>
      </c>
      <c r="W749">
        <v>2</v>
      </c>
      <c r="X749">
        <v>1</v>
      </c>
      <c r="Y749">
        <v>2</v>
      </c>
      <c r="Z749">
        <v>2</v>
      </c>
      <c r="AA749" t="str">
        <f t="shared" si="63"/>
        <v>Early Tenure</v>
      </c>
      <c r="AB749" s="5">
        <v>44580</v>
      </c>
      <c r="AC749">
        <f t="shared" si="64"/>
        <v>0</v>
      </c>
      <c r="AD749" t="s">
        <v>38</v>
      </c>
      <c r="AE749">
        <f>VLOOKUP(A749,'Employee Engagement Survey'!A637:B2106,2,FALSE)</f>
        <v>2</v>
      </c>
      <c r="AF749">
        <f>VLOOKUP(A749,'Employee Engagement Survey'!A637:C2106,3,FALSE)</f>
        <v>4</v>
      </c>
      <c r="AG749">
        <f>VLOOKUP(A749,'Employee Engagement Survey'!A637:D2106,4,FALSE)</f>
        <v>4</v>
      </c>
      <c r="AH749">
        <f>VLOOKUP(A749,'Employee Engagement Survey'!A637:E2106,5,FALSE)</f>
        <v>3</v>
      </c>
      <c r="AI749">
        <f t="shared" si="62"/>
        <v>3.25</v>
      </c>
    </row>
    <row r="750" spans="1:35" hidden="1" x14ac:dyDescent="0.4">
      <c r="A750">
        <v>1480</v>
      </c>
      <c r="B750" t="s">
        <v>34</v>
      </c>
      <c r="C750">
        <f t="shared" si="60"/>
        <v>1</v>
      </c>
      <c r="D750" t="s">
        <v>46</v>
      </c>
      <c r="E750">
        <f t="shared" si="61"/>
        <v>0</v>
      </c>
      <c r="F750" t="s">
        <v>28</v>
      </c>
      <c r="G750">
        <v>6</v>
      </c>
      <c r="H750" s="1">
        <v>68076</v>
      </c>
      <c r="I750" s="10">
        <v>0.13</v>
      </c>
      <c r="J750">
        <v>37.5</v>
      </c>
      <c r="K750" t="s">
        <v>34</v>
      </c>
      <c r="L750">
        <v>42</v>
      </c>
      <c r="M750" t="s">
        <v>47</v>
      </c>
      <c r="N750" t="s">
        <v>30</v>
      </c>
      <c r="O750" t="s">
        <v>44</v>
      </c>
      <c r="P750">
        <v>9</v>
      </c>
      <c r="Q750" t="s">
        <v>36</v>
      </c>
      <c r="R750" t="s">
        <v>33</v>
      </c>
      <c r="S750">
        <v>3</v>
      </c>
      <c r="T750">
        <v>0</v>
      </c>
      <c r="U750">
        <v>12</v>
      </c>
      <c r="V750">
        <v>3</v>
      </c>
      <c r="W750">
        <v>12</v>
      </c>
      <c r="X750">
        <v>9</v>
      </c>
      <c r="Y750">
        <v>5</v>
      </c>
      <c r="Z750">
        <v>8</v>
      </c>
      <c r="AA750" t="str">
        <f t="shared" si="63"/>
        <v>Long Tenure</v>
      </c>
      <c r="AB750" s="5">
        <v>45320</v>
      </c>
      <c r="AC750">
        <f t="shared" si="64"/>
        <v>1</v>
      </c>
      <c r="AD750" t="s">
        <v>38</v>
      </c>
      <c r="AE750">
        <f>VLOOKUP(A750,'Employee Engagement Survey'!A638:B2107,2,FALSE)</f>
        <v>1</v>
      </c>
      <c r="AF750">
        <f>VLOOKUP(A750,'Employee Engagement Survey'!A638:C2107,3,FALSE)</f>
        <v>4</v>
      </c>
      <c r="AG750">
        <f>VLOOKUP(A750,'Employee Engagement Survey'!A638:D2107,4,FALSE)</f>
        <v>3</v>
      </c>
      <c r="AH750">
        <f>VLOOKUP(A750,'Employee Engagement Survey'!A638:E2107,5,FALSE)</f>
        <v>3</v>
      </c>
      <c r="AI750">
        <f t="shared" si="62"/>
        <v>2.75</v>
      </c>
    </row>
    <row r="751" spans="1:35" hidden="1" x14ac:dyDescent="0.4">
      <c r="A751">
        <v>878</v>
      </c>
      <c r="B751" t="s">
        <v>34</v>
      </c>
      <c r="C751">
        <f t="shared" si="60"/>
        <v>1</v>
      </c>
      <c r="D751" t="s">
        <v>106</v>
      </c>
      <c r="E751">
        <f t="shared" si="61"/>
        <v>0</v>
      </c>
      <c r="F751" t="s">
        <v>59</v>
      </c>
      <c r="G751">
        <v>4</v>
      </c>
      <c r="H751" s="1">
        <v>52104</v>
      </c>
      <c r="I751" s="10">
        <v>0.21</v>
      </c>
      <c r="J751">
        <v>37.5</v>
      </c>
      <c r="K751" t="s">
        <v>34</v>
      </c>
      <c r="L751">
        <v>36</v>
      </c>
      <c r="M751" t="s">
        <v>29</v>
      </c>
      <c r="N751" t="s">
        <v>42</v>
      </c>
      <c r="O751" t="s">
        <v>31</v>
      </c>
      <c r="P751">
        <v>8</v>
      </c>
      <c r="Q751" t="s">
        <v>43</v>
      </c>
      <c r="R751" t="s">
        <v>37</v>
      </c>
      <c r="S751">
        <v>4</v>
      </c>
      <c r="T751">
        <v>0</v>
      </c>
      <c r="U751">
        <v>6</v>
      </c>
      <c r="V751">
        <v>3</v>
      </c>
      <c r="W751">
        <v>5</v>
      </c>
      <c r="X751">
        <v>4</v>
      </c>
      <c r="Y751">
        <v>0</v>
      </c>
      <c r="Z751">
        <v>3</v>
      </c>
      <c r="AA751" t="str">
        <f t="shared" si="63"/>
        <v>Mid Tenure</v>
      </c>
      <c r="AB751" s="5">
        <v>44904</v>
      </c>
      <c r="AC751">
        <f t="shared" si="64"/>
        <v>0</v>
      </c>
      <c r="AD751" t="s">
        <v>49</v>
      </c>
      <c r="AE751">
        <f>VLOOKUP(A751,'Employee Engagement Survey'!A639:B2108,2,FALSE)</f>
        <v>1</v>
      </c>
      <c r="AF751">
        <f>VLOOKUP(A751,'Employee Engagement Survey'!A639:C2108,3,FALSE)</f>
        <v>1</v>
      </c>
      <c r="AG751">
        <f>VLOOKUP(A751,'Employee Engagement Survey'!A639:D2108,4,FALSE)</f>
        <v>3</v>
      </c>
      <c r="AH751">
        <f>VLOOKUP(A751,'Employee Engagement Survey'!A639:E2108,5,FALSE)</f>
        <v>3</v>
      </c>
      <c r="AI751">
        <f t="shared" si="62"/>
        <v>2</v>
      </c>
    </row>
    <row r="752" spans="1:35" hidden="1" x14ac:dyDescent="0.4">
      <c r="A752">
        <v>879</v>
      </c>
      <c r="B752" t="s">
        <v>34</v>
      </c>
      <c r="C752">
        <f t="shared" si="60"/>
        <v>1</v>
      </c>
      <c r="D752" t="s">
        <v>57</v>
      </c>
      <c r="E752">
        <f t="shared" si="61"/>
        <v>0</v>
      </c>
      <c r="F752" t="s">
        <v>40</v>
      </c>
      <c r="G752">
        <v>6</v>
      </c>
      <c r="H752" s="1">
        <v>62328</v>
      </c>
      <c r="I752" s="10">
        <v>0.18</v>
      </c>
      <c r="J752">
        <v>37.5</v>
      </c>
      <c r="K752" t="s">
        <v>26</v>
      </c>
      <c r="L752">
        <v>25</v>
      </c>
      <c r="M752" t="s">
        <v>29</v>
      </c>
      <c r="N752" t="s">
        <v>42</v>
      </c>
      <c r="O752" t="s">
        <v>31</v>
      </c>
      <c r="P752">
        <v>3</v>
      </c>
      <c r="Q752" t="s">
        <v>32</v>
      </c>
      <c r="R752" t="s">
        <v>53</v>
      </c>
      <c r="S752">
        <v>3</v>
      </c>
      <c r="T752">
        <v>0</v>
      </c>
      <c r="U752">
        <v>5</v>
      </c>
      <c r="V752">
        <v>3</v>
      </c>
      <c r="W752">
        <v>5</v>
      </c>
      <c r="X752">
        <v>3</v>
      </c>
      <c r="Y752">
        <v>0</v>
      </c>
      <c r="Z752">
        <v>3</v>
      </c>
      <c r="AA752" t="str">
        <f t="shared" si="63"/>
        <v>Mid Tenure</v>
      </c>
      <c r="AB752" s="5">
        <v>44896</v>
      </c>
      <c r="AC752">
        <f t="shared" si="64"/>
        <v>0</v>
      </c>
      <c r="AD752" t="s">
        <v>49</v>
      </c>
      <c r="AE752">
        <f>VLOOKUP(A752,'Employee Engagement Survey'!A640:B2109,2,FALSE)</f>
        <v>3</v>
      </c>
      <c r="AF752">
        <f>VLOOKUP(A752,'Employee Engagement Survey'!A640:C2109,3,FALSE)</f>
        <v>1</v>
      </c>
      <c r="AG752">
        <f>VLOOKUP(A752,'Employee Engagement Survey'!A640:D2109,4,FALSE)</f>
        <v>4</v>
      </c>
      <c r="AH752">
        <f>VLOOKUP(A752,'Employee Engagement Survey'!A640:E2109,5,FALSE)</f>
        <v>3</v>
      </c>
      <c r="AI752">
        <f t="shared" si="62"/>
        <v>2.75</v>
      </c>
    </row>
    <row r="753" spans="1:35" hidden="1" x14ac:dyDescent="0.4">
      <c r="A753">
        <v>882</v>
      </c>
      <c r="B753" t="s">
        <v>34</v>
      </c>
      <c r="C753">
        <f t="shared" si="60"/>
        <v>1</v>
      </c>
      <c r="D753" t="s">
        <v>46</v>
      </c>
      <c r="E753">
        <f t="shared" si="61"/>
        <v>0</v>
      </c>
      <c r="F753" t="s">
        <v>28</v>
      </c>
      <c r="G753">
        <v>4</v>
      </c>
      <c r="H753" s="1">
        <v>51768</v>
      </c>
      <c r="I753" s="10">
        <v>0.12</v>
      </c>
      <c r="J753">
        <v>37.5</v>
      </c>
      <c r="K753" t="s">
        <v>34</v>
      </c>
      <c r="L753">
        <v>32</v>
      </c>
      <c r="M753" t="s">
        <v>29</v>
      </c>
      <c r="N753" t="s">
        <v>48</v>
      </c>
      <c r="O753" t="s">
        <v>35</v>
      </c>
      <c r="P753">
        <v>1</v>
      </c>
      <c r="Q753" t="s">
        <v>43</v>
      </c>
      <c r="R753" t="s">
        <v>37</v>
      </c>
      <c r="S753">
        <v>3</v>
      </c>
      <c r="T753">
        <v>1</v>
      </c>
      <c r="U753">
        <v>4</v>
      </c>
      <c r="V753">
        <v>2</v>
      </c>
      <c r="W753">
        <v>3</v>
      </c>
      <c r="X753">
        <v>0</v>
      </c>
      <c r="Y753">
        <v>0</v>
      </c>
      <c r="Z753">
        <v>2</v>
      </c>
      <c r="AA753" t="str">
        <f t="shared" si="63"/>
        <v>Mid Tenure</v>
      </c>
      <c r="AB753" s="5">
        <v>45938</v>
      </c>
      <c r="AC753">
        <f t="shared" si="64"/>
        <v>1</v>
      </c>
      <c r="AD753" t="s">
        <v>49</v>
      </c>
      <c r="AE753">
        <f>VLOOKUP(A753,'Employee Engagement Survey'!A641:B2110,2,FALSE)</f>
        <v>4</v>
      </c>
      <c r="AF753">
        <f>VLOOKUP(A753,'Employee Engagement Survey'!A641:C2110,3,FALSE)</f>
        <v>4</v>
      </c>
      <c r="AG753">
        <f>VLOOKUP(A753,'Employee Engagement Survey'!A641:D2110,4,FALSE)</f>
        <v>2</v>
      </c>
      <c r="AH753">
        <f>VLOOKUP(A753,'Employee Engagement Survey'!A641:E2110,5,FALSE)</f>
        <v>3</v>
      </c>
      <c r="AI753">
        <f t="shared" si="62"/>
        <v>3.25</v>
      </c>
    </row>
    <row r="754" spans="1:35" hidden="1" x14ac:dyDescent="0.4">
      <c r="A754">
        <v>885</v>
      </c>
      <c r="B754" t="s">
        <v>34</v>
      </c>
      <c r="C754">
        <f t="shared" ref="C754:C817" si="65">IF(B754="No",1,0)</f>
        <v>1</v>
      </c>
      <c r="D754" t="s">
        <v>57</v>
      </c>
      <c r="E754">
        <f t="shared" si="61"/>
        <v>0</v>
      </c>
      <c r="F754" t="s">
        <v>40</v>
      </c>
      <c r="G754">
        <v>6</v>
      </c>
      <c r="H754" s="1">
        <v>63072</v>
      </c>
      <c r="I754" s="10">
        <v>0.12</v>
      </c>
      <c r="J754">
        <v>37.5</v>
      </c>
      <c r="K754" t="s">
        <v>34</v>
      </c>
      <c r="L754">
        <v>25</v>
      </c>
      <c r="M754" t="s">
        <v>29</v>
      </c>
      <c r="N754" t="s">
        <v>42</v>
      </c>
      <c r="O754" t="s">
        <v>31</v>
      </c>
      <c r="P754">
        <v>4</v>
      </c>
      <c r="Q754" t="s">
        <v>32</v>
      </c>
      <c r="R754" t="s">
        <v>56</v>
      </c>
      <c r="S754">
        <v>3</v>
      </c>
      <c r="T754">
        <v>0</v>
      </c>
      <c r="U754">
        <v>5</v>
      </c>
      <c r="V754">
        <v>1</v>
      </c>
      <c r="W754">
        <v>5</v>
      </c>
      <c r="X754">
        <v>2</v>
      </c>
      <c r="Y754">
        <v>0</v>
      </c>
      <c r="Z754">
        <v>3</v>
      </c>
      <c r="AA754" t="str">
        <f t="shared" si="63"/>
        <v>Mid Tenure</v>
      </c>
      <c r="AB754" s="5">
        <v>45202</v>
      </c>
      <c r="AC754">
        <f t="shared" si="64"/>
        <v>0</v>
      </c>
      <c r="AD754" t="s">
        <v>49</v>
      </c>
      <c r="AE754">
        <f>VLOOKUP(A754,'Employee Engagement Survey'!A642:B2111,2,FALSE)</f>
        <v>3</v>
      </c>
      <c r="AF754">
        <f>VLOOKUP(A754,'Employee Engagement Survey'!A642:C2111,3,FALSE)</f>
        <v>1</v>
      </c>
      <c r="AG754">
        <f>VLOOKUP(A754,'Employee Engagement Survey'!A642:D2111,4,FALSE)</f>
        <v>1</v>
      </c>
      <c r="AH754">
        <f>VLOOKUP(A754,'Employee Engagement Survey'!A642:E2111,5,FALSE)</f>
        <v>4</v>
      </c>
      <c r="AI754">
        <f t="shared" si="62"/>
        <v>2.25</v>
      </c>
    </row>
    <row r="755" spans="1:35" hidden="1" x14ac:dyDescent="0.4">
      <c r="A755">
        <v>888</v>
      </c>
      <c r="B755" t="s">
        <v>34</v>
      </c>
      <c r="C755">
        <f t="shared" si="65"/>
        <v>1</v>
      </c>
      <c r="D755" t="s">
        <v>46</v>
      </c>
      <c r="E755">
        <f t="shared" si="61"/>
        <v>0</v>
      </c>
      <c r="F755" t="s">
        <v>28</v>
      </c>
      <c r="G755">
        <v>6</v>
      </c>
      <c r="H755" s="1">
        <v>61944</v>
      </c>
      <c r="I755" s="10">
        <v>0.17</v>
      </c>
      <c r="J755">
        <v>37.5</v>
      </c>
      <c r="K755" t="s">
        <v>34</v>
      </c>
      <c r="L755">
        <v>24</v>
      </c>
      <c r="M755" t="s">
        <v>29</v>
      </c>
      <c r="N755" t="s">
        <v>42</v>
      </c>
      <c r="O755" t="s">
        <v>35</v>
      </c>
      <c r="P755">
        <v>4</v>
      </c>
      <c r="Q755" t="s">
        <v>32</v>
      </c>
      <c r="R755" t="s">
        <v>37</v>
      </c>
      <c r="S755">
        <v>3</v>
      </c>
      <c r="T755">
        <v>0</v>
      </c>
      <c r="U755">
        <v>6</v>
      </c>
      <c r="V755">
        <v>2</v>
      </c>
      <c r="W755">
        <v>5</v>
      </c>
      <c r="X755">
        <v>2</v>
      </c>
      <c r="Y755">
        <v>3</v>
      </c>
      <c r="Z755">
        <v>4</v>
      </c>
      <c r="AA755" t="str">
        <f t="shared" si="63"/>
        <v>Mid Tenure</v>
      </c>
      <c r="AB755" s="5">
        <v>45030</v>
      </c>
      <c r="AC755">
        <f t="shared" si="64"/>
        <v>0</v>
      </c>
      <c r="AD755" t="s">
        <v>49</v>
      </c>
      <c r="AE755">
        <f>VLOOKUP(A755,'Employee Engagement Survey'!A643:B2112,2,FALSE)</f>
        <v>1</v>
      </c>
      <c r="AF755">
        <f>VLOOKUP(A755,'Employee Engagement Survey'!A643:C2112,3,FALSE)</f>
        <v>4</v>
      </c>
      <c r="AG755">
        <f>VLOOKUP(A755,'Employee Engagement Survey'!A643:D2112,4,FALSE)</f>
        <v>4</v>
      </c>
      <c r="AH755">
        <f>VLOOKUP(A755,'Employee Engagement Survey'!A643:E2112,5,FALSE)</f>
        <v>2</v>
      </c>
      <c r="AI755">
        <f t="shared" si="62"/>
        <v>2.75</v>
      </c>
    </row>
    <row r="756" spans="1:35" hidden="1" x14ac:dyDescent="0.4">
      <c r="A756">
        <v>889</v>
      </c>
      <c r="B756" t="s">
        <v>34</v>
      </c>
      <c r="C756">
        <f t="shared" si="65"/>
        <v>1</v>
      </c>
      <c r="D756" t="s">
        <v>57</v>
      </c>
      <c r="E756">
        <f t="shared" si="61"/>
        <v>0</v>
      </c>
      <c r="F756" t="s">
        <v>40</v>
      </c>
      <c r="G756">
        <v>8</v>
      </c>
      <c r="H756" s="1">
        <v>90288</v>
      </c>
      <c r="I756" s="10">
        <v>0.14000000000000001</v>
      </c>
      <c r="J756">
        <v>37.5</v>
      </c>
      <c r="K756" t="s">
        <v>34</v>
      </c>
      <c r="L756">
        <v>32</v>
      </c>
      <c r="M756" t="s">
        <v>29</v>
      </c>
      <c r="N756" t="s">
        <v>42</v>
      </c>
      <c r="O756" t="s">
        <v>44</v>
      </c>
      <c r="P756">
        <v>5</v>
      </c>
      <c r="Q756" t="s">
        <v>36</v>
      </c>
      <c r="R756" t="s">
        <v>37</v>
      </c>
      <c r="S756">
        <v>3</v>
      </c>
      <c r="T756">
        <v>1</v>
      </c>
      <c r="U756">
        <v>10</v>
      </c>
      <c r="V756">
        <v>3</v>
      </c>
      <c r="W756">
        <v>10</v>
      </c>
      <c r="X756">
        <v>8</v>
      </c>
      <c r="Y756">
        <v>5</v>
      </c>
      <c r="Z756">
        <v>3</v>
      </c>
      <c r="AA756" t="str">
        <f t="shared" si="63"/>
        <v>Long Tenure</v>
      </c>
      <c r="AB756" s="5">
        <v>45708</v>
      </c>
      <c r="AC756">
        <f t="shared" si="64"/>
        <v>1</v>
      </c>
      <c r="AD756" t="s">
        <v>38</v>
      </c>
      <c r="AE756">
        <f>VLOOKUP(A756,'Employee Engagement Survey'!A644:B2113,2,FALSE)</f>
        <v>2</v>
      </c>
      <c r="AF756">
        <f>VLOOKUP(A756,'Employee Engagement Survey'!A644:C2113,3,FALSE)</f>
        <v>2</v>
      </c>
      <c r="AG756">
        <f>VLOOKUP(A756,'Employee Engagement Survey'!A644:D2113,4,FALSE)</f>
        <v>4</v>
      </c>
      <c r="AH756">
        <f>VLOOKUP(A756,'Employee Engagement Survey'!A644:E2113,5,FALSE)</f>
        <v>3</v>
      </c>
      <c r="AI756">
        <f t="shared" si="62"/>
        <v>2.75</v>
      </c>
    </row>
    <row r="757" spans="1:35" hidden="1" x14ac:dyDescent="0.4">
      <c r="A757">
        <v>893</v>
      </c>
      <c r="B757" t="s">
        <v>34</v>
      </c>
      <c r="C757">
        <f t="shared" si="65"/>
        <v>1</v>
      </c>
      <c r="D757" t="s">
        <v>39</v>
      </c>
      <c r="E757">
        <f t="shared" si="61"/>
        <v>0</v>
      </c>
      <c r="F757" t="s">
        <v>40</v>
      </c>
      <c r="G757">
        <v>5</v>
      </c>
      <c r="H757" s="1">
        <v>58788</v>
      </c>
      <c r="I757" s="10">
        <v>0.19</v>
      </c>
      <c r="J757">
        <v>37.5</v>
      </c>
      <c r="K757" t="s">
        <v>34</v>
      </c>
      <c r="L757">
        <v>38</v>
      </c>
      <c r="M757" t="s">
        <v>29</v>
      </c>
      <c r="N757" t="s">
        <v>42</v>
      </c>
      <c r="O757" t="s">
        <v>31</v>
      </c>
      <c r="P757">
        <v>9</v>
      </c>
      <c r="Q757" t="s">
        <v>43</v>
      </c>
      <c r="R757" t="s">
        <v>56</v>
      </c>
      <c r="S757">
        <v>3</v>
      </c>
      <c r="T757">
        <v>1</v>
      </c>
      <c r="U757">
        <v>3</v>
      </c>
      <c r="V757">
        <v>3</v>
      </c>
      <c r="W757">
        <v>2</v>
      </c>
      <c r="X757">
        <v>2</v>
      </c>
      <c r="Y757">
        <v>1</v>
      </c>
      <c r="Z757">
        <v>2</v>
      </c>
      <c r="AA757" t="str">
        <f t="shared" si="63"/>
        <v>Early Tenure</v>
      </c>
      <c r="AB757" s="5">
        <v>45017</v>
      </c>
      <c r="AC757">
        <f t="shared" si="64"/>
        <v>0</v>
      </c>
      <c r="AD757" t="s">
        <v>49</v>
      </c>
      <c r="AE757">
        <f>VLOOKUP(A757,'Employee Engagement Survey'!A645:B2114,2,FALSE)</f>
        <v>2</v>
      </c>
      <c r="AF757">
        <f>VLOOKUP(A757,'Employee Engagement Survey'!A645:C2114,3,FALSE)</f>
        <v>2</v>
      </c>
      <c r="AG757">
        <f>VLOOKUP(A757,'Employee Engagement Survey'!A645:D2114,4,FALSE)</f>
        <v>4</v>
      </c>
      <c r="AH757">
        <f>VLOOKUP(A757,'Employee Engagement Survey'!A645:E2114,5,FALSE)</f>
        <v>3</v>
      </c>
      <c r="AI757">
        <f t="shared" si="62"/>
        <v>2.75</v>
      </c>
    </row>
    <row r="758" spans="1:35" hidden="1" x14ac:dyDescent="0.4">
      <c r="A758">
        <v>895</v>
      </c>
      <c r="B758" t="s">
        <v>34</v>
      </c>
      <c r="C758">
        <f t="shared" si="65"/>
        <v>1</v>
      </c>
      <c r="D758" t="s">
        <v>27</v>
      </c>
      <c r="E758">
        <f t="shared" si="61"/>
        <v>0</v>
      </c>
      <c r="F758" t="s">
        <v>28</v>
      </c>
      <c r="G758">
        <v>4</v>
      </c>
      <c r="H758" s="1">
        <v>52272</v>
      </c>
      <c r="I758" s="10">
        <v>0.19</v>
      </c>
      <c r="J758">
        <v>37.5</v>
      </c>
      <c r="K758" t="s">
        <v>26</v>
      </c>
      <c r="L758">
        <v>31</v>
      </c>
      <c r="M758" t="s">
        <v>29</v>
      </c>
      <c r="N758" t="s">
        <v>42</v>
      </c>
      <c r="O758" t="s">
        <v>31</v>
      </c>
      <c r="P758">
        <v>11</v>
      </c>
      <c r="Q758" t="s">
        <v>51</v>
      </c>
      <c r="R758" t="s">
        <v>37</v>
      </c>
      <c r="S758">
        <v>3</v>
      </c>
      <c r="T758">
        <v>1</v>
      </c>
      <c r="U758">
        <v>8</v>
      </c>
      <c r="V758">
        <v>2</v>
      </c>
      <c r="W758">
        <v>6</v>
      </c>
      <c r="X758">
        <v>4</v>
      </c>
      <c r="Y758">
        <v>0</v>
      </c>
      <c r="Z758">
        <v>2</v>
      </c>
      <c r="AA758" t="str">
        <f t="shared" si="63"/>
        <v>Mid Tenure</v>
      </c>
      <c r="AB758" s="5">
        <v>45470</v>
      </c>
      <c r="AC758">
        <f t="shared" si="64"/>
        <v>1</v>
      </c>
      <c r="AD758" t="s">
        <v>49</v>
      </c>
      <c r="AE758">
        <f>VLOOKUP(A758,'Employee Engagement Survey'!A646:B2115,2,FALSE)</f>
        <v>4</v>
      </c>
      <c r="AF758">
        <f>VLOOKUP(A758,'Employee Engagement Survey'!A646:C2115,3,FALSE)</f>
        <v>4</v>
      </c>
      <c r="AG758">
        <f>VLOOKUP(A758,'Employee Engagement Survey'!A646:D2115,4,FALSE)</f>
        <v>2</v>
      </c>
      <c r="AH758">
        <f>VLOOKUP(A758,'Employee Engagement Survey'!A646:E2115,5,FALSE)</f>
        <v>3</v>
      </c>
      <c r="AI758">
        <f t="shared" si="62"/>
        <v>3.25</v>
      </c>
    </row>
    <row r="759" spans="1:35" hidden="1" x14ac:dyDescent="0.4">
      <c r="A759">
        <v>897</v>
      </c>
      <c r="B759" t="s">
        <v>34</v>
      </c>
      <c r="C759">
        <f t="shared" si="65"/>
        <v>1</v>
      </c>
      <c r="D759" t="s">
        <v>57</v>
      </c>
      <c r="E759">
        <f t="shared" si="61"/>
        <v>0</v>
      </c>
      <c r="F759" t="s">
        <v>40</v>
      </c>
      <c r="G759">
        <v>10</v>
      </c>
      <c r="H759" s="1">
        <v>154032</v>
      </c>
      <c r="I759" s="10">
        <v>0.14000000000000001</v>
      </c>
      <c r="J759">
        <v>37.5</v>
      </c>
      <c r="K759" t="s">
        <v>34</v>
      </c>
      <c r="L759">
        <v>53</v>
      </c>
      <c r="M759" t="s">
        <v>29</v>
      </c>
      <c r="N759" t="s">
        <v>42</v>
      </c>
      <c r="O759" t="s">
        <v>31</v>
      </c>
      <c r="P759">
        <v>8</v>
      </c>
      <c r="Q759" t="s">
        <v>43</v>
      </c>
      <c r="R759" t="s">
        <v>56</v>
      </c>
      <c r="S759">
        <v>3</v>
      </c>
      <c r="T759">
        <v>1</v>
      </c>
      <c r="U759">
        <v>28</v>
      </c>
      <c r="V759">
        <v>3</v>
      </c>
      <c r="W759">
        <v>2</v>
      </c>
      <c r="X759">
        <v>0</v>
      </c>
      <c r="Y759">
        <v>2</v>
      </c>
      <c r="Z759">
        <v>2</v>
      </c>
      <c r="AA759" t="str">
        <f t="shared" si="63"/>
        <v>Early Tenure</v>
      </c>
      <c r="AB759" s="5">
        <v>45157</v>
      </c>
      <c r="AC759">
        <f t="shared" si="64"/>
        <v>0</v>
      </c>
      <c r="AD759" t="s">
        <v>38</v>
      </c>
      <c r="AE759">
        <f>VLOOKUP(A759,'Employee Engagement Survey'!A647:B2116,2,FALSE)</f>
        <v>1</v>
      </c>
      <c r="AF759">
        <f>VLOOKUP(A759,'Employee Engagement Survey'!A647:C2116,3,FALSE)</f>
        <v>4</v>
      </c>
      <c r="AG759">
        <f>VLOOKUP(A759,'Employee Engagement Survey'!A647:D2116,4,FALSE)</f>
        <v>3</v>
      </c>
      <c r="AH759">
        <f>VLOOKUP(A759,'Employee Engagement Survey'!A647:E2116,5,FALSE)</f>
        <v>3</v>
      </c>
      <c r="AI759">
        <f t="shared" si="62"/>
        <v>2.75</v>
      </c>
    </row>
    <row r="760" spans="1:35" hidden="1" x14ac:dyDescent="0.4">
      <c r="A760">
        <v>1298</v>
      </c>
      <c r="B760" t="s">
        <v>34</v>
      </c>
      <c r="C760">
        <f t="shared" si="65"/>
        <v>1</v>
      </c>
      <c r="D760" t="s">
        <v>54</v>
      </c>
      <c r="E760">
        <f t="shared" si="61"/>
        <v>1</v>
      </c>
      <c r="F760" t="s">
        <v>28</v>
      </c>
      <c r="G760">
        <v>6</v>
      </c>
      <c r="H760" s="1">
        <v>68340</v>
      </c>
      <c r="I760" s="10">
        <v>0.18</v>
      </c>
      <c r="J760">
        <v>37.5</v>
      </c>
      <c r="K760" t="s">
        <v>26</v>
      </c>
      <c r="L760">
        <v>30</v>
      </c>
      <c r="M760" t="s">
        <v>47</v>
      </c>
      <c r="N760" t="s">
        <v>30</v>
      </c>
      <c r="O760" t="s">
        <v>35</v>
      </c>
      <c r="P760">
        <v>9</v>
      </c>
      <c r="Q760" t="s">
        <v>36</v>
      </c>
      <c r="R760" t="s">
        <v>33</v>
      </c>
      <c r="S760">
        <v>3</v>
      </c>
      <c r="T760">
        <v>0</v>
      </c>
      <c r="U760">
        <v>10</v>
      </c>
      <c r="V760">
        <v>3</v>
      </c>
      <c r="W760">
        <v>8</v>
      </c>
      <c r="X760">
        <v>4</v>
      </c>
      <c r="Y760">
        <v>1</v>
      </c>
      <c r="Z760">
        <v>7</v>
      </c>
      <c r="AA760" t="str">
        <f t="shared" si="63"/>
        <v>Mid Tenure</v>
      </c>
      <c r="AB760" s="5">
        <v>45233</v>
      </c>
      <c r="AC760">
        <f t="shared" si="64"/>
        <v>0</v>
      </c>
      <c r="AD760" t="s">
        <v>38</v>
      </c>
      <c r="AE760">
        <f>VLOOKUP(A760,'Employee Engagement Survey'!A648:B2117,2,FALSE)</f>
        <v>3</v>
      </c>
      <c r="AF760">
        <f>VLOOKUP(A760,'Employee Engagement Survey'!A648:C2117,3,FALSE)</f>
        <v>3</v>
      </c>
      <c r="AG760">
        <f>VLOOKUP(A760,'Employee Engagement Survey'!A648:D2117,4,FALSE)</f>
        <v>3</v>
      </c>
      <c r="AH760">
        <f>VLOOKUP(A760,'Employee Engagement Survey'!A648:E2117,5,FALSE)</f>
        <v>3</v>
      </c>
      <c r="AI760">
        <f t="shared" si="62"/>
        <v>3</v>
      </c>
    </row>
    <row r="761" spans="1:35" hidden="1" x14ac:dyDescent="0.4">
      <c r="A761">
        <v>899</v>
      </c>
      <c r="B761" t="s">
        <v>34</v>
      </c>
      <c r="C761">
        <f t="shared" si="65"/>
        <v>1</v>
      </c>
      <c r="D761" t="s">
        <v>54</v>
      </c>
      <c r="E761">
        <f t="shared" si="61"/>
        <v>1</v>
      </c>
      <c r="F761" t="s">
        <v>28</v>
      </c>
      <c r="G761">
        <v>10</v>
      </c>
      <c r="H761" s="1">
        <v>142836</v>
      </c>
      <c r="I761" s="10">
        <v>0.16</v>
      </c>
      <c r="J761">
        <v>37.5</v>
      </c>
      <c r="K761" t="s">
        <v>34</v>
      </c>
      <c r="L761">
        <v>35</v>
      </c>
      <c r="M761" t="s">
        <v>29</v>
      </c>
      <c r="N761" t="s">
        <v>42</v>
      </c>
      <c r="O761" t="s">
        <v>31</v>
      </c>
      <c r="P761">
        <v>25</v>
      </c>
      <c r="Q761" t="s">
        <v>43</v>
      </c>
      <c r="R761" t="s">
        <v>45</v>
      </c>
      <c r="S761">
        <v>3</v>
      </c>
      <c r="T761">
        <v>0</v>
      </c>
      <c r="U761">
        <v>16</v>
      </c>
      <c r="V761">
        <v>2</v>
      </c>
      <c r="W761">
        <v>13</v>
      </c>
      <c r="X761">
        <v>10</v>
      </c>
      <c r="Y761">
        <v>4</v>
      </c>
      <c r="Z761">
        <v>8</v>
      </c>
      <c r="AA761" t="str">
        <f t="shared" si="63"/>
        <v>Long Tenure</v>
      </c>
      <c r="AB761" s="5">
        <v>44984</v>
      </c>
      <c r="AC761">
        <f t="shared" si="64"/>
        <v>0</v>
      </c>
      <c r="AD761" t="s">
        <v>38</v>
      </c>
      <c r="AE761">
        <f>VLOOKUP(A761,'Employee Engagement Survey'!A649:B2118,2,FALSE)</f>
        <v>4</v>
      </c>
      <c r="AF761">
        <f>VLOOKUP(A761,'Employee Engagement Survey'!A649:C2118,3,FALSE)</f>
        <v>2</v>
      </c>
      <c r="AG761">
        <f>VLOOKUP(A761,'Employee Engagement Survey'!A649:D2118,4,FALSE)</f>
        <v>1</v>
      </c>
      <c r="AH761">
        <f>VLOOKUP(A761,'Employee Engagement Survey'!A649:E2118,5,FALSE)</f>
        <v>3</v>
      </c>
      <c r="AI761">
        <f t="shared" si="62"/>
        <v>2.5</v>
      </c>
    </row>
    <row r="762" spans="1:35" hidden="1" x14ac:dyDescent="0.4">
      <c r="A762">
        <v>1782</v>
      </c>
      <c r="B762" t="s">
        <v>34</v>
      </c>
      <c r="C762">
        <f t="shared" si="65"/>
        <v>1</v>
      </c>
      <c r="D762" t="s">
        <v>46</v>
      </c>
      <c r="E762">
        <f t="shared" si="61"/>
        <v>0</v>
      </c>
      <c r="F762" t="s">
        <v>28</v>
      </c>
      <c r="G762">
        <v>6</v>
      </c>
      <c r="H762" s="1">
        <v>68424</v>
      </c>
      <c r="I762" s="10">
        <v>0.11</v>
      </c>
      <c r="J762">
        <v>37.5</v>
      </c>
      <c r="K762" t="s">
        <v>34</v>
      </c>
      <c r="L762">
        <v>38</v>
      </c>
      <c r="M762" t="s">
        <v>47</v>
      </c>
      <c r="N762" t="s">
        <v>42</v>
      </c>
      <c r="O762" t="s">
        <v>31</v>
      </c>
      <c r="P762">
        <v>6</v>
      </c>
      <c r="Q762" t="s">
        <v>36</v>
      </c>
      <c r="R762" t="s">
        <v>53</v>
      </c>
      <c r="S762">
        <v>3</v>
      </c>
      <c r="T762">
        <v>1</v>
      </c>
      <c r="U762">
        <v>5</v>
      </c>
      <c r="V762">
        <v>3</v>
      </c>
      <c r="W762">
        <v>5</v>
      </c>
      <c r="X762">
        <v>4</v>
      </c>
      <c r="Y762">
        <v>0</v>
      </c>
      <c r="Z762">
        <v>4</v>
      </c>
      <c r="AA762" t="str">
        <f t="shared" si="63"/>
        <v>Mid Tenure</v>
      </c>
      <c r="AB762" s="5">
        <v>45976</v>
      </c>
      <c r="AC762">
        <f t="shared" si="64"/>
        <v>1</v>
      </c>
      <c r="AD762" t="s">
        <v>38</v>
      </c>
      <c r="AE762">
        <f>VLOOKUP(A762,'Employee Engagement Survey'!A650:B2119,2,FALSE)</f>
        <v>4</v>
      </c>
      <c r="AF762">
        <f>VLOOKUP(A762,'Employee Engagement Survey'!A650:C2119,3,FALSE)</f>
        <v>3</v>
      </c>
      <c r="AG762">
        <f>VLOOKUP(A762,'Employee Engagement Survey'!A650:D2119,4,FALSE)</f>
        <v>2</v>
      </c>
      <c r="AH762">
        <f>VLOOKUP(A762,'Employee Engagement Survey'!A650:E2119,5,FALSE)</f>
        <v>3</v>
      </c>
      <c r="AI762">
        <f t="shared" si="62"/>
        <v>3</v>
      </c>
    </row>
    <row r="763" spans="1:35" hidden="1" x14ac:dyDescent="0.4">
      <c r="A763">
        <v>904</v>
      </c>
      <c r="B763" t="s">
        <v>34</v>
      </c>
      <c r="C763">
        <f t="shared" si="65"/>
        <v>1</v>
      </c>
      <c r="D763" t="s">
        <v>57</v>
      </c>
      <c r="E763">
        <f t="shared" si="61"/>
        <v>0</v>
      </c>
      <c r="F763" t="s">
        <v>40</v>
      </c>
      <c r="G763">
        <v>9</v>
      </c>
      <c r="H763" s="1">
        <v>103704</v>
      </c>
      <c r="I763" s="10">
        <v>0.13</v>
      </c>
      <c r="J763">
        <v>37.5</v>
      </c>
      <c r="K763" t="s">
        <v>26</v>
      </c>
      <c r="L763">
        <v>37</v>
      </c>
      <c r="M763" t="s">
        <v>29</v>
      </c>
      <c r="N763" t="s">
        <v>30</v>
      </c>
      <c r="O763" t="s">
        <v>35</v>
      </c>
      <c r="P763">
        <v>19</v>
      </c>
      <c r="Q763" t="s">
        <v>36</v>
      </c>
      <c r="R763" t="s">
        <v>33</v>
      </c>
      <c r="S763">
        <v>3</v>
      </c>
      <c r="T763">
        <v>0</v>
      </c>
      <c r="U763">
        <v>10</v>
      </c>
      <c r="V763">
        <v>2</v>
      </c>
      <c r="W763">
        <v>10</v>
      </c>
      <c r="X763">
        <v>0</v>
      </c>
      <c r="Y763">
        <v>0</v>
      </c>
      <c r="Z763">
        <v>9</v>
      </c>
      <c r="AA763" t="str">
        <f t="shared" si="63"/>
        <v>Long Tenure</v>
      </c>
      <c r="AB763" s="5">
        <v>44868</v>
      </c>
      <c r="AC763">
        <f t="shared" si="64"/>
        <v>0</v>
      </c>
      <c r="AD763" t="s">
        <v>38</v>
      </c>
      <c r="AE763">
        <f>VLOOKUP(A763,'Employee Engagement Survey'!A651:B2120,2,FALSE)</f>
        <v>1</v>
      </c>
      <c r="AF763">
        <f>VLOOKUP(A763,'Employee Engagement Survey'!A651:C2120,3,FALSE)</f>
        <v>2</v>
      </c>
      <c r="AG763">
        <f>VLOOKUP(A763,'Employee Engagement Survey'!A651:D2120,4,FALSE)</f>
        <v>4</v>
      </c>
      <c r="AH763">
        <f>VLOOKUP(A763,'Employee Engagement Survey'!A651:E2120,5,FALSE)</f>
        <v>3</v>
      </c>
      <c r="AI763">
        <f t="shared" si="62"/>
        <v>2.5</v>
      </c>
    </row>
    <row r="764" spans="1:35" hidden="1" x14ac:dyDescent="0.4">
      <c r="A764">
        <v>905</v>
      </c>
      <c r="B764" t="s">
        <v>34</v>
      </c>
      <c r="C764">
        <f t="shared" si="65"/>
        <v>1</v>
      </c>
      <c r="D764" t="s">
        <v>109</v>
      </c>
      <c r="E764">
        <f t="shared" si="61"/>
        <v>1</v>
      </c>
      <c r="F764" t="s">
        <v>28</v>
      </c>
      <c r="G764">
        <v>4</v>
      </c>
      <c r="H764" s="1">
        <v>227088</v>
      </c>
      <c r="I764" s="10">
        <v>0.11</v>
      </c>
      <c r="J764">
        <v>37.5</v>
      </c>
      <c r="K764" t="s">
        <v>34</v>
      </c>
      <c r="L764">
        <v>50</v>
      </c>
      <c r="M764" t="s">
        <v>29</v>
      </c>
      <c r="N764" t="s">
        <v>48</v>
      </c>
      <c r="O764" t="s">
        <v>35</v>
      </c>
      <c r="P764">
        <v>2</v>
      </c>
      <c r="Q764" t="s">
        <v>51</v>
      </c>
      <c r="R764" t="s">
        <v>37</v>
      </c>
      <c r="S764">
        <v>3</v>
      </c>
      <c r="T764">
        <v>1</v>
      </c>
      <c r="U764">
        <v>31</v>
      </c>
      <c r="V764">
        <v>3</v>
      </c>
      <c r="W764">
        <v>31</v>
      </c>
      <c r="X764">
        <v>6</v>
      </c>
      <c r="Y764">
        <v>14</v>
      </c>
      <c r="Z764">
        <v>7</v>
      </c>
      <c r="AA764" t="str">
        <f t="shared" si="63"/>
        <v>Long Tenure</v>
      </c>
      <c r="AB764" s="5">
        <v>45247</v>
      </c>
      <c r="AC764">
        <f t="shared" si="64"/>
        <v>0</v>
      </c>
      <c r="AD764" t="s">
        <v>49</v>
      </c>
      <c r="AE764">
        <f>VLOOKUP(A764,'Employee Engagement Survey'!A652:B2121,2,FALSE)</f>
        <v>1</v>
      </c>
      <c r="AF764">
        <f>VLOOKUP(A764,'Employee Engagement Survey'!A652:C2121,3,FALSE)</f>
        <v>1</v>
      </c>
      <c r="AG764">
        <f>VLOOKUP(A764,'Employee Engagement Survey'!A652:D2121,4,FALSE)</f>
        <v>4</v>
      </c>
      <c r="AH764">
        <f>VLOOKUP(A764,'Employee Engagement Survey'!A652:E2121,5,FALSE)</f>
        <v>3</v>
      </c>
      <c r="AI764">
        <f t="shared" si="62"/>
        <v>2.25</v>
      </c>
    </row>
    <row r="765" spans="1:35" hidden="1" x14ac:dyDescent="0.4">
      <c r="A765">
        <v>910</v>
      </c>
      <c r="B765" t="s">
        <v>34</v>
      </c>
      <c r="C765">
        <f t="shared" si="65"/>
        <v>1</v>
      </c>
      <c r="D765" t="s">
        <v>106</v>
      </c>
      <c r="E765">
        <f t="shared" si="61"/>
        <v>0</v>
      </c>
      <c r="F765" t="s">
        <v>59</v>
      </c>
      <c r="G765">
        <v>4</v>
      </c>
      <c r="H765" s="1">
        <v>51324</v>
      </c>
      <c r="I765" s="10">
        <v>0.11</v>
      </c>
      <c r="J765">
        <v>37.5</v>
      </c>
      <c r="K765" t="s">
        <v>26</v>
      </c>
      <c r="L765">
        <v>33</v>
      </c>
      <c r="M765" t="s">
        <v>29</v>
      </c>
      <c r="N765" t="s">
        <v>48</v>
      </c>
      <c r="O765" t="s">
        <v>31</v>
      </c>
      <c r="P765">
        <v>3</v>
      </c>
      <c r="Q765" t="s">
        <v>36</v>
      </c>
      <c r="R765" t="s">
        <v>59</v>
      </c>
      <c r="S765">
        <v>3</v>
      </c>
      <c r="T765">
        <v>1</v>
      </c>
      <c r="U765">
        <v>7</v>
      </c>
      <c r="V765">
        <v>4</v>
      </c>
      <c r="W765">
        <v>4</v>
      </c>
      <c r="X765">
        <v>3</v>
      </c>
      <c r="Y765">
        <v>0</v>
      </c>
      <c r="Z765">
        <v>3</v>
      </c>
      <c r="AA765" t="str">
        <f t="shared" si="63"/>
        <v>Mid Tenure</v>
      </c>
      <c r="AB765" s="5">
        <v>45159</v>
      </c>
      <c r="AC765">
        <f t="shared" si="64"/>
        <v>0</v>
      </c>
      <c r="AD765" t="s">
        <v>49</v>
      </c>
      <c r="AE765">
        <f>VLOOKUP(A765,'Employee Engagement Survey'!A653:B2122,2,FALSE)</f>
        <v>4</v>
      </c>
      <c r="AF765">
        <f>VLOOKUP(A765,'Employee Engagement Survey'!A653:C2122,3,FALSE)</f>
        <v>2</v>
      </c>
      <c r="AG765">
        <f>VLOOKUP(A765,'Employee Engagement Survey'!A653:D2122,4,FALSE)</f>
        <v>3</v>
      </c>
      <c r="AH765">
        <f>VLOOKUP(A765,'Employee Engagement Survey'!A653:E2122,5,FALSE)</f>
        <v>4</v>
      </c>
      <c r="AI765">
        <f t="shared" si="62"/>
        <v>3.25</v>
      </c>
    </row>
    <row r="766" spans="1:35" hidden="1" x14ac:dyDescent="0.4">
      <c r="A766">
        <v>913</v>
      </c>
      <c r="B766" t="s">
        <v>34</v>
      </c>
      <c r="C766">
        <f t="shared" si="65"/>
        <v>1</v>
      </c>
      <c r="D766" t="s">
        <v>27</v>
      </c>
      <c r="E766">
        <f t="shared" si="61"/>
        <v>0</v>
      </c>
      <c r="F766" t="s">
        <v>28</v>
      </c>
      <c r="G766">
        <v>4</v>
      </c>
      <c r="H766" s="1">
        <v>54708</v>
      </c>
      <c r="I766" s="10">
        <v>0.13</v>
      </c>
      <c r="J766">
        <v>37.5</v>
      </c>
      <c r="K766" t="s">
        <v>26</v>
      </c>
      <c r="L766">
        <v>44</v>
      </c>
      <c r="M766" t="s">
        <v>29</v>
      </c>
      <c r="N766" t="s">
        <v>42</v>
      </c>
      <c r="O766" t="s">
        <v>31</v>
      </c>
      <c r="P766">
        <v>9</v>
      </c>
      <c r="Q766" t="s">
        <v>36</v>
      </c>
      <c r="R766" t="s">
        <v>37</v>
      </c>
      <c r="S766">
        <v>3</v>
      </c>
      <c r="T766">
        <v>0</v>
      </c>
      <c r="U766">
        <v>8</v>
      </c>
      <c r="V766">
        <v>0</v>
      </c>
      <c r="W766">
        <v>8</v>
      </c>
      <c r="X766">
        <v>7</v>
      </c>
      <c r="Y766">
        <v>7</v>
      </c>
      <c r="Z766">
        <v>1</v>
      </c>
      <c r="AA766" t="str">
        <f t="shared" si="63"/>
        <v>Mid Tenure</v>
      </c>
      <c r="AB766" s="5">
        <v>45230</v>
      </c>
      <c r="AC766">
        <f t="shared" si="64"/>
        <v>0</v>
      </c>
      <c r="AD766" t="s">
        <v>38</v>
      </c>
      <c r="AE766">
        <f>VLOOKUP(A766,'Employee Engagement Survey'!A655:B2124,2,FALSE)</f>
        <v>2</v>
      </c>
      <c r="AF766">
        <f>VLOOKUP(A766,'Employee Engagement Survey'!A655:C2124,3,FALSE)</f>
        <v>1</v>
      </c>
      <c r="AG766">
        <f>VLOOKUP(A766,'Employee Engagement Survey'!A655:D2124,4,FALSE)</f>
        <v>4</v>
      </c>
      <c r="AH766">
        <f>VLOOKUP(A766,'Employee Engagement Survey'!A655:E2124,5,FALSE)</f>
        <v>3</v>
      </c>
      <c r="AI766">
        <f t="shared" si="62"/>
        <v>2.5</v>
      </c>
    </row>
    <row r="767" spans="1:35" hidden="1" x14ac:dyDescent="0.4">
      <c r="A767">
        <v>916</v>
      </c>
      <c r="B767" t="s">
        <v>34</v>
      </c>
      <c r="C767">
        <f t="shared" si="65"/>
        <v>1</v>
      </c>
      <c r="D767" t="s">
        <v>57</v>
      </c>
      <c r="E767">
        <f t="shared" si="61"/>
        <v>0</v>
      </c>
      <c r="F767" t="s">
        <v>40</v>
      </c>
      <c r="G767">
        <v>7</v>
      </c>
      <c r="H767" s="1">
        <v>70896</v>
      </c>
      <c r="I767" s="10">
        <v>0.14000000000000001</v>
      </c>
      <c r="J767">
        <v>37.5</v>
      </c>
      <c r="K767" t="s">
        <v>34</v>
      </c>
      <c r="L767">
        <v>28</v>
      </c>
      <c r="M767" t="s">
        <v>29</v>
      </c>
      <c r="N767" t="s">
        <v>30</v>
      </c>
      <c r="O767" t="s">
        <v>31</v>
      </c>
      <c r="P767">
        <v>5</v>
      </c>
      <c r="Q767" t="s">
        <v>51</v>
      </c>
      <c r="R767" t="s">
        <v>33</v>
      </c>
      <c r="S767">
        <v>3</v>
      </c>
      <c r="T767">
        <v>0</v>
      </c>
      <c r="U767">
        <v>4</v>
      </c>
      <c r="V767">
        <v>3</v>
      </c>
      <c r="W767">
        <v>4</v>
      </c>
      <c r="X767">
        <v>2</v>
      </c>
      <c r="Y767">
        <v>0</v>
      </c>
      <c r="Z767">
        <v>2</v>
      </c>
      <c r="AA767" t="str">
        <f t="shared" si="63"/>
        <v>Mid Tenure</v>
      </c>
      <c r="AB767" s="5">
        <v>44820</v>
      </c>
      <c r="AC767">
        <f t="shared" si="64"/>
        <v>0</v>
      </c>
      <c r="AD767" t="s">
        <v>38</v>
      </c>
      <c r="AE767">
        <f>VLOOKUP(A767,'Employee Engagement Survey'!A656:B2125,2,FALSE)</f>
        <v>1</v>
      </c>
      <c r="AF767">
        <f>VLOOKUP(A767,'Employee Engagement Survey'!A656:C2125,3,FALSE)</f>
        <v>4</v>
      </c>
      <c r="AG767">
        <f>VLOOKUP(A767,'Employee Engagement Survey'!A656:D2125,4,FALSE)</f>
        <v>2</v>
      </c>
      <c r="AH767">
        <f>VLOOKUP(A767,'Employee Engagement Survey'!A656:E2125,5,FALSE)</f>
        <v>3</v>
      </c>
      <c r="AI767">
        <f t="shared" si="62"/>
        <v>2.5</v>
      </c>
    </row>
    <row r="768" spans="1:35" hidden="1" x14ac:dyDescent="0.4">
      <c r="A768">
        <v>924</v>
      </c>
      <c r="B768" t="s">
        <v>34</v>
      </c>
      <c r="C768">
        <f t="shared" si="65"/>
        <v>1</v>
      </c>
      <c r="D768" t="s">
        <v>55</v>
      </c>
      <c r="E768">
        <f t="shared" si="61"/>
        <v>0</v>
      </c>
      <c r="F768" t="s">
        <v>28</v>
      </c>
      <c r="G768">
        <v>8</v>
      </c>
      <c r="H768" s="1">
        <v>91032</v>
      </c>
      <c r="I768" s="10">
        <v>0.17</v>
      </c>
      <c r="J768">
        <v>37.5</v>
      </c>
      <c r="K768" t="s">
        <v>26</v>
      </c>
      <c r="L768">
        <v>36</v>
      </c>
      <c r="M768" t="s">
        <v>29</v>
      </c>
      <c r="N768" t="s">
        <v>42</v>
      </c>
      <c r="O768" t="s">
        <v>31</v>
      </c>
      <c r="P768">
        <v>14</v>
      </c>
      <c r="Q768" t="s">
        <v>32</v>
      </c>
      <c r="R768" t="s">
        <v>37</v>
      </c>
      <c r="S768">
        <v>3</v>
      </c>
      <c r="T768">
        <v>1</v>
      </c>
      <c r="U768">
        <v>17</v>
      </c>
      <c r="V768">
        <v>2</v>
      </c>
      <c r="W768">
        <v>16</v>
      </c>
      <c r="X768">
        <v>8</v>
      </c>
      <c r="Y768">
        <v>4</v>
      </c>
      <c r="Z768">
        <v>11</v>
      </c>
      <c r="AA768" t="str">
        <f t="shared" si="63"/>
        <v>Long Tenure</v>
      </c>
      <c r="AB768" s="5">
        <v>45903</v>
      </c>
      <c r="AC768">
        <f t="shared" si="64"/>
        <v>1</v>
      </c>
      <c r="AD768" t="s">
        <v>38</v>
      </c>
      <c r="AE768">
        <f>VLOOKUP(A768,'Employee Engagement Survey'!A658:B2127,2,FALSE)</f>
        <v>3</v>
      </c>
      <c r="AF768">
        <f>VLOOKUP(A768,'Employee Engagement Survey'!A658:C2127,3,FALSE)</f>
        <v>4</v>
      </c>
      <c r="AG768">
        <f>VLOOKUP(A768,'Employee Engagement Survey'!A658:D2127,4,FALSE)</f>
        <v>1</v>
      </c>
      <c r="AH768">
        <f>VLOOKUP(A768,'Employee Engagement Survey'!A658:E2127,5,FALSE)</f>
        <v>2</v>
      </c>
      <c r="AI768">
        <f t="shared" si="62"/>
        <v>2.5</v>
      </c>
    </row>
    <row r="769" spans="1:35" hidden="1" x14ac:dyDescent="0.4">
      <c r="A769">
        <v>934</v>
      </c>
      <c r="B769" t="s">
        <v>34</v>
      </c>
      <c r="C769">
        <f t="shared" si="65"/>
        <v>1</v>
      </c>
      <c r="D769" t="s">
        <v>46</v>
      </c>
      <c r="E769">
        <f t="shared" si="61"/>
        <v>0</v>
      </c>
      <c r="F769" t="s">
        <v>28</v>
      </c>
      <c r="G769">
        <v>3</v>
      </c>
      <c r="H769" s="1">
        <v>48096</v>
      </c>
      <c r="I769" s="10">
        <v>0.14000000000000001</v>
      </c>
      <c r="J769">
        <v>37.5</v>
      </c>
      <c r="K769" t="s">
        <v>34</v>
      </c>
      <c r="L769">
        <v>34</v>
      </c>
      <c r="M769" t="s">
        <v>29</v>
      </c>
      <c r="N769" t="s">
        <v>48</v>
      </c>
      <c r="O769" t="s">
        <v>31</v>
      </c>
      <c r="P769">
        <v>10</v>
      </c>
      <c r="Q769" t="s">
        <v>43</v>
      </c>
      <c r="R769" t="s">
        <v>37</v>
      </c>
      <c r="S769">
        <v>3</v>
      </c>
      <c r="T769">
        <v>2</v>
      </c>
      <c r="U769">
        <v>1</v>
      </c>
      <c r="V769">
        <v>3</v>
      </c>
      <c r="W769">
        <v>1</v>
      </c>
      <c r="X769">
        <v>0</v>
      </c>
      <c r="Y769">
        <v>1</v>
      </c>
      <c r="Z769">
        <v>0</v>
      </c>
      <c r="AA769" t="str">
        <f t="shared" si="63"/>
        <v>Early Tenure</v>
      </c>
      <c r="AB769" s="5">
        <v>45471</v>
      </c>
      <c r="AC769">
        <f t="shared" si="64"/>
        <v>1</v>
      </c>
      <c r="AD769" t="s">
        <v>38</v>
      </c>
      <c r="AE769">
        <f>VLOOKUP(A769,'Employee Engagement Survey'!A660:B2129,2,FALSE)</f>
        <v>2</v>
      </c>
      <c r="AF769">
        <f>VLOOKUP(A769,'Employee Engagement Survey'!A660:C2129,3,FALSE)</f>
        <v>2</v>
      </c>
      <c r="AG769">
        <f>VLOOKUP(A769,'Employee Engagement Survey'!A660:D2129,4,FALSE)</f>
        <v>2</v>
      </c>
      <c r="AH769">
        <f>VLOOKUP(A769,'Employee Engagement Survey'!A660:E2129,5,FALSE)</f>
        <v>3</v>
      </c>
      <c r="AI769">
        <f t="shared" si="62"/>
        <v>2.25</v>
      </c>
    </row>
    <row r="770" spans="1:35" hidden="1" x14ac:dyDescent="0.4">
      <c r="A770">
        <v>939</v>
      </c>
      <c r="B770" t="s">
        <v>34</v>
      </c>
      <c r="C770">
        <f t="shared" si="65"/>
        <v>1</v>
      </c>
      <c r="D770" t="s">
        <v>27</v>
      </c>
      <c r="E770">
        <f t="shared" ref="E770:E833" si="66">IF(OR(D770="Manager, HR", D770="Manager, Sales", D770="Manager, R&amp;D", D770="Manufacturing Director",D770="Research Director", D770="VP, HR", D770="CEO"),1,0)</f>
        <v>0</v>
      </c>
      <c r="F770" t="s">
        <v>28</v>
      </c>
      <c r="G770">
        <v>5</v>
      </c>
      <c r="H770" s="1">
        <v>57588</v>
      </c>
      <c r="I770" s="10">
        <v>0.11</v>
      </c>
      <c r="J770">
        <v>37.5</v>
      </c>
      <c r="K770" t="s">
        <v>26</v>
      </c>
      <c r="L770">
        <v>33</v>
      </c>
      <c r="M770" t="s">
        <v>29</v>
      </c>
      <c r="N770" t="s">
        <v>30</v>
      </c>
      <c r="O770" t="s">
        <v>31</v>
      </c>
      <c r="P770">
        <v>1</v>
      </c>
      <c r="Q770" t="s">
        <v>51</v>
      </c>
      <c r="R770" t="s">
        <v>53</v>
      </c>
      <c r="S770">
        <v>3</v>
      </c>
      <c r="T770">
        <v>0</v>
      </c>
      <c r="U770">
        <v>6</v>
      </c>
      <c r="V770">
        <v>1</v>
      </c>
      <c r="W770">
        <v>3</v>
      </c>
      <c r="X770">
        <v>2</v>
      </c>
      <c r="Y770">
        <v>0</v>
      </c>
      <c r="Z770">
        <v>2</v>
      </c>
      <c r="AA770" t="str">
        <f t="shared" si="63"/>
        <v>Mid Tenure</v>
      </c>
      <c r="AB770" s="5">
        <v>44726</v>
      </c>
      <c r="AC770">
        <f t="shared" si="64"/>
        <v>0</v>
      </c>
      <c r="AD770" t="s">
        <v>49</v>
      </c>
      <c r="AE770">
        <f>VLOOKUP(A770,'Employee Engagement Survey'!A661:B2130,2,FALSE)</f>
        <v>3</v>
      </c>
      <c r="AF770">
        <f>VLOOKUP(A770,'Employee Engagement Survey'!A661:C2130,3,FALSE)</f>
        <v>1</v>
      </c>
      <c r="AG770">
        <f>VLOOKUP(A770,'Employee Engagement Survey'!A661:D2130,4,FALSE)</f>
        <v>2</v>
      </c>
      <c r="AH770">
        <f>VLOOKUP(A770,'Employee Engagement Survey'!A661:E2130,5,FALSE)</f>
        <v>3</v>
      </c>
      <c r="AI770">
        <f t="shared" ref="AI770:AI833" si="67">AVERAGE(AE770:AH770)</f>
        <v>2.25</v>
      </c>
    </row>
    <row r="771" spans="1:35" hidden="1" x14ac:dyDescent="0.4">
      <c r="A771">
        <v>475</v>
      </c>
      <c r="B771" t="s">
        <v>34</v>
      </c>
      <c r="C771">
        <f t="shared" si="65"/>
        <v>1</v>
      </c>
      <c r="D771" t="s">
        <v>57</v>
      </c>
      <c r="E771">
        <f t="shared" si="66"/>
        <v>0</v>
      </c>
      <c r="F771" t="s">
        <v>40</v>
      </c>
      <c r="G771">
        <v>6</v>
      </c>
      <c r="H771" s="1">
        <v>68832</v>
      </c>
      <c r="I771" s="10">
        <v>0.12</v>
      </c>
      <c r="J771">
        <v>37.5</v>
      </c>
      <c r="K771" t="s">
        <v>26</v>
      </c>
      <c r="L771">
        <v>30</v>
      </c>
      <c r="M771" t="s">
        <v>47</v>
      </c>
      <c r="N771" t="s">
        <v>42</v>
      </c>
      <c r="O771" t="s">
        <v>35</v>
      </c>
      <c r="P771">
        <v>25</v>
      </c>
      <c r="Q771" t="s">
        <v>36</v>
      </c>
      <c r="R771" t="s">
        <v>45</v>
      </c>
      <c r="S771">
        <v>3</v>
      </c>
      <c r="T771">
        <v>1</v>
      </c>
      <c r="U771">
        <v>4</v>
      </c>
      <c r="V771">
        <v>2</v>
      </c>
      <c r="W771">
        <v>2</v>
      </c>
      <c r="X771">
        <v>2</v>
      </c>
      <c r="Y771">
        <v>2</v>
      </c>
      <c r="Z771">
        <v>2</v>
      </c>
      <c r="AA771" t="str">
        <f t="shared" ref="AA771:AA834" si="68">IF(W771&lt;=2,"Early Tenure",IF(W771&lt;=9,"Mid Tenure","Long Tenure"))</f>
        <v>Early Tenure</v>
      </c>
      <c r="AB771" s="5">
        <v>44877</v>
      </c>
      <c r="AC771">
        <f t="shared" ref="AC771:AC834" si="69">IF(AND(AB771&lt;&gt;"",AB771&gt;DATE(2024,1,1)),1,0)</f>
        <v>0</v>
      </c>
      <c r="AD771" t="s">
        <v>38</v>
      </c>
      <c r="AE771">
        <f>VLOOKUP(A771,'Employee Engagement Survey'!A662:B2131,2,FALSE)</f>
        <v>4</v>
      </c>
      <c r="AF771">
        <f>VLOOKUP(A771,'Employee Engagement Survey'!A662:C2131,3,FALSE)</f>
        <v>3</v>
      </c>
      <c r="AG771">
        <f>VLOOKUP(A771,'Employee Engagement Survey'!A662:D2131,4,FALSE)</f>
        <v>2</v>
      </c>
      <c r="AH771">
        <f>VLOOKUP(A771,'Employee Engagement Survey'!A662:E2131,5,FALSE)</f>
        <v>4</v>
      </c>
      <c r="AI771">
        <f t="shared" si="67"/>
        <v>3.25</v>
      </c>
    </row>
    <row r="772" spans="1:35" hidden="1" x14ac:dyDescent="0.4">
      <c r="A772">
        <v>941</v>
      </c>
      <c r="B772" t="s">
        <v>34</v>
      </c>
      <c r="C772">
        <f t="shared" si="65"/>
        <v>1</v>
      </c>
      <c r="D772" t="s">
        <v>39</v>
      </c>
      <c r="E772">
        <f t="shared" si="66"/>
        <v>0</v>
      </c>
      <c r="F772" t="s">
        <v>40</v>
      </c>
      <c r="G772">
        <v>4</v>
      </c>
      <c r="H772" s="1">
        <v>51948</v>
      </c>
      <c r="I772" s="10">
        <v>0.15</v>
      </c>
      <c r="J772">
        <v>37.5</v>
      </c>
      <c r="K772" t="s">
        <v>34</v>
      </c>
      <c r="L772">
        <v>31</v>
      </c>
      <c r="M772" t="s">
        <v>29</v>
      </c>
      <c r="N772" t="s">
        <v>42</v>
      </c>
      <c r="O772" t="s">
        <v>31</v>
      </c>
      <c r="P772">
        <v>7</v>
      </c>
      <c r="Q772" t="s">
        <v>51</v>
      </c>
      <c r="R772" t="s">
        <v>37</v>
      </c>
      <c r="S772">
        <v>3</v>
      </c>
      <c r="T772">
        <v>0</v>
      </c>
      <c r="U772">
        <v>13</v>
      </c>
      <c r="V772">
        <v>2</v>
      </c>
      <c r="W772">
        <v>7</v>
      </c>
      <c r="X772">
        <v>7</v>
      </c>
      <c r="Y772">
        <v>5</v>
      </c>
      <c r="Z772">
        <v>2</v>
      </c>
      <c r="AA772" t="str">
        <f t="shared" si="68"/>
        <v>Mid Tenure</v>
      </c>
      <c r="AB772" s="5">
        <v>45236</v>
      </c>
      <c r="AC772">
        <f t="shared" si="69"/>
        <v>0</v>
      </c>
      <c r="AD772" t="s">
        <v>38</v>
      </c>
      <c r="AE772">
        <f>VLOOKUP(A772,'Employee Engagement Survey'!A663:B2132,2,FALSE)</f>
        <v>2</v>
      </c>
      <c r="AF772">
        <f>VLOOKUP(A772,'Employee Engagement Survey'!A663:C2132,3,FALSE)</f>
        <v>3</v>
      </c>
      <c r="AG772">
        <f>VLOOKUP(A772,'Employee Engagement Survey'!A663:D2132,4,FALSE)</f>
        <v>2</v>
      </c>
      <c r="AH772">
        <f>VLOOKUP(A772,'Employee Engagement Survey'!A663:E2132,5,FALSE)</f>
        <v>4</v>
      </c>
      <c r="AI772">
        <f t="shared" si="67"/>
        <v>2.75</v>
      </c>
    </row>
    <row r="773" spans="1:35" hidden="1" x14ac:dyDescent="0.4">
      <c r="A773">
        <v>171</v>
      </c>
      <c r="B773" t="s">
        <v>34</v>
      </c>
      <c r="C773">
        <f t="shared" si="65"/>
        <v>1</v>
      </c>
      <c r="D773" t="s">
        <v>27</v>
      </c>
      <c r="E773">
        <f t="shared" si="66"/>
        <v>0</v>
      </c>
      <c r="F773" t="s">
        <v>28</v>
      </c>
      <c r="G773">
        <v>6</v>
      </c>
      <c r="H773" s="1">
        <v>68868</v>
      </c>
      <c r="I773" s="10">
        <v>0.12</v>
      </c>
      <c r="J773">
        <v>37.5</v>
      </c>
      <c r="K773" t="s">
        <v>34</v>
      </c>
      <c r="L773">
        <v>43</v>
      </c>
      <c r="M773" t="s">
        <v>47</v>
      </c>
      <c r="N773" t="s">
        <v>30</v>
      </c>
      <c r="O773" t="s">
        <v>44</v>
      </c>
      <c r="P773">
        <v>28</v>
      </c>
      <c r="Q773" t="s">
        <v>43</v>
      </c>
      <c r="R773" t="s">
        <v>33</v>
      </c>
      <c r="S773">
        <v>3</v>
      </c>
      <c r="T773">
        <v>0</v>
      </c>
      <c r="U773">
        <v>18</v>
      </c>
      <c r="V773">
        <v>2</v>
      </c>
      <c r="W773">
        <v>3</v>
      </c>
      <c r="X773">
        <v>2</v>
      </c>
      <c r="Y773">
        <v>1</v>
      </c>
      <c r="Z773">
        <v>2</v>
      </c>
      <c r="AA773" t="str">
        <f t="shared" si="68"/>
        <v>Mid Tenure</v>
      </c>
      <c r="AB773" s="5">
        <v>45195</v>
      </c>
      <c r="AC773">
        <f t="shared" si="69"/>
        <v>0</v>
      </c>
      <c r="AD773" t="s">
        <v>38</v>
      </c>
      <c r="AE773">
        <f>VLOOKUP(A773,'Employee Engagement Survey'!A664:B2133,2,FALSE)</f>
        <v>2</v>
      </c>
      <c r="AF773">
        <f>VLOOKUP(A773,'Employee Engagement Survey'!A664:C2133,3,FALSE)</f>
        <v>3</v>
      </c>
      <c r="AG773">
        <f>VLOOKUP(A773,'Employee Engagement Survey'!A664:D2133,4,FALSE)</f>
        <v>4</v>
      </c>
      <c r="AH773">
        <f>VLOOKUP(A773,'Employee Engagement Survey'!A664:E2133,5,FALSE)</f>
        <v>3</v>
      </c>
      <c r="AI773">
        <f t="shared" si="67"/>
        <v>3</v>
      </c>
    </row>
    <row r="774" spans="1:35" hidden="1" x14ac:dyDescent="0.4">
      <c r="A774">
        <v>945</v>
      </c>
      <c r="B774" t="s">
        <v>34</v>
      </c>
      <c r="C774">
        <f t="shared" si="65"/>
        <v>1</v>
      </c>
      <c r="D774" t="s">
        <v>27</v>
      </c>
      <c r="E774">
        <f t="shared" si="66"/>
        <v>0</v>
      </c>
      <c r="F774" t="s">
        <v>28</v>
      </c>
      <c r="G774">
        <v>4</v>
      </c>
      <c r="H774" s="1">
        <v>51108</v>
      </c>
      <c r="I774" s="10">
        <v>0.17</v>
      </c>
      <c r="J774">
        <v>37.5</v>
      </c>
      <c r="K774" t="s">
        <v>34</v>
      </c>
      <c r="L774">
        <v>48</v>
      </c>
      <c r="M774" t="s">
        <v>29</v>
      </c>
      <c r="N774" t="s">
        <v>42</v>
      </c>
      <c r="O774" t="s">
        <v>31</v>
      </c>
      <c r="P774">
        <v>20</v>
      </c>
      <c r="Q774" t="s">
        <v>51</v>
      </c>
      <c r="R774" t="s">
        <v>33</v>
      </c>
      <c r="S774">
        <v>3</v>
      </c>
      <c r="T774">
        <v>2</v>
      </c>
      <c r="U774">
        <v>13</v>
      </c>
      <c r="V774">
        <v>2</v>
      </c>
      <c r="W774">
        <v>0</v>
      </c>
      <c r="X774">
        <v>0</v>
      </c>
      <c r="Y774">
        <v>0</v>
      </c>
      <c r="Z774">
        <v>0</v>
      </c>
      <c r="AA774" t="str">
        <f t="shared" si="68"/>
        <v>Early Tenure</v>
      </c>
      <c r="AB774" s="5">
        <v>45306</v>
      </c>
      <c r="AC774">
        <f t="shared" si="69"/>
        <v>1</v>
      </c>
      <c r="AD774" t="s">
        <v>38</v>
      </c>
      <c r="AE774">
        <f>VLOOKUP(A774,'Employee Engagement Survey'!A665:B2134,2,FALSE)</f>
        <v>4</v>
      </c>
      <c r="AF774">
        <f>VLOOKUP(A774,'Employee Engagement Survey'!A665:C2134,3,FALSE)</f>
        <v>3</v>
      </c>
      <c r="AG774">
        <f>VLOOKUP(A774,'Employee Engagement Survey'!A665:D2134,4,FALSE)</f>
        <v>1</v>
      </c>
      <c r="AH774">
        <f>VLOOKUP(A774,'Employee Engagement Survey'!A665:E2134,5,FALSE)</f>
        <v>2</v>
      </c>
      <c r="AI774">
        <f t="shared" si="67"/>
        <v>2.5</v>
      </c>
    </row>
    <row r="775" spans="1:35" hidden="1" x14ac:dyDescent="0.4">
      <c r="A775">
        <v>949</v>
      </c>
      <c r="B775" t="s">
        <v>34</v>
      </c>
      <c r="C775">
        <f t="shared" si="65"/>
        <v>1</v>
      </c>
      <c r="D775" t="s">
        <v>27</v>
      </c>
      <c r="E775">
        <f t="shared" si="66"/>
        <v>0</v>
      </c>
      <c r="F775" t="s">
        <v>28</v>
      </c>
      <c r="G775">
        <v>6</v>
      </c>
      <c r="H775" s="1">
        <v>68136</v>
      </c>
      <c r="I775" s="10">
        <v>0.18</v>
      </c>
      <c r="J775">
        <v>37.5</v>
      </c>
      <c r="K775" t="s">
        <v>34</v>
      </c>
      <c r="L775">
        <v>36</v>
      </c>
      <c r="M775" t="s">
        <v>29</v>
      </c>
      <c r="N775" t="s">
        <v>30</v>
      </c>
      <c r="O775" t="s">
        <v>31</v>
      </c>
      <c r="P775">
        <v>7</v>
      </c>
      <c r="Q775" t="s">
        <v>51</v>
      </c>
      <c r="R775" t="s">
        <v>53</v>
      </c>
      <c r="S775">
        <v>3</v>
      </c>
      <c r="T775">
        <v>0</v>
      </c>
      <c r="U775">
        <v>8</v>
      </c>
      <c r="V775">
        <v>6</v>
      </c>
      <c r="W775">
        <v>6</v>
      </c>
      <c r="X775">
        <v>2</v>
      </c>
      <c r="Y775">
        <v>0</v>
      </c>
      <c r="Z775">
        <v>1</v>
      </c>
      <c r="AA775" t="str">
        <f t="shared" si="68"/>
        <v>Mid Tenure</v>
      </c>
      <c r="AB775" s="5">
        <v>44773</v>
      </c>
      <c r="AC775">
        <f t="shared" si="69"/>
        <v>0</v>
      </c>
      <c r="AD775" t="s">
        <v>38</v>
      </c>
      <c r="AE775">
        <f>VLOOKUP(A775,'Employee Engagement Survey'!A666:B2135,2,FALSE)</f>
        <v>2</v>
      </c>
      <c r="AF775">
        <f>VLOOKUP(A775,'Employee Engagement Survey'!A666:C2135,3,FALSE)</f>
        <v>4</v>
      </c>
      <c r="AG775">
        <f>VLOOKUP(A775,'Employee Engagement Survey'!A666:D2135,4,FALSE)</f>
        <v>3</v>
      </c>
      <c r="AH775">
        <f>VLOOKUP(A775,'Employee Engagement Survey'!A666:E2135,5,FALSE)</f>
        <v>3</v>
      </c>
      <c r="AI775">
        <f t="shared" si="67"/>
        <v>3</v>
      </c>
    </row>
    <row r="776" spans="1:35" hidden="1" x14ac:dyDescent="0.4">
      <c r="A776">
        <v>602</v>
      </c>
      <c r="B776" t="s">
        <v>34</v>
      </c>
      <c r="C776">
        <f t="shared" si="65"/>
        <v>1</v>
      </c>
      <c r="D776" t="s">
        <v>46</v>
      </c>
      <c r="E776">
        <f t="shared" si="66"/>
        <v>0</v>
      </c>
      <c r="F776" t="s">
        <v>28</v>
      </c>
      <c r="G776">
        <v>6</v>
      </c>
      <c r="H776" s="1">
        <v>69060</v>
      </c>
      <c r="I776" s="10">
        <v>0.11</v>
      </c>
      <c r="J776">
        <v>37.5</v>
      </c>
      <c r="K776" t="s">
        <v>34</v>
      </c>
      <c r="L776">
        <v>39</v>
      </c>
      <c r="M776" t="s">
        <v>47</v>
      </c>
      <c r="N776" t="s">
        <v>42</v>
      </c>
      <c r="O776" t="s">
        <v>44</v>
      </c>
      <c r="P776">
        <v>8</v>
      </c>
      <c r="Q776" t="s">
        <v>32</v>
      </c>
      <c r="R776" t="s">
        <v>37</v>
      </c>
      <c r="S776">
        <v>3</v>
      </c>
      <c r="T776">
        <v>1</v>
      </c>
      <c r="U776">
        <v>8</v>
      </c>
      <c r="V776">
        <v>3</v>
      </c>
      <c r="W776">
        <v>8</v>
      </c>
      <c r="X776">
        <v>3</v>
      </c>
      <c r="Y776">
        <v>0</v>
      </c>
      <c r="Z776">
        <v>7</v>
      </c>
      <c r="AA776" t="str">
        <f t="shared" si="68"/>
        <v>Mid Tenure</v>
      </c>
      <c r="AB776" s="5">
        <v>45778</v>
      </c>
      <c r="AC776">
        <f t="shared" si="69"/>
        <v>1</v>
      </c>
      <c r="AD776" t="s">
        <v>38</v>
      </c>
      <c r="AE776">
        <f>VLOOKUP(A776,'Employee Engagement Survey'!A668:B2137,2,FALSE)</f>
        <v>3</v>
      </c>
      <c r="AF776">
        <f>VLOOKUP(A776,'Employee Engagement Survey'!A668:C2137,3,FALSE)</f>
        <v>3</v>
      </c>
      <c r="AG776">
        <f>VLOOKUP(A776,'Employee Engagement Survey'!A668:D2137,4,FALSE)</f>
        <v>1</v>
      </c>
      <c r="AH776">
        <f>VLOOKUP(A776,'Employee Engagement Survey'!A668:E2137,5,FALSE)</f>
        <v>3</v>
      </c>
      <c r="AI776">
        <f t="shared" si="67"/>
        <v>2.5</v>
      </c>
    </row>
    <row r="777" spans="1:35" hidden="1" x14ac:dyDescent="0.4">
      <c r="A777">
        <v>954</v>
      </c>
      <c r="B777" t="s">
        <v>34</v>
      </c>
      <c r="C777">
        <f t="shared" si="65"/>
        <v>1</v>
      </c>
      <c r="D777" t="s">
        <v>57</v>
      </c>
      <c r="E777">
        <f t="shared" si="66"/>
        <v>0</v>
      </c>
      <c r="F777" t="s">
        <v>40</v>
      </c>
      <c r="G777">
        <v>9</v>
      </c>
      <c r="H777" s="1">
        <v>128460</v>
      </c>
      <c r="I777" s="10">
        <v>0.12</v>
      </c>
      <c r="J777">
        <v>37.5</v>
      </c>
      <c r="K777" t="s">
        <v>34</v>
      </c>
      <c r="L777">
        <v>40</v>
      </c>
      <c r="M777" t="s">
        <v>29</v>
      </c>
      <c r="N777" t="s">
        <v>48</v>
      </c>
      <c r="O777" t="s">
        <v>31</v>
      </c>
      <c r="P777">
        <v>10</v>
      </c>
      <c r="Q777" t="s">
        <v>51</v>
      </c>
      <c r="R777" t="s">
        <v>56</v>
      </c>
      <c r="S777">
        <v>3</v>
      </c>
      <c r="T777">
        <v>1</v>
      </c>
      <c r="U777">
        <v>11</v>
      </c>
      <c r="V777">
        <v>2</v>
      </c>
      <c r="W777">
        <v>1</v>
      </c>
      <c r="X777">
        <v>0</v>
      </c>
      <c r="Y777">
        <v>0</v>
      </c>
      <c r="Z777">
        <v>0</v>
      </c>
      <c r="AA777" t="str">
        <f t="shared" si="68"/>
        <v>Early Tenure</v>
      </c>
      <c r="AB777" s="5">
        <v>45925</v>
      </c>
      <c r="AC777">
        <f t="shared" si="69"/>
        <v>1</v>
      </c>
      <c r="AD777" t="s">
        <v>38</v>
      </c>
      <c r="AE777">
        <f>VLOOKUP(A777,'Employee Engagement Survey'!A669:B2138,2,FALSE)</f>
        <v>1</v>
      </c>
      <c r="AF777">
        <f>VLOOKUP(A777,'Employee Engagement Survey'!A669:C2138,3,FALSE)</f>
        <v>2</v>
      </c>
      <c r="AG777">
        <f>VLOOKUP(A777,'Employee Engagement Survey'!A669:D2138,4,FALSE)</f>
        <v>2</v>
      </c>
      <c r="AH777">
        <f>VLOOKUP(A777,'Employee Engagement Survey'!A669:E2138,5,FALSE)</f>
        <v>2</v>
      </c>
      <c r="AI777">
        <f t="shared" si="67"/>
        <v>1.75</v>
      </c>
    </row>
    <row r="778" spans="1:35" hidden="1" x14ac:dyDescent="0.4">
      <c r="A778">
        <v>1249</v>
      </c>
      <c r="B778" t="s">
        <v>34</v>
      </c>
      <c r="C778">
        <f t="shared" si="65"/>
        <v>1</v>
      </c>
      <c r="D778" t="s">
        <v>27</v>
      </c>
      <c r="E778">
        <f t="shared" si="66"/>
        <v>0</v>
      </c>
      <c r="F778" t="s">
        <v>28</v>
      </c>
      <c r="G778">
        <v>6</v>
      </c>
      <c r="H778" s="1">
        <v>69120</v>
      </c>
      <c r="I778" s="10">
        <v>0.15</v>
      </c>
      <c r="J778">
        <v>37.5</v>
      </c>
      <c r="K778" t="s">
        <v>34</v>
      </c>
      <c r="L778">
        <v>29</v>
      </c>
      <c r="M778" t="s">
        <v>47</v>
      </c>
      <c r="N778" t="s">
        <v>48</v>
      </c>
      <c r="O778" t="s">
        <v>31</v>
      </c>
      <c r="P778">
        <v>1</v>
      </c>
      <c r="Q778" t="s">
        <v>43</v>
      </c>
      <c r="R778" t="s">
        <v>37</v>
      </c>
      <c r="S778">
        <v>3</v>
      </c>
      <c r="T778">
        <v>3</v>
      </c>
      <c r="U778">
        <v>3</v>
      </c>
      <c r="V778">
        <v>5</v>
      </c>
      <c r="W778">
        <v>3</v>
      </c>
      <c r="X778">
        <v>2</v>
      </c>
      <c r="Y778">
        <v>1</v>
      </c>
      <c r="Z778">
        <v>2</v>
      </c>
      <c r="AA778" t="str">
        <f t="shared" si="68"/>
        <v>Mid Tenure</v>
      </c>
      <c r="AB778" s="5">
        <v>44614</v>
      </c>
      <c r="AC778">
        <f t="shared" si="69"/>
        <v>0</v>
      </c>
      <c r="AD778" t="s">
        <v>38</v>
      </c>
      <c r="AE778">
        <f>VLOOKUP(A778,'Employee Engagement Survey'!A670:B2139,2,FALSE)</f>
        <v>1</v>
      </c>
      <c r="AF778">
        <f>VLOOKUP(A778,'Employee Engagement Survey'!A670:C2139,3,FALSE)</f>
        <v>4</v>
      </c>
      <c r="AG778">
        <f>VLOOKUP(A778,'Employee Engagement Survey'!A670:D2139,4,FALSE)</f>
        <v>1</v>
      </c>
      <c r="AH778">
        <f>VLOOKUP(A778,'Employee Engagement Survey'!A670:E2139,5,FALSE)</f>
        <v>3</v>
      </c>
      <c r="AI778">
        <f t="shared" si="67"/>
        <v>2.25</v>
      </c>
    </row>
    <row r="779" spans="1:35" hidden="1" x14ac:dyDescent="0.4">
      <c r="A779">
        <v>1646</v>
      </c>
      <c r="B779" t="s">
        <v>34</v>
      </c>
      <c r="C779">
        <f t="shared" si="65"/>
        <v>1</v>
      </c>
      <c r="D779" t="s">
        <v>27</v>
      </c>
      <c r="E779">
        <f t="shared" si="66"/>
        <v>0</v>
      </c>
      <c r="F779" t="s">
        <v>28</v>
      </c>
      <c r="G779">
        <v>6</v>
      </c>
      <c r="H779" s="1">
        <v>69120</v>
      </c>
      <c r="I779" s="10">
        <v>0.13</v>
      </c>
      <c r="J779">
        <v>37.5</v>
      </c>
      <c r="K779" t="s">
        <v>26</v>
      </c>
      <c r="L779">
        <v>24</v>
      </c>
      <c r="M779" t="s">
        <v>47</v>
      </c>
      <c r="N779" t="s">
        <v>30</v>
      </c>
      <c r="O779" t="s">
        <v>44</v>
      </c>
      <c r="P779">
        <v>2</v>
      </c>
      <c r="Q779" t="s">
        <v>32</v>
      </c>
      <c r="R779" t="s">
        <v>45</v>
      </c>
      <c r="S779">
        <v>3</v>
      </c>
      <c r="T779">
        <v>0</v>
      </c>
      <c r="U779">
        <v>6</v>
      </c>
      <c r="V779">
        <v>2</v>
      </c>
      <c r="W779">
        <v>6</v>
      </c>
      <c r="X779">
        <v>3</v>
      </c>
      <c r="Y779">
        <v>1</v>
      </c>
      <c r="Z779">
        <v>3</v>
      </c>
      <c r="AA779" t="str">
        <f t="shared" si="68"/>
        <v>Mid Tenure</v>
      </c>
      <c r="AB779" s="5">
        <v>45006</v>
      </c>
      <c r="AC779">
        <f t="shared" si="69"/>
        <v>0</v>
      </c>
      <c r="AD779" t="s">
        <v>38</v>
      </c>
      <c r="AE779">
        <f>VLOOKUP(A779,'Employee Engagement Survey'!A671:B2140,2,FALSE)</f>
        <v>1</v>
      </c>
      <c r="AF779">
        <f>VLOOKUP(A779,'Employee Engagement Survey'!A671:C2140,3,FALSE)</f>
        <v>4</v>
      </c>
      <c r="AG779">
        <f>VLOOKUP(A779,'Employee Engagement Survey'!A671:D2140,4,FALSE)</f>
        <v>3</v>
      </c>
      <c r="AH779">
        <f>VLOOKUP(A779,'Employee Engagement Survey'!A671:E2140,5,FALSE)</f>
        <v>3</v>
      </c>
      <c r="AI779">
        <f t="shared" si="67"/>
        <v>2.75</v>
      </c>
    </row>
    <row r="780" spans="1:35" hidden="1" x14ac:dyDescent="0.4">
      <c r="A780">
        <v>956</v>
      </c>
      <c r="B780" t="s">
        <v>34</v>
      </c>
      <c r="C780">
        <f t="shared" si="65"/>
        <v>1</v>
      </c>
      <c r="D780" t="s">
        <v>57</v>
      </c>
      <c r="E780">
        <f t="shared" si="66"/>
        <v>0</v>
      </c>
      <c r="F780" t="s">
        <v>40</v>
      </c>
      <c r="G780">
        <v>6</v>
      </c>
      <c r="H780" s="1">
        <v>63528</v>
      </c>
      <c r="I780" s="10">
        <v>0.12</v>
      </c>
      <c r="J780">
        <v>37.5</v>
      </c>
      <c r="K780" t="s">
        <v>34</v>
      </c>
      <c r="L780">
        <v>26</v>
      </c>
      <c r="M780" t="s">
        <v>29</v>
      </c>
      <c r="N780" t="s">
        <v>30</v>
      </c>
      <c r="O780" t="s">
        <v>44</v>
      </c>
      <c r="P780">
        <v>1</v>
      </c>
      <c r="Q780" t="s">
        <v>43</v>
      </c>
      <c r="R780" t="s">
        <v>33</v>
      </c>
      <c r="S780">
        <v>3</v>
      </c>
      <c r="T780">
        <v>0</v>
      </c>
      <c r="U780">
        <v>7</v>
      </c>
      <c r="V780">
        <v>2</v>
      </c>
      <c r="W780">
        <v>7</v>
      </c>
      <c r="X780">
        <v>7</v>
      </c>
      <c r="Y780">
        <v>0</v>
      </c>
      <c r="Z780">
        <v>7</v>
      </c>
      <c r="AA780" t="str">
        <f t="shared" si="68"/>
        <v>Mid Tenure</v>
      </c>
      <c r="AB780" s="5">
        <v>45389</v>
      </c>
      <c r="AC780">
        <f t="shared" si="69"/>
        <v>1</v>
      </c>
      <c r="AD780" t="s">
        <v>38</v>
      </c>
      <c r="AE780">
        <f>VLOOKUP(A780,'Employee Engagement Survey'!A672:B2141,2,FALSE)</f>
        <v>3</v>
      </c>
      <c r="AF780">
        <f>VLOOKUP(A780,'Employee Engagement Survey'!A672:C2141,3,FALSE)</f>
        <v>1</v>
      </c>
      <c r="AG780">
        <f>VLOOKUP(A780,'Employee Engagement Survey'!A672:D2141,4,FALSE)</f>
        <v>2</v>
      </c>
      <c r="AH780">
        <f>VLOOKUP(A780,'Employee Engagement Survey'!A672:E2141,5,FALSE)</f>
        <v>3</v>
      </c>
      <c r="AI780">
        <f t="shared" si="67"/>
        <v>2.25</v>
      </c>
    </row>
    <row r="781" spans="1:35" x14ac:dyDescent="0.4">
      <c r="A781">
        <v>920</v>
      </c>
      <c r="B781" t="s">
        <v>34</v>
      </c>
      <c r="C781">
        <f t="shared" si="65"/>
        <v>1</v>
      </c>
      <c r="D781" t="s">
        <v>54</v>
      </c>
      <c r="E781">
        <f t="shared" si="66"/>
        <v>1</v>
      </c>
      <c r="F781" t="s">
        <v>28</v>
      </c>
      <c r="G781">
        <v>6</v>
      </c>
      <c r="H781" s="1">
        <v>69180</v>
      </c>
      <c r="I781" s="10">
        <v>0.21</v>
      </c>
      <c r="J781">
        <v>37.5</v>
      </c>
      <c r="K781" t="s">
        <v>34</v>
      </c>
      <c r="L781">
        <v>43</v>
      </c>
      <c r="M781" t="s">
        <v>47</v>
      </c>
      <c r="N781" t="s">
        <v>48</v>
      </c>
      <c r="O781" t="s">
        <v>31</v>
      </c>
      <c r="P781">
        <v>8</v>
      </c>
      <c r="Q781" t="s">
        <v>43</v>
      </c>
      <c r="R781" t="s">
        <v>37</v>
      </c>
      <c r="S781">
        <v>4</v>
      </c>
      <c r="T781">
        <v>1</v>
      </c>
      <c r="U781">
        <v>4</v>
      </c>
      <c r="V781">
        <v>2</v>
      </c>
      <c r="W781">
        <v>1</v>
      </c>
      <c r="X781">
        <v>0</v>
      </c>
      <c r="Y781">
        <v>0</v>
      </c>
      <c r="Z781">
        <v>0</v>
      </c>
      <c r="AA781" t="str">
        <f t="shared" si="68"/>
        <v>Early Tenure</v>
      </c>
      <c r="AB781" s="5">
        <v>45418</v>
      </c>
      <c r="AC781">
        <f t="shared" si="69"/>
        <v>1</v>
      </c>
      <c r="AD781" t="s">
        <v>49</v>
      </c>
      <c r="AE781">
        <f>VLOOKUP(A781,'Employee Engagement Survey'!A673:B2142,2,FALSE)</f>
        <v>1</v>
      </c>
      <c r="AF781">
        <f>VLOOKUP(A781,'Employee Engagement Survey'!A673:C2142,3,FALSE)</f>
        <v>2</v>
      </c>
      <c r="AG781">
        <f>VLOOKUP(A781,'Employee Engagement Survey'!A673:D2142,4,FALSE)</f>
        <v>3</v>
      </c>
      <c r="AH781">
        <f>VLOOKUP(A781,'Employee Engagement Survey'!A673:E2142,5,FALSE)</f>
        <v>4</v>
      </c>
      <c r="AI781">
        <f t="shared" si="67"/>
        <v>2.5</v>
      </c>
    </row>
    <row r="782" spans="1:35" hidden="1" x14ac:dyDescent="0.4">
      <c r="A782">
        <v>957</v>
      </c>
      <c r="B782" t="s">
        <v>34</v>
      </c>
      <c r="C782">
        <f t="shared" si="65"/>
        <v>1</v>
      </c>
      <c r="D782" t="s">
        <v>46</v>
      </c>
      <c r="E782">
        <f t="shared" si="66"/>
        <v>0</v>
      </c>
      <c r="F782" t="s">
        <v>28</v>
      </c>
      <c r="G782">
        <v>6</v>
      </c>
      <c r="H782" s="1">
        <v>68652</v>
      </c>
      <c r="I782" s="10">
        <v>0.13</v>
      </c>
      <c r="J782">
        <v>37.5</v>
      </c>
      <c r="K782" t="s">
        <v>26</v>
      </c>
      <c r="L782">
        <v>41</v>
      </c>
      <c r="M782" t="s">
        <v>29</v>
      </c>
      <c r="N782" t="s">
        <v>30</v>
      </c>
      <c r="O782" t="s">
        <v>31</v>
      </c>
      <c r="P782">
        <v>6</v>
      </c>
      <c r="Q782" t="s">
        <v>43</v>
      </c>
      <c r="R782" t="s">
        <v>33</v>
      </c>
      <c r="S782">
        <v>3</v>
      </c>
      <c r="T782">
        <v>0</v>
      </c>
      <c r="U782">
        <v>20</v>
      </c>
      <c r="V782">
        <v>3</v>
      </c>
      <c r="W782">
        <v>18</v>
      </c>
      <c r="X782">
        <v>13</v>
      </c>
      <c r="Y782">
        <v>2</v>
      </c>
      <c r="Z782">
        <v>17</v>
      </c>
      <c r="AA782" t="str">
        <f t="shared" si="68"/>
        <v>Long Tenure</v>
      </c>
      <c r="AB782" s="5">
        <v>44750</v>
      </c>
      <c r="AC782">
        <f t="shared" si="69"/>
        <v>0</v>
      </c>
      <c r="AD782" t="s">
        <v>38</v>
      </c>
      <c r="AE782">
        <f>VLOOKUP(A782,'Employee Engagement Survey'!A674:B2143,2,FALSE)</f>
        <v>4</v>
      </c>
      <c r="AF782">
        <f>VLOOKUP(A782,'Employee Engagement Survey'!A674:C2143,3,FALSE)</f>
        <v>1</v>
      </c>
      <c r="AG782">
        <f>VLOOKUP(A782,'Employee Engagement Survey'!A674:D2143,4,FALSE)</f>
        <v>3</v>
      </c>
      <c r="AH782">
        <f>VLOOKUP(A782,'Employee Engagement Survey'!A674:E2143,5,FALSE)</f>
        <v>3</v>
      </c>
      <c r="AI782">
        <f t="shared" si="67"/>
        <v>2.75</v>
      </c>
    </row>
    <row r="783" spans="1:35" hidden="1" x14ac:dyDescent="0.4">
      <c r="A783">
        <v>1481</v>
      </c>
      <c r="B783" t="s">
        <v>34</v>
      </c>
      <c r="C783">
        <f t="shared" si="65"/>
        <v>1</v>
      </c>
      <c r="D783" t="s">
        <v>57</v>
      </c>
      <c r="E783">
        <f t="shared" si="66"/>
        <v>0</v>
      </c>
      <c r="F783" t="s">
        <v>40</v>
      </c>
      <c r="G783">
        <v>6</v>
      </c>
      <c r="H783" s="1">
        <v>69216</v>
      </c>
      <c r="I783" s="10">
        <v>0.12</v>
      </c>
      <c r="J783">
        <v>37.5</v>
      </c>
      <c r="K783" t="s">
        <v>34</v>
      </c>
      <c r="L783">
        <v>44</v>
      </c>
      <c r="M783" t="s">
        <v>47</v>
      </c>
      <c r="N783" t="s">
        <v>42</v>
      </c>
      <c r="O783" t="s">
        <v>44</v>
      </c>
      <c r="P783">
        <v>1</v>
      </c>
      <c r="Q783" t="s">
        <v>58</v>
      </c>
      <c r="R783" t="s">
        <v>56</v>
      </c>
      <c r="S783">
        <v>3</v>
      </c>
      <c r="T783">
        <v>1</v>
      </c>
      <c r="U783">
        <v>11</v>
      </c>
      <c r="V783">
        <v>4</v>
      </c>
      <c r="W783">
        <v>1</v>
      </c>
      <c r="X783">
        <v>0</v>
      </c>
      <c r="Y783">
        <v>0</v>
      </c>
      <c r="Z783">
        <v>0</v>
      </c>
      <c r="AA783" t="str">
        <f t="shared" si="68"/>
        <v>Early Tenure</v>
      </c>
      <c r="AB783" s="5">
        <v>45007</v>
      </c>
      <c r="AC783">
        <f t="shared" si="69"/>
        <v>0</v>
      </c>
      <c r="AD783" t="s">
        <v>38</v>
      </c>
      <c r="AE783">
        <f>VLOOKUP(A783,'Employee Engagement Survey'!A675:B2144,2,FALSE)</f>
        <v>1</v>
      </c>
      <c r="AF783">
        <f>VLOOKUP(A783,'Employee Engagement Survey'!A675:C2144,3,FALSE)</f>
        <v>3</v>
      </c>
      <c r="AG783">
        <f>VLOOKUP(A783,'Employee Engagement Survey'!A675:D2144,4,FALSE)</f>
        <v>3</v>
      </c>
      <c r="AH783">
        <f>VLOOKUP(A783,'Employee Engagement Survey'!A675:E2144,5,FALSE)</f>
        <v>2</v>
      </c>
      <c r="AI783">
        <f t="shared" si="67"/>
        <v>2.25</v>
      </c>
    </row>
    <row r="784" spans="1:35" hidden="1" x14ac:dyDescent="0.4">
      <c r="A784">
        <v>958</v>
      </c>
      <c r="B784" t="s">
        <v>34</v>
      </c>
      <c r="C784">
        <f t="shared" si="65"/>
        <v>1</v>
      </c>
      <c r="D784" t="s">
        <v>46</v>
      </c>
      <c r="E784">
        <f t="shared" si="66"/>
        <v>0</v>
      </c>
      <c r="F784" t="s">
        <v>28</v>
      </c>
      <c r="G784">
        <v>4</v>
      </c>
      <c r="H784" s="1">
        <v>54228</v>
      </c>
      <c r="I784" s="10">
        <v>0.21</v>
      </c>
      <c r="J784">
        <v>37.5</v>
      </c>
      <c r="K784" t="s">
        <v>34</v>
      </c>
      <c r="L784">
        <v>36</v>
      </c>
      <c r="M784" t="s">
        <v>29</v>
      </c>
      <c r="N784" t="s">
        <v>30</v>
      </c>
      <c r="O784" t="s">
        <v>31</v>
      </c>
      <c r="P784">
        <v>2</v>
      </c>
      <c r="Q784" t="s">
        <v>51</v>
      </c>
      <c r="R784" t="s">
        <v>33</v>
      </c>
      <c r="S784">
        <v>4</v>
      </c>
      <c r="T784">
        <v>0</v>
      </c>
      <c r="U784">
        <v>16</v>
      </c>
      <c r="V784">
        <v>6</v>
      </c>
      <c r="W784">
        <v>11</v>
      </c>
      <c r="X784">
        <v>8</v>
      </c>
      <c r="Y784">
        <v>3</v>
      </c>
      <c r="Z784">
        <v>9</v>
      </c>
      <c r="AA784" t="str">
        <f t="shared" si="68"/>
        <v>Long Tenure</v>
      </c>
      <c r="AB784" s="5">
        <v>45102</v>
      </c>
      <c r="AC784">
        <f t="shared" si="69"/>
        <v>0</v>
      </c>
      <c r="AD784" t="s">
        <v>49</v>
      </c>
      <c r="AE784">
        <f>VLOOKUP(A784,'Employee Engagement Survey'!A676:B2145,2,FALSE)</f>
        <v>3</v>
      </c>
      <c r="AF784">
        <f>VLOOKUP(A784,'Employee Engagement Survey'!A676:C2145,3,FALSE)</f>
        <v>3</v>
      </c>
      <c r="AG784">
        <f>VLOOKUP(A784,'Employee Engagement Survey'!A676:D2145,4,FALSE)</f>
        <v>3</v>
      </c>
      <c r="AH784">
        <f>VLOOKUP(A784,'Employee Engagement Survey'!A676:E2145,5,FALSE)</f>
        <v>3</v>
      </c>
      <c r="AI784">
        <f t="shared" si="67"/>
        <v>3</v>
      </c>
    </row>
    <row r="785" spans="1:35" hidden="1" x14ac:dyDescent="0.4">
      <c r="A785">
        <v>1870</v>
      </c>
      <c r="B785" t="s">
        <v>34</v>
      </c>
      <c r="C785">
        <f t="shared" si="65"/>
        <v>1</v>
      </c>
      <c r="D785" t="s">
        <v>27</v>
      </c>
      <c r="E785">
        <f t="shared" si="66"/>
        <v>0</v>
      </c>
      <c r="F785" t="s">
        <v>28</v>
      </c>
      <c r="G785">
        <v>6</v>
      </c>
      <c r="H785" s="1">
        <v>69288</v>
      </c>
      <c r="I785" s="10">
        <v>0.19</v>
      </c>
      <c r="J785">
        <v>37.5</v>
      </c>
      <c r="K785" t="s">
        <v>34</v>
      </c>
      <c r="L785">
        <v>27</v>
      </c>
      <c r="M785" t="s">
        <v>47</v>
      </c>
      <c r="N785" t="s">
        <v>42</v>
      </c>
      <c r="O785" t="s">
        <v>44</v>
      </c>
      <c r="P785">
        <v>15</v>
      </c>
      <c r="Q785" t="s">
        <v>43</v>
      </c>
      <c r="R785" t="s">
        <v>37</v>
      </c>
      <c r="S785">
        <v>3</v>
      </c>
      <c r="T785">
        <v>1</v>
      </c>
      <c r="U785">
        <v>8</v>
      </c>
      <c r="V785">
        <v>2</v>
      </c>
      <c r="W785">
        <v>7</v>
      </c>
      <c r="X785">
        <v>6</v>
      </c>
      <c r="Y785">
        <v>7</v>
      </c>
      <c r="Z785">
        <v>3</v>
      </c>
      <c r="AA785" t="str">
        <f t="shared" si="68"/>
        <v>Mid Tenure</v>
      </c>
      <c r="AB785" s="5">
        <v>45259</v>
      </c>
      <c r="AC785">
        <f t="shared" si="69"/>
        <v>0</v>
      </c>
      <c r="AD785" t="s">
        <v>38</v>
      </c>
      <c r="AE785">
        <f>VLOOKUP(A785,'Employee Engagement Survey'!A677:B2146,2,FALSE)</f>
        <v>4</v>
      </c>
      <c r="AF785">
        <f>VLOOKUP(A785,'Employee Engagement Survey'!A677:C2146,3,FALSE)</f>
        <v>1</v>
      </c>
      <c r="AG785">
        <f>VLOOKUP(A785,'Employee Engagement Survey'!A677:D2146,4,FALSE)</f>
        <v>4</v>
      </c>
      <c r="AH785">
        <f>VLOOKUP(A785,'Employee Engagement Survey'!A677:E2146,5,FALSE)</f>
        <v>2</v>
      </c>
      <c r="AI785">
        <f t="shared" si="67"/>
        <v>2.75</v>
      </c>
    </row>
    <row r="786" spans="1:35" hidden="1" x14ac:dyDescent="0.4">
      <c r="A786">
        <v>846</v>
      </c>
      <c r="B786" t="s">
        <v>34</v>
      </c>
      <c r="C786">
        <f t="shared" si="65"/>
        <v>1</v>
      </c>
      <c r="D786" t="s">
        <v>57</v>
      </c>
      <c r="E786">
        <f t="shared" si="66"/>
        <v>0</v>
      </c>
      <c r="F786" t="s">
        <v>40</v>
      </c>
      <c r="G786">
        <v>6</v>
      </c>
      <c r="H786" s="1">
        <v>69348</v>
      </c>
      <c r="I786" s="10">
        <v>0.2</v>
      </c>
      <c r="J786">
        <v>37.5</v>
      </c>
      <c r="K786" t="s">
        <v>26</v>
      </c>
      <c r="L786">
        <v>28</v>
      </c>
      <c r="M786" t="s">
        <v>47</v>
      </c>
      <c r="N786" t="s">
        <v>42</v>
      </c>
      <c r="O786" t="s">
        <v>31</v>
      </c>
      <c r="P786">
        <v>2</v>
      </c>
      <c r="Q786" t="s">
        <v>51</v>
      </c>
      <c r="R786" t="s">
        <v>56</v>
      </c>
      <c r="S786">
        <v>4</v>
      </c>
      <c r="T786">
        <v>0</v>
      </c>
      <c r="U786">
        <v>8</v>
      </c>
      <c r="V786">
        <v>2</v>
      </c>
      <c r="W786">
        <v>8</v>
      </c>
      <c r="X786">
        <v>7</v>
      </c>
      <c r="Y786">
        <v>7</v>
      </c>
      <c r="Z786">
        <v>5</v>
      </c>
      <c r="AA786" t="str">
        <f t="shared" si="68"/>
        <v>Mid Tenure</v>
      </c>
      <c r="AB786" s="5">
        <v>45190</v>
      </c>
      <c r="AC786">
        <f t="shared" si="69"/>
        <v>0</v>
      </c>
      <c r="AD786" t="s">
        <v>49</v>
      </c>
      <c r="AE786">
        <f>VLOOKUP(A786,'Employee Engagement Survey'!A680:B2149,2,FALSE)</f>
        <v>2</v>
      </c>
      <c r="AF786">
        <f>VLOOKUP(A786,'Employee Engagement Survey'!A680:C2149,3,FALSE)</f>
        <v>2</v>
      </c>
      <c r="AG786">
        <f>VLOOKUP(A786,'Employee Engagement Survey'!A680:D2149,4,FALSE)</f>
        <v>1</v>
      </c>
      <c r="AH786">
        <f>VLOOKUP(A786,'Employee Engagement Survey'!A680:E2149,5,FALSE)</f>
        <v>3</v>
      </c>
      <c r="AI786">
        <f t="shared" si="67"/>
        <v>2</v>
      </c>
    </row>
    <row r="787" spans="1:35" hidden="1" x14ac:dyDescent="0.4">
      <c r="A787">
        <v>1428</v>
      </c>
      <c r="B787" t="s">
        <v>34</v>
      </c>
      <c r="C787">
        <f t="shared" si="65"/>
        <v>1</v>
      </c>
      <c r="D787" t="s">
        <v>57</v>
      </c>
      <c r="E787">
        <f t="shared" si="66"/>
        <v>0</v>
      </c>
      <c r="F787" t="s">
        <v>40</v>
      </c>
      <c r="G787">
        <v>6</v>
      </c>
      <c r="H787" s="1">
        <v>69348</v>
      </c>
      <c r="I787" s="10">
        <v>0.14000000000000001</v>
      </c>
      <c r="J787">
        <v>37.5</v>
      </c>
      <c r="K787" t="s">
        <v>34</v>
      </c>
      <c r="L787">
        <v>30</v>
      </c>
      <c r="M787" t="s">
        <v>47</v>
      </c>
      <c r="N787" t="s">
        <v>48</v>
      </c>
      <c r="O787" t="s">
        <v>31</v>
      </c>
      <c r="P787">
        <v>7</v>
      </c>
      <c r="Q787" t="s">
        <v>51</v>
      </c>
      <c r="R787" t="s">
        <v>56</v>
      </c>
      <c r="S787">
        <v>3</v>
      </c>
      <c r="T787">
        <v>2</v>
      </c>
      <c r="U787">
        <v>8</v>
      </c>
      <c r="V787">
        <v>3</v>
      </c>
      <c r="W787">
        <v>3</v>
      </c>
      <c r="X787">
        <v>2</v>
      </c>
      <c r="Y787">
        <v>0</v>
      </c>
      <c r="Z787">
        <v>2</v>
      </c>
      <c r="AA787" t="str">
        <f t="shared" si="68"/>
        <v>Mid Tenure</v>
      </c>
      <c r="AB787" s="5">
        <v>45007</v>
      </c>
      <c r="AC787">
        <f t="shared" si="69"/>
        <v>0</v>
      </c>
      <c r="AD787" t="s">
        <v>49</v>
      </c>
      <c r="AE787">
        <f>VLOOKUP(A787,'Employee Engagement Survey'!A681:B2150,2,FALSE)</f>
        <v>4</v>
      </c>
      <c r="AF787">
        <f>VLOOKUP(A787,'Employee Engagement Survey'!A681:C2150,3,FALSE)</f>
        <v>1</v>
      </c>
      <c r="AG787">
        <f>VLOOKUP(A787,'Employee Engagement Survey'!A681:D2150,4,FALSE)</f>
        <v>2</v>
      </c>
      <c r="AH787">
        <f>VLOOKUP(A787,'Employee Engagement Survey'!A681:E2150,5,FALSE)</f>
        <v>3</v>
      </c>
      <c r="AI787">
        <f t="shared" si="67"/>
        <v>2.5</v>
      </c>
    </row>
    <row r="788" spans="1:35" hidden="1" x14ac:dyDescent="0.4">
      <c r="A788">
        <v>578</v>
      </c>
      <c r="B788" t="s">
        <v>34</v>
      </c>
      <c r="C788">
        <f t="shared" si="65"/>
        <v>1</v>
      </c>
      <c r="D788" t="s">
        <v>46</v>
      </c>
      <c r="E788">
        <f t="shared" si="66"/>
        <v>0</v>
      </c>
      <c r="F788" t="s">
        <v>28</v>
      </c>
      <c r="G788">
        <v>6</v>
      </c>
      <c r="H788" s="1">
        <v>69360</v>
      </c>
      <c r="I788" s="10">
        <v>0.11</v>
      </c>
      <c r="J788">
        <v>37.5</v>
      </c>
      <c r="K788" t="s">
        <v>34</v>
      </c>
      <c r="L788">
        <v>54</v>
      </c>
      <c r="M788" t="s">
        <v>47</v>
      </c>
      <c r="N788" t="s">
        <v>30</v>
      </c>
      <c r="O788" t="s">
        <v>31</v>
      </c>
      <c r="P788">
        <v>8</v>
      </c>
      <c r="Q788" t="s">
        <v>51</v>
      </c>
      <c r="R788" t="s">
        <v>37</v>
      </c>
      <c r="S788">
        <v>3</v>
      </c>
      <c r="T788">
        <v>0</v>
      </c>
      <c r="U788">
        <v>19</v>
      </c>
      <c r="V788">
        <v>3</v>
      </c>
      <c r="W788">
        <v>1</v>
      </c>
      <c r="X788">
        <v>0</v>
      </c>
      <c r="Y788">
        <v>0</v>
      </c>
      <c r="Z788">
        <v>0</v>
      </c>
      <c r="AA788" t="str">
        <f t="shared" si="68"/>
        <v>Early Tenure</v>
      </c>
      <c r="AB788" s="5">
        <v>45533</v>
      </c>
      <c r="AC788">
        <f t="shared" si="69"/>
        <v>1</v>
      </c>
      <c r="AD788" t="s">
        <v>49</v>
      </c>
      <c r="AE788">
        <f>VLOOKUP(A788,'Employee Engagement Survey'!A682:B2151,2,FALSE)</f>
        <v>3</v>
      </c>
      <c r="AF788">
        <f>VLOOKUP(A788,'Employee Engagement Survey'!A682:C2151,3,FALSE)</f>
        <v>3</v>
      </c>
      <c r="AG788">
        <f>VLOOKUP(A788,'Employee Engagement Survey'!A682:D2151,4,FALSE)</f>
        <v>3</v>
      </c>
      <c r="AH788">
        <f>VLOOKUP(A788,'Employee Engagement Survey'!A682:E2151,5,FALSE)</f>
        <v>3</v>
      </c>
      <c r="AI788">
        <f t="shared" si="67"/>
        <v>3</v>
      </c>
    </row>
    <row r="789" spans="1:35" hidden="1" x14ac:dyDescent="0.4">
      <c r="A789">
        <v>2054</v>
      </c>
      <c r="B789" t="s">
        <v>34</v>
      </c>
      <c r="C789">
        <f t="shared" si="65"/>
        <v>1</v>
      </c>
      <c r="D789" t="s">
        <v>27</v>
      </c>
      <c r="E789">
        <f t="shared" si="66"/>
        <v>0</v>
      </c>
      <c r="F789" t="s">
        <v>28</v>
      </c>
      <c r="G789">
        <v>6</v>
      </c>
      <c r="H789" s="1">
        <v>69420</v>
      </c>
      <c r="I789" s="10">
        <v>0.14000000000000001</v>
      </c>
      <c r="J789">
        <v>37.5</v>
      </c>
      <c r="K789" t="s">
        <v>34</v>
      </c>
      <c r="L789">
        <v>29</v>
      </c>
      <c r="M789" t="s">
        <v>47</v>
      </c>
      <c r="N789" t="s">
        <v>30</v>
      </c>
      <c r="O789" t="s">
        <v>31</v>
      </c>
      <c r="P789">
        <v>28</v>
      </c>
      <c r="Q789" t="s">
        <v>51</v>
      </c>
      <c r="R789" t="s">
        <v>33</v>
      </c>
      <c r="S789">
        <v>3</v>
      </c>
      <c r="T789">
        <v>0</v>
      </c>
      <c r="U789">
        <v>5</v>
      </c>
      <c r="V789">
        <v>3</v>
      </c>
      <c r="W789">
        <v>5</v>
      </c>
      <c r="X789">
        <v>4</v>
      </c>
      <c r="Y789">
        <v>0</v>
      </c>
      <c r="Z789">
        <v>4</v>
      </c>
      <c r="AA789" t="str">
        <f t="shared" si="68"/>
        <v>Mid Tenure</v>
      </c>
      <c r="AB789" s="5">
        <v>45435</v>
      </c>
      <c r="AC789">
        <f t="shared" si="69"/>
        <v>1</v>
      </c>
      <c r="AD789" t="s">
        <v>38</v>
      </c>
      <c r="AE789">
        <f>VLOOKUP(A789,'Employee Engagement Survey'!A683:B2152,2,FALSE)</f>
        <v>4</v>
      </c>
      <c r="AF789">
        <f>VLOOKUP(A789,'Employee Engagement Survey'!A683:C2152,3,FALSE)</f>
        <v>1</v>
      </c>
      <c r="AG789">
        <f>VLOOKUP(A789,'Employee Engagement Survey'!A683:D2152,4,FALSE)</f>
        <v>2</v>
      </c>
      <c r="AH789">
        <f>VLOOKUP(A789,'Employee Engagement Survey'!A683:E2152,5,FALSE)</f>
        <v>1</v>
      </c>
      <c r="AI789">
        <f t="shared" si="67"/>
        <v>2</v>
      </c>
    </row>
    <row r="790" spans="1:35" hidden="1" x14ac:dyDescent="0.4">
      <c r="A790">
        <v>1886</v>
      </c>
      <c r="B790" t="s">
        <v>34</v>
      </c>
      <c r="C790">
        <f t="shared" si="65"/>
        <v>1</v>
      </c>
      <c r="D790" t="s">
        <v>54</v>
      </c>
      <c r="E790">
        <f t="shared" si="66"/>
        <v>1</v>
      </c>
      <c r="F790" t="s">
        <v>28</v>
      </c>
      <c r="G790">
        <v>6</v>
      </c>
      <c r="H790" s="1">
        <v>69456</v>
      </c>
      <c r="I790" s="10">
        <v>0.11</v>
      </c>
      <c r="J790">
        <v>37.5</v>
      </c>
      <c r="K790" t="s">
        <v>26</v>
      </c>
      <c r="L790">
        <v>35</v>
      </c>
      <c r="M790" t="s">
        <v>47</v>
      </c>
      <c r="N790" t="s">
        <v>42</v>
      </c>
      <c r="O790" t="s">
        <v>31</v>
      </c>
      <c r="P790">
        <v>16</v>
      </c>
      <c r="Q790" t="s">
        <v>36</v>
      </c>
      <c r="R790" t="s">
        <v>53</v>
      </c>
      <c r="S790">
        <v>3</v>
      </c>
      <c r="T790">
        <v>0</v>
      </c>
      <c r="U790">
        <v>4</v>
      </c>
      <c r="V790">
        <v>2</v>
      </c>
      <c r="W790">
        <v>3</v>
      </c>
      <c r="X790">
        <v>2</v>
      </c>
      <c r="Y790">
        <v>0</v>
      </c>
      <c r="Z790">
        <v>2</v>
      </c>
      <c r="AA790" t="str">
        <f t="shared" si="68"/>
        <v>Mid Tenure</v>
      </c>
      <c r="AB790" s="5">
        <v>45258</v>
      </c>
      <c r="AC790">
        <f t="shared" si="69"/>
        <v>0</v>
      </c>
      <c r="AD790" t="s">
        <v>49</v>
      </c>
      <c r="AE790">
        <f>VLOOKUP(A790,'Employee Engagement Survey'!A685:B2154,2,FALSE)</f>
        <v>4</v>
      </c>
      <c r="AF790">
        <f>VLOOKUP(A790,'Employee Engagement Survey'!A685:C2154,3,FALSE)</f>
        <v>2</v>
      </c>
      <c r="AG790">
        <f>VLOOKUP(A790,'Employee Engagement Survey'!A685:D2154,4,FALSE)</f>
        <v>4</v>
      </c>
      <c r="AH790">
        <f>VLOOKUP(A790,'Employee Engagement Survey'!A685:E2154,5,FALSE)</f>
        <v>3</v>
      </c>
      <c r="AI790">
        <f t="shared" si="67"/>
        <v>3.25</v>
      </c>
    </row>
    <row r="791" spans="1:35" hidden="1" x14ac:dyDescent="0.4">
      <c r="A791">
        <v>1509</v>
      </c>
      <c r="B791" t="s">
        <v>34</v>
      </c>
      <c r="C791">
        <f t="shared" si="65"/>
        <v>1</v>
      </c>
      <c r="D791" t="s">
        <v>46</v>
      </c>
      <c r="E791">
        <f t="shared" si="66"/>
        <v>0</v>
      </c>
      <c r="F791" t="s">
        <v>28</v>
      </c>
      <c r="G791">
        <v>6</v>
      </c>
      <c r="H791" s="1">
        <v>69468</v>
      </c>
      <c r="I791" s="10">
        <v>0.25</v>
      </c>
      <c r="J791">
        <v>37.5</v>
      </c>
      <c r="K791" t="s">
        <v>34</v>
      </c>
      <c r="L791">
        <v>49</v>
      </c>
      <c r="M791" t="s">
        <v>47</v>
      </c>
      <c r="N791" t="s">
        <v>42</v>
      </c>
      <c r="O791" t="s">
        <v>31</v>
      </c>
      <c r="P791">
        <v>3</v>
      </c>
      <c r="Q791" t="s">
        <v>36</v>
      </c>
      <c r="R791" t="s">
        <v>33</v>
      </c>
      <c r="S791">
        <v>4</v>
      </c>
      <c r="T791">
        <v>1</v>
      </c>
      <c r="U791">
        <v>10</v>
      </c>
      <c r="V791">
        <v>3</v>
      </c>
      <c r="W791">
        <v>3</v>
      </c>
      <c r="X791">
        <v>2</v>
      </c>
      <c r="Y791">
        <v>1</v>
      </c>
      <c r="Z791">
        <v>2</v>
      </c>
      <c r="AA791" t="str">
        <f t="shared" si="68"/>
        <v>Mid Tenure</v>
      </c>
      <c r="AB791" s="5">
        <v>45876</v>
      </c>
      <c r="AC791">
        <f t="shared" si="69"/>
        <v>1</v>
      </c>
      <c r="AD791" t="s">
        <v>49</v>
      </c>
      <c r="AE791">
        <f>VLOOKUP(A791,'Employee Engagement Survey'!A686:B2155,2,FALSE)</f>
        <v>3</v>
      </c>
      <c r="AF791">
        <f>VLOOKUP(A791,'Employee Engagement Survey'!A686:C2155,3,FALSE)</f>
        <v>1</v>
      </c>
      <c r="AG791">
        <f>VLOOKUP(A791,'Employee Engagement Survey'!A686:D2155,4,FALSE)</f>
        <v>1</v>
      </c>
      <c r="AH791">
        <f>VLOOKUP(A791,'Employee Engagement Survey'!A686:E2155,5,FALSE)</f>
        <v>3</v>
      </c>
      <c r="AI791">
        <f t="shared" si="67"/>
        <v>2</v>
      </c>
    </row>
    <row r="792" spans="1:35" hidden="1" x14ac:dyDescent="0.4">
      <c r="A792">
        <v>964</v>
      </c>
      <c r="B792" t="s">
        <v>34</v>
      </c>
      <c r="C792">
        <f t="shared" si="65"/>
        <v>1</v>
      </c>
      <c r="D792" t="s">
        <v>27</v>
      </c>
      <c r="E792">
        <f t="shared" si="66"/>
        <v>0</v>
      </c>
      <c r="F792" t="s">
        <v>28</v>
      </c>
      <c r="G792">
        <v>6</v>
      </c>
      <c r="H792" s="1">
        <v>67404</v>
      </c>
      <c r="I792" s="10">
        <v>0.14000000000000001</v>
      </c>
      <c r="J792">
        <v>37.5</v>
      </c>
      <c r="K792" t="s">
        <v>26</v>
      </c>
      <c r="L792">
        <v>40</v>
      </c>
      <c r="M792" t="s">
        <v>29</v>
      </c>
      <c r="N792" t="s">
        <v>48</v>
      </c>
      <c r="O792" t="s">
        <v>44</v>
      </c>
      <c r="P792">
        <v>9</v>
      </c>
      <c r="Q792" t="s">
        <v>51</v>
      </c>
      <c r="R792" t="s">
        <v>33</v>
      </c>
      <c r="S792">
        <v>3</v>
      </c>
      <c r="T792">
        <v>1</v>
      </c>
      <c r="U792">
        <v>3</v>
      </c>
      <c r="V792">
        <v>2</v>
      </c>
      <c r="W792">
        <v>1</v>
      </c>
      <c r="X792">
        <v>1</v>
      </c>
      <c r="Y792">
        <v>0</v>
      </c>
      <c r="Z792">
        <v>0</v>
      </c>
      <c r="AA792" t="str">
        <f t="shared" si="68"/>
        <v>Early Tenure</v>
      </c>
      <c r="AB792" s="5">
        <v>45083</v>
      </c>
      <c r="AC792">
        <f t="shared" si="69"/>
        <v>0</v>
      </c>
      <c r="AD792" t="s">
        <v>38</v>
      </c>
      <c r="AE792">
        <f>VLOOKUP(A792,'Employee Engagement Survey'!A687:B2156,2,FALSE)</f>
        <v>4</v>
      </c>
      <c r="AF792">
        <f>VLOOKUP(A792,'Employee Engagement Survey'!A687:C2156,3,FALSE)</f>
        <v>2</v>
      </c>
      <c r="AG792">
        <f>VLOOKUP(A792,'Employee Engagement Survey'!A687:D2156,4,FALSE)</f>
        <v>4</v>
      </c>
      <c r="AH792">
        <f>VLOOKUP(A792,'Employee Engagement Survey'!A687:E2156,5,FALSE)</f>
        <v>3</v>
      </c>
      <c r="AI792">
        <f t="shared" si="67"/>
        <v>3.25</v>
      </c>
    </row>
    <row r="793" spans="1:35" hidden="1" x14ac:dyDescent="0.4">
      <c r="A793">
        <v>138</v>
      </c>
      <c r="B793" t="s">
        <v>34</v>
      </c>
      <c r="C793">
        <f t="shared" si="65"/>
        <v>1</v>
      </c>
      <c r="D793" t="s">
        <v>27</v>
      </c>
      <c r="E793">
        <f t="shared" si="66"/>
        <v>0</v>
      </c>
      <c r="F793" t="s">
        <v>28</v>
      </c>
      <c r="G793">
        <v>6</v>
      </c>
      <c r="H793" s="1">
        <v>69708</v>
      </c>
      <c r="I793" s="10">
        <v>0.14000000000000001</v>
      </c>
      <c r="J793">
        <v>37.5</v>
      </c>
      <c r="K793" t="s">
        <v>34</v>
      </c>
      <c r="L793">
        <v>34</v>
      </c>
      <c r="M793" t="s">
        <v>47</v>
      </c>
      <c r="N793" t="s">
        <v>30</v>
      </c>
      <c r="O793" t="s">
        <v>31</v>
      </c>
      <c r="P793">
        <v>6</v>
      </c>
      <c r="Q793" t="s">
        <v>51</v>
      </c>
      <c r="R793" t="s">
        <v>53</v>
      </c>
      <c r="S793">
        <v>3</v>
      </c>
      <c r="T793">
        <v>0</v>
      </c>
      <c r="U793">
        <v>16</v>
      </c>
      <c r="V793">
        <v>3</v>
      </c>
      <c r="W793">
        <v>16</v>
      </c>
      <c r="X793">
        <v>13</v>
      </c>
      <c r="Y793">
        <v>2</v>
      </c>
      <c r="Z793">
        <v>10</v>
      </c>
      <c r="AA793" t="str">
        <f t="shared" si="68"/>
        <v>Long Tenure</v>
      </c>
      <c r="AB793" s="5">
        <v>45298</v>
      </c>
      <c r="AC793">
        <f t="shared" si="69"/>
        <v>1</v>
      </c>
      <c r="AD793" t="s">
        <v>38</v>
      </c>
      <c r="AE793">
        <f>VLOOKUP(A793,'Employee Engagement Survey'!A688:B2157,2,FALSE)</f>
        <v>1</v>
      </c>
      <c r="AF793">
        <f>VLOOKUP(A793,'Employee Engagement Survey'!A688:C2157,3,FALSE)</f>
        <v>3</v>
      </c>
      <c r="AG793">
        <f>VLOOKUP(A793,'Employee Engagement Survey'!A688:D2157,4,FALSE)</f>
        <v>3</v>
      </c>
      <c r="AH793">
        <f>VLOOKUP(A793,'Employee Engagement Survey'!A688:E2157,5,FALSE)</f>
        <v>3</v>
      </c>
      <c r="AI793">
        <f t="shared" si="67"/>
        <v>2.5</v>
      </c>
    </row>
    <row r="794" spans="1:35" hidden="1" x14ac:dyDescent="0.4">
      <c r="A794">
        <v>550</v>
      </c>
      <c r="B794" t="s">
        <v>34</v>
      </c>
      <c r="C794">
        <f t="shared" si="65"/>
        <v>1</v>
      </c>
      <c r="D794" t="s">
        <v>54</v>
      </c>
      <c r="E794">
        <f t="shared" si="66"/>
        <v>1</v>
      </c>
      <c r="F794" t="s">
        <v>28</v>
      </c>
      <c r="G794">
        <v>6</v>
      </c>
      <c r="H794" s="1">
        <v>69720</v>
      </c>
      <c r="I794" s="10">
        <v>0.14000000000000001</v>
      </c>
      <c r="J794">
        <v>37.5</v>
      </c>
      <c r="K794" t="s">
        <v>34</v>
      </c>
      <c r="L794">
        <v>46</v>
      </c>
      <c r="M794" t="s">
        <v>47</v>
      </c>
      <c r="N794" t="s">
        <v>48</v>
      </c>
      <c r="O794" t="s">
        <v>31</v>
      </c>
      <c r="P794">
        <v>18</v>
      </c>
      <c r="Q794" t="s">
        <v>43</v>
      </c>
      <c r="R794" t="s">
        <v>33</v>
      </c>
      <c r="S794">
        <v>3</v>
      </c>
      <c r="T794">
        <v>1</v>
      </c>
      <c r="U794">
        <v>19</v>
      </c>
      <c r="V794">
        <v>5</v>
      </c>
      <c r="W794">
        <v>10</v>
      </c>
      <c r="X794">
        <v>7</v>
      </c>
      <c r="Y794">
        <v>0</v>
      </c>
      <c r="Z794">
        <v>8</v>
      </c>
      <c r="AA794" t="str">
        <f t="shared" si="68"/>
        <v>Long Tenure</v>
      </c>
      <c r="AB794" s="5">
        <v>44628</v>
      </c>
      <c r="AC794">
        <f t="shared" si="69"/>
        <v>0</v>
      </c>
      <c r="AD794" t="s">
        <v>49</v>
      </c>
      <c r="AE794">
        <f>VLOOKUP(A794,'Employee Engagement Survey'!A689:B2158,2,FALSE)</f>
        <v>3</v>
      </c>
      <c r="AF794">
        <f>VLOOKUP(A794,'Employee Engagement Survey'!A689:C2158,3,FALSE)</f>
        <v>3</v>
      </c>
      <c r="AG794">
        <f>VLOOKUP(A794,'Employee Engagement Survey'!A689:D2158,4,FALSE)</f>
        <v>3</v>
      </c>
      <c r="AH794">
        <f>VLOOKUP(A794,'Employee Engagement Survey'!A689:E2158,5,FALSE)</f>
        <v>2</v>
      </c>
      <c r="AI794">
        <f t="shared" si="67"/>
        <v>2.75</v>
      </c>
    </row>
    <row r="795" spans="1:35" hidden="1" x14ac:dyDescent="0.4">
      <c r="A795">
        <v>972</v>
      </c>
      <c r="B795" t="s">
        <v>34</v>
      </c>
      <c r="C795">
        <f t="shared" si="65"/>
        <v>1</v>
      </c>
      <c r="D795" t="s">
        <v>46</v>
      </c>
      <c r="E795">
        <f t="shared" si="66"/>
        <v>0</v>
      </c>
      <c r="F795" t="s">
        <v>28</v>
      </c>
      <c r="G795">
        <v>6</v>
      </c>
      <c r="H795" s="1">
        <v>65364</v>
      </c>
      <c r="I795" s="10">
        <v>0.12</v>
      </c>
      <c r="J795">
        <v>37.5</v>
      </c>
      <c r="K795" t="s">
        <v>34</v>
      </c>
      <c r="L795">
        <v>45</v>
      </c>
      <c r="M795" t="s">
        <v>29</v>
      </c>
      <c r="N795" t="s">
        <v>42</v>
      </c>
      <c r="O795" t="s">
        <v>35</v>
      </c>
      <c r="P795">
        <v>4</v>
      </c>
      <c r="Q795" t="s">
        <v>36</v>
      </c>
      <c r="R795" t="s">
        <v>37</v>
      </c>
      <c r="S795">
        <v>3</v>
      </c>
      <c r="T795">
        <v>0</v>
      </c>
      <c r="U795">
        <v>9</v>
      </c>
      <c r="V795">
        <v>5</v>
      </c>
      <c r="W795">
        <v>9</v>
      </c>
      <c r="X795">
        <v>7</v>
      </c>
      <c r="Y795">
        <v>0</v>
      </c>
      <c r="Z795">
        <v>8</v>
      </c>
      <c r="AA795" t="str">
        <f t="shared" si="68"/>
        <v>Mid Tenure</v>
      </c>
      <c r="AB795" s="5">
        <v>44717</v>
      </c>
      <c r="AC795">
        <f t="shared" si="69"/>
        <v>0</v>
      </c>
      <c r="AD795" t="s">
        <v>49</v>
      </c>
      <c r="AE795">
        <f>VLOOKUP(A795,'Employee Engagement Survey'!A692:B2161,2,FALSE)</f>
        <v>3</v>
      </c>
      <c r="AF795">
        <f>VLOOKUP(A795,'Employee Engagement Survey'!A692:C2161,3,FALSE)</f>
        <v>2</v>
      </c>
      <c r="AG795">
        <f>VLOOKUP(A795,'Employee Engagement Survey'!A692:D2161,4,FALSE)</f>
        <v>2</v>
      </c>
      <c r="AH795">
        <f>VLOOKUP(A795,'Employee Engagement Survey'!A692:E2161,5,FALSE)</f>
        <v>2</v>
      </c>
      <c r="AI795">
        <f t="shared" si="67"/>
        <v>2.25</v>
      </c>
    </row>
    <row r="796" spans="1:35" hidden="1" x14ac:dyDescent="0.4">
      <c r="A796">
        <v>976</v>
      </c>
      <c r="B796" t="s">
        <v>34</v>
      </c>
      <c r="C796">
        <f t="shared" si="65"/>
        <v>1</v>
      </c>
      <c r="D796" t="s">
        <v>109</v>
      </c>
      <c r="E796">
        <f t="shared" si="66"/>
        <v>1</v>
      </c>
      <c r="F796" t="s">
        <v>28</v>
      </c>
      <c r="G796">
        <v>4</v>
      </c>
      <c r="H796" s="1">
        <v>217188</v>
      </c>
      <c r="I796" s="10">
        <v>0.15</v>
      </c>
      <c r="J796">
        <v>37.5</v>
      </c>
      <c r="K796" t="s">
        <v>34</v>
      </c>
      <c r="L796">
        <v>52</v>
      </c>
      <c r="M796" t="s">
        <v>29</v>
      </c>
      <c r="N796" t="s">
        <v>42</v>
      </c>
      <c r="O796" t="s">
        <v>31</v>
      </c>
      <c r="P796">
        <v>1</v>
      </c>
      <c r="Q796" t="s">
        <v>36</v>
      </c>
      <c r="R796" t="s">
        <v>37</v>
      </c>
      <c r="S796">
        <v>3</v>
      </c>
      <c r="T796">
        <v>1</v>
      </c>
      <c r="U796">
        <v>26</v>
      </c>
      <c r="V796">
        <v>2</v>
      </c>
      <c r="W796">
        <v>9</v>
      </c>
      <c r="X796">
        <v>8</v>
      </c>
      <c r="Y796">
        <v>7</v>
      </c>
      <c r="Z796">
        <v>8</v>
      </c>
      <c r="AA796" t="str">
        <f t="shared" si="68"/>
        <v>Mid Tenure</v>
      </c>
      <c r="AB796" s="5">
        <v>45014</v>
      </c>
      <c r="AC796">
        <f t="shared" si="69"/>
        <v>0</v>
      </c>
      <c r="AD796" t="s">
        <v>49</v>
      </c>
      <c r="AE796">
        <f>VLOOKUP(A796,'Employee Engagement Survey'!A693:B2162,2,FALSE)</f>
        <v>4</v>
      </c>
      <c r="AF796">
        <f>VLOOKUP(A796,'Employee Engagement Survey'!A693:C2162,3,FALSE)</f>
        <v>4</v>
      </c>
      <c r="AG796">
        <f>VLOOKUP(A796,'Employee Engagement Survey'!A693:D2162,4,FALSE)</f>
        <v>2</v>
      </c>
      <c r="AH796">
        <f>VLOOKUP(A796,'Employee Engagement Survey'!A693:E2162,5,FALSE)</f>
        <v>2</v>
      </c>
      <c r="AI796">
        <f t="shared" si="67"/>
        <v>3</v>
      </c>
    </row>
    <row r="797" spans="1:35" hidden="1" x14ac:dyDescent="0.4">
      <c r="A797">
        <v>981</v>
      </c>
      <c r="B797" t="s">
        <v>34</v>
      </c>
      <c r="C797">
        <f t="shared" si="65"/>
        <v>1</v>
      </c>
      <c r="D797" t="s">
        <v>110</v>
      </c>
      <c r="E797">
        <f t="shared" si="66"/>
        <v>1</v>
      </c>
      <c r="F797" t="s">
        <v>40</v>
      </c>
      <c r="G797">
        <v>4</v>
      </c>
      <c r="H797" s="1">
        <v>190224</v>
      </c>
      <c r="I797" s="10">
        <v>0.13</v>
      </c>
      <c r="J797">
        <v>37.5</v>
      </c>
      <c r="K797" t="s">
        <v>34</v>
      </c>
      <c r="L797">
        <v>53</v>
      </c>
      <c r="M797" t="s">
        <v>29</v>
      </c>
      <c r="N797" t="s">
        <v>48</v>
      </c>
      <c r="O797" t="s">
        <v>31</v>
      </c>
      <c r="P797">
        <v>2</v>
      </c>
      <c r="Q797" t="s">
        <v>36</v>
      </c>
      <c r="R797" t="s">
        <v>33</v>
      </c>
      <c r="S797">
        <v>3</v>
      </c>
      <c r="T797">
        <v>1</v>
      </c>
      <c r="U797">
        <v>22</v>
      </c>
      <c r="V797">
        <v>3</v>
      </c>
      <c r="W797">
        <v>17</v>
      </c>
      <c r="X797">
        <v>13</v>
      </c>
      <c r="Y797">
        <v>15</v>
      </c>
      <c r="Z797">
        <v>2</v>
      </c>
      <c r="AA797" t="str">
        <f t="shared" si="68"/>
        <v>Long Tenure</v>
      </c>
      <c r="AB797" s="5">
        <v>44984</v>
      </c>
      <c r="AC797">
        <f t="shared" si="69"/>
        <v>0</v>
      </c>
      <c r="AD797" t="s">
        <v>49</v>
      </c>
      <c r="AE797">
        <f>VLOOKUP(A797,'Employee Engagement Survey'!A695:B2164,2,FALSE)</f>
        <v>3</v>
      </c>
      <c r="AF797">
        <f>VLOOKUP(A797,'Employee Engagement Survey'!A695:C2164,3,FALSE)</f>
        <v>3</v>
      </c>
      <c r="AG797">
        <f>VLOOKUP(A797,'Employee Engagement Survey'!A695:D2164,4,FALSE)</f>
        <v>3</v>
      </c>
      <c r="AH797">
        <f>VLOOKUP(A797,'Employee Engagement Survey'!A695:E2164,5,FALSE)</f>
        <v>4</v>
      </c>
      <c r="AI797">
        <f t="shared" si="67"/>
        <v>3.25</v>
      </c>
    </row>
    <row r="798" spans="1:35" hidden="1" x14ac:dyDescent="0.4">
      <c r="A798">
        <v>1502</v>
      </c>
      <c r="B798" t="s">
        <v>34</v>
      </c>
      <c r="C798">
        <f t="shared" si="65"/>
        <v>1</v>
      </c>
      <c r="D798" t="s">
        <v>46</v>
      </c>
      <c r="E798">
        <f t="shared" si="66"/>
        <v>0</v>
      </c>
      <c r="F798" t="s">
        <v>28</v>
      </c>
      <c r="G798">
        <v>7</v>
      </c>
      <c r="H798" s="1">
        <v>70056</v>
      </c>
      <c r="I798" s="10">
        <v>0.11</v>
      </c>
      <c r="J798">
        <v>37.5</v>
      </c>
      <c r="K798" t="s">
        <v>34</v>
      </c>
      <c r="L798">
        <v>33</v>
      </c>
      <c r="M798" t="s">
        <v>47</v>
      </c>
      <c r="N798" t="s">
        <v>42</v>
      </c>
      <c r="O798" t="s">
        <v>31</v>
      </c>
      <c r="P798">
        <v>4</v>
      </c>
      <c r="Q798" t="s">
        <v>51</v>
      </c>
      <c r="R798" t="s">
        <v>33</v>
      </c>
      <c r="S798">
        <v>3</v>
      </c>
      <c r="T798">
        <v>0</v>
      </c>
      <c r="U798">
        <v>8</v>
      </c>
      <c r="V798">
        <v>5</v>
      </c>
      <c r="W798">
        <v>5</v>
      </c>
      <c r="X798">
        <v>4</v>
      </c>
      <c r="Y798">
        <v>0</v>
      </c>
      <c r="Z798">
        <v>2</v>
      </c>
      <c r="AA798" t="str">
        <f t="shared" si="68"/>
        <v>Mid Tenure</v>
      </c>
      <c r="AB798" s="5">
        <v>45942</v>
      </c>
      <c r="AC798">
        <f t="shared" si="69"/>
        <v>1</v>
      </c>
      <c r="AD798" t="s">
        <v>38</v>
      </c>
      <c r="AE798">
        <f>VLOOKUP(A798,'Employee Engagement Survey'!A696:B2165,2,FALSE)</f>
        <v>1</v>
      </c>
      <c r="AF798">
        <f>VLOOKUP(A798,'Employee Engagement Survey'!A696:C2165,3,FALSE)</f>
        <v>2</v>
      </c>
      <c r="AG798">
        <f>VLOOKUP(A798,'Employee Engagement Survey'!A696:D2165,4,FALSE)</f>
        <v>4</v>
      </c>
      <c r="AH798">
        <f>VLOOKUP(A798,'Employee Engagement Survey'!A696:E2165,5,FALSE)</f>
        <v>3</v>
      </c>
      <c r="AI798">
        <f t="shared" si="67"/>
        <v>2.5</v>
      </c>
    </row>
    <row r="799" spans="1:35" hidden="1" x14ac:dyDescent="0.4">
      <c r="A799">
        <v>982</v>
      </c>
      <c r="B799" t="s">
        <v>34</v>
      </c>
      <c r="C799">
        <f t="shared" si="65"/>
        <v>1</v>
      </c>
      <c r="D799" t="s">
        <v>57</v>
      </c>
      <c r="E799">
        <f t="shared" si="66"/>
        <v>0</v>
      </c>
      <c r="F799" t="s">
        <v>40</v>
      </c>
      <c r="G799">
        <v>8</v>
      </c>
      <c r="H799" s="1">
        <v>99168</v>
      </c>
      <c r="I799" s="10">
        <v>0.11</v>
      </c>
      <c r="J799">
        <v>37.5</v>
      </c>
      <c r="K799" t="s">
        <v>34</v>
      </c>
      <c r="L799">
        <v>30</v>
      </c>
      <c r="M799" t="s">
        <v>29</v>
      </c>
      <c r="N799" t="s">
        <v>48</v>
      </c>
      <c r="O799" t="s">
        <v>31</v>
      </c>
      <c r="P799">
        <v>8</v>
      </c>
      <c r="Q799" t="s">
        <v>36</v>
      </c>
      <c r="R799" t="s">
        <v>53</v>
      </c>
      <c r="S799">
        <v>3</v>
      </c>
      <c r="T799">
        <v>1</v>
      </c>
      <c r="U799">
        <v>10</v>
      </c>
      <c r="V799">
        <v>2</v>
      </c>
      <c r="W799">
        <v>8</v>
      </c>
      <c r="X799">
        <v>4</v>
      </c>
      <c r="Y799">
        <v>7</v>
      </c>
      <c r="Z799">
        <v>7</v>
      </c>
      <c r="AA799" t="str">
        <f t="shared" si="68"/>
        <v>Mid Tenure</v>
      </c>
      <c r="AB799" s="5">
        <v>44852</v>
      </c>
      <c r="AC799">
        <f t="shared" si="69"/>
        <v>0</v>
      </c>
      <c r="AD799" t="s">
        <v>49</v>
      </c>
      <c r="AE799">
        <f>VLOOKUP(A799,'Employee Engagement Survey'!A697:B2166,2,FALSE)</f>
        <v>3</v>
      </c>
      <c r="AF799">
        <f>VLOOKUP(A799,'Employee Engagement Survey'!A697:C2166,3,FALSE)</f>
        <v>3</v>
      </c>
      <c r="AG799">
        <f>VLOOKUP(A799,'Employee Engagement Survey'!A697:D2166,4,FALSE)</f>
        <v>1</v>
      </c>
      <c r="AH799">
        <f>VLOOKUP(A799,'Employee Engagement Survey'!A697:E2166,5,FALSE)</f>
        <v>4</v>
      </c>
      <c r="AI799">
        <f t="shared" si="67"/>
        <v>2.75</v>
      </c>
    </row>
    <row r="800" spans="1:35" hidden="1" x14ac:dyDescent="0.4">
      <c r="A800">
        <v>2046</v>
      </c>
      <c r="B800" t="s">
        <v>34</v>
      </c>
      <c r="C800">
        <f t="shared" si="65"/>
        <v>1</v>
      </c>
      <c r="D800" t="s">
        <v>57</v>
      </c>
      <c r="E800">
        <f t="shared" si="66"/>
        <v>0</v>
      </c>
      <c r="F800" t="s">
        <v>40</v>
      </c>
      <c r="G800">
        <v>7</v>
      </c>
      <c r="H800" s="1">
        <v>70200</v>
      </c>
      <c r="I800" s="10">
        <v>0.15</v>
      </c>
      <c r="J800">
        <v>37.5</v>
      </c>
      <c r="K800" t="s">
        <v>34</v>
      </c>
      <c r="L800">
        <v>45</v>
      </c>
      <c r="M800" t="s">
        <v>47</v>
      </c>
      <c r="N800" t="s">
        <v>30</v>
      </c>
      <c r="O800" t="s">
        <v>31</v>
      </c>
      <c r="P800">
        <v>20</v>
      </c>
      <c r="Q800" t="s">
        <v>43</v>
      </c>
      <c r="R800" t="s">
        <v>37</v>
      </c>
      <c r="S800">
        <v>3</v>
      </c>
      <c r="T800">
        <v>0</v>
      </c>
      <c r="U800">
        <v>8</v>
      </c>
      <c r="V800">
        <v>3</v>
      </c>
      <c r="W800">
        <v>5</v>
      </c>
      <c r="X800">
        <v>3</v>
      </c>
      <c r="Y800">
        <v>0</v>
      </c>
      <c r="Z800">
        <v>1</v>
      </c>
      <c r="AA800" t="str">
        <f t="shared" si="68"/>
        <v>Mid Tenure</v>
      </c>
      <c r="AB800" s="5">
        <v>45730</v>
      </c>
      <c r="AC800">
        <f t="shared" si="69"/>
        <v>1</v>
      </c>
      <c r="AD800" t="s">
        <v>38</v>
      </c>
      <c r="AE800">
        <f>VLOOKUP(A800,'Employee Engagement Survey'!A698:B2167,2,FALSE)</f>
        <v>4</v>
      </c>
      <c r="AF800">
        <f>VLOOKUP(A800,'Employee Engagement Survey'!A698:C2167,3,FALSE)</f>
        <v>3</v>
      </c>
      <c r="AG800">
        <f>VLOOKUP(A800,'Employee Engagement Survey'!A698:D2167,4,FALSE)</f>
        <v>3</v>
      </c>
      <c r="AH800">
        <f>VLOOKUP(A800,'Employee Engagement Survey'!A698:E2167,5,FALSE)</f>
        <v>3</v>
      </c>
      <c r="AI800">
        <f t="shared" si="67"/>
        <v>3.25</v>
      </c>
    </row>
    <row r="801" spans="1:35" hidden="1" x14ac:dyDescent="0.4">
      <c r="A801">
        <v>984</v>
      </c>
      <c r="B801" t="s">
        <v>34</v>
      </c>
      <c r="C801">
        <f t="shared" si="65"/>
        <v>1</v>
      </c>
      <c r="D801" t="s">
        <v>57</v>
      </c>
      <c r="E801">
        <f t="shared" si="66"/>
        <v>0</v>
      </c>
      <c r="F801" t="s">
        <v>40</v>
      </c>
      <c r="G801">
        <v>9</v>
      </c>
      <c r="H801" s="1">
        <v>105876</v>
      </c>
      <c r="I801" s="10">
        <v>0.13</v>
      </c>
      <c r="J801">
        <v>37.5</v>
      </c>
      <c r="K801" t="s">
        <v>34</v>
      </c>
      <c r="L801">
        <v>35</v>
      </c>
      <c r="M801" t="s">
        <v>29</v>
      </c>
      <c r="N801" t="s">
        <v>48</v>
      </c>
      <c r="O801" t="s">
        <v>31</v>
      </c>
      <c r="P801">
        <v>3</v>
      </c>
      <c r="Q801" t="s">
        <v>51</v>
      </c>
      <c r="R801" t="s">
        <v>37</v>
      </c>
      <c r="S801">
        <v>3</v>
      </c>
      <c r="T801">
        <v>1</v>
      </c>
      <c r="U801">
        <v>12</v>
      </c>
      <c r="V801">
        <v>2</v>
      </c>
      <c r="W801">
        <v>10</v>
      </c>
      <c r="X801">
        <v>9</v>
      </c>
      <c r="Y801">
        <v>0</v>
      </c>
      <c r="Z801">
        <v>8</v>
      </c>
      <c r="AA801" t="str">
        <f t="shared" si="68"/>
        <v>Long Tenure</v>
      </c>
      <c r="AB801" s="5">
        <v>45720</v>
      </c>
      <c r="AC801">
        <f t="shared" si="69"/>
        <v>1</v>
      </c>
      <c r="AD801" t="s">
        <v>38</v>
      </c>
      <c r="AE801">
        <f>VLOOKUP(A801,'Employee Engagement Survey'!A699:B2168,2,FALSE)</f>
        <v>4</v>
      </c>
      <c r="AF801">
        <f>VLOOKUP(A801,'Employee Engagement Survey'!A699:C2168,3,FALSE)</f>
        <v>4</v>
      </c>
      <c r="AG801">
        <f>VLOOKUP(A801,'Employee Engagement Survey'!A699:D2168,4,FALSE)</f>
        <v>2</v>
      </c>
      <c r="AH801">
        <f>VLOOKUP(A801,'Employee Engagement Survey'!A699:E2168,5,FALSE)</f>
        <v>3</v>
      </c>
      <c r="AI801">
        <f t="shared" si="67"/>
        <v>3.25</v>
      </c>
    </row>
    <row r="802" spans="1:35" hidden="1" x14ac:dyDescent="0.4">
      <c r="A802">
        <v>985</v>
      </c>
      <c r="B802" t="s">
        <v>34</v>
      </c>
      <c r="C802">
        <f t="shared" si="65"/>
        <v>1</v>
      </c>
      <c r="D802" t="s">
        <v>57</v>
      </c>
      <c r="E802">
        <f t="shared" si="66"/>
        <v>0</v>
      </c>
      <c r="F802" t="s">
        <v>40</v>
      </c>
      <c r="G802">
        <v>9</v>
      </c>
      <c r="H802" s="1">
        <v>106560</v>
      </c>
      <c r="I802" s="10">
        <v>0.18</v>
      </c>
      <c r="J802">
        <v>37.5</v>
      </c>
      <c r="K802" t="s">
        <v>34</v>
      </c>
      <c r="L802">
        <v>39</v>
      </c>
      <c r="M802" t="s">
        <v>29</v>
      </c>
      <c r="N802" t="s">
        <v>30</v>
      </c>
      <c r="O802" t="s">
        <v>31</v>
      </c>
      <c r="P802">
        <v>2</v>
      </c>
      <c r="Q802" t="s">
        <v>58</v>
      </c>
      <c r="R802" t="s">
        <v>37</v>
      </c>
      <c r="S802">
        <v>3</v>
      </c>
      <c r="T802">
        <v>0</v>
      </c>
      <c r="U802">
        <v>9</v>
      </c>
      <c r="V802">
        <v>3</v>
      </c>
      <c r="W802">
        <v>8</v>
      </c>
      <c r="X802">
        <v>7</v>
      </c>
      <c r="Y802">
        <v>0</v>
      </c>
      <c r="Z802">
        <v>7</v>
      </c>
      <c r="AA802" t="str">
        <f t="shared" si="68"/>
        <v>Mid Tenure</v>
      </c>
      <c r="AB802" s="5">
        <v>45388</v>
      </c>
      <c r="AC802">
        <f t="shared" si="69"/>
        <v>1</v>
      </c>
      <c r="AD802" t="s">
        <v>49</v>
      </c>
      <c r="AE802">
        <f>VLOOKUP(A802,'Employee Engagement Survey'!A700:B2169,2,FALSE)</f>
        <v>1</v>
      </c>
      <c r="AF802">
        <f>VLOOKUP(A802,'Employee Engagement Survey'!A700:C2169,3,FALSE)</f>
        <v>3</v>
      </c>
      <c r="AG802">
        <f>VLOOKUP(A802,'Employee Engagement Survey'!A700:D2169,4,FALSE)</f>
        <v>4</v>
      </c>
      <c r="AH802">
        <f>VLOOKUP(A802,'Employee Engagement Survey'!A700:E2169,5,FALSE)</f>
        <v>3</v>
      </c>
      <c r="AI802">
        <f t="shared" si="67"/>
        <v>2.75</v>
      </c>
    </row>
    <row r="803" spans="1:35" hidden="1" x14ac:dyDescent="0.4">
      <c r="A803">
        <v>620</v>
      </c>
      <c r="B803" t="s">
        <v>34</v>
      </c>
      <c r="C803">
        <f t="shared" si="65"/>
        <v>1</v>
      </c>
      <c r="D803" t="s">
        <v>57</v>
      </c>
      <c r="E803">
        <f t="shared" si="66"/>
        <v>0</v>
      </c>
      <c r="F803" t="s">
        <v>40</v>
      </c>
      <c r="G803">
        <v>7</v>
      </c>
      <c r="H803" s="1">
        <v>70308</v>
      </c>
      <c r="I803" s="10">
        <v>0.16</v>
      </c>
      <c r="J803">
        <v>37.5</v>
      </c>
      <c r="K803" t="s">
        <v>34</v>
      </c>
      <c r="L803">
        <v>35</v>
      </c>
      <c r="M803" t="s">
        <v>47</v>
      </c>
      <c r="N803" t="s">
        <v>30</v>
      </c>
      <c r="O803" t="s">
        <v>31</v>
      </c>
      <c r="P803">
        <v>1</v>
      </c>
      <c r="Q803" t="s">
        <v>43</v>
      </c>
      <c r="R803" t="s">
        <v>33</v>
      </c>
      <c r="S803">
        <v>3</v>
      </c>
      <c r="T803">
        <v>0</v>
      </c>
      <c r="U803">
        <v>5</v>
      </c>
      <c r="V803">
        <v>3</v>
      </c>
      <c r="W803">
        <v>5</v>
      </c>
      <c r="X803">
        <v>4</v>
      </c>
      <c r="Y803">
        <v>0</v>
      </c>
      <c r="Z803">
        <v>3</v>
      </c>
      <c r="AA803" t="str">
        <f t="shared" si="68"/>
        <v>Mid Tenure</v>
      </c>
      <c r="AB803" s="5">
        <v>45759</v>
      </c>
      <c r="AC803">
        <f t="shared" si="69"/>
        <v>1</v>
      </c>
      <c r="AD803" t="s">
        <v>38</v>
      </c>
      <c r="AE803">
        <f>VLOOKUP(A803,'Employee Engagement Survey'!A701:B2170,2,FALSE)</f>
        <v>1</v>
      </c>
      <c r="AF803">
        <f>VLOOKUP(A803,'Employee Engagement Survey'!A701:C2170,3,FALSE)</f>
        <v>3</v>
      </c>
      <c r="AG803">
        <f>VLOOKUP(A803,'Employee Engagement Survey'!A701:D2170,4,FALSE)</f>
        <v>4</v>
      </c>
      <c r="AH803">
        <f>VLOOKUP(A803,'Employee Engagement Survey'!A701:E2170,5,FALSE)</f>
        <v>3</v>
      </c>
      <c r="AI803">
        <f t="shared" si="67"/>
        <v>2.75</v>
      </c>
    </row>
    <row r="804" spans="1:35" hidden="1" x14ac:dyDescent="0.4">
      <c r="A804">
        <v>987</v>
      </c>
      <c r="B804" t="s">
        <v>34</v>
      </c>
      <c r="C804">
        <f t="shared" si="65"/>
        <v>1</v>
      </c>
      <c r="D804" t="s">
        <v>54</v>
      </c>
      <c r="E804">
        <f t="shared" si="66"/>
        <v>1</v>
      </c>
      <c r="F804" t="s">
        <v>28</v>
      </c>
      <c r="G804">
        <v>7</v>
      </c>
      <c r="H804" s="1">
        <v>72804</v>
      </c>
      <c r="I804" s="10">
        <v>0.19</v>
      </c>
      <c r="J804">
        <v>37.5</v>
      </c>
      <c r="K804" t="s">
        <v>26</v>
      </c>
      <c r="L804">
        <v>47</v>
      </c>
      <c r="M804" t="s">
        <v>29</v>
      </c>
      <c r="N804" t="s">
        <v>48</v>
      </c>
      <c r="O804" t="s">
        <v>44</v>
      </c>
      <c r="P804">
        <v>16</v>
      </c>
      <c r="Q804" t="s">
        <v>51</v>
      </c>
      <c r="R804" t="s">
        <v>33</v>
      </c>
      <c r="S804">
        <v>3</v>
      </c>
      <c r="T804">
        <v>0</v>
      </c>
      <c r="U804">
        <v>20</v>
      </c>
      <c r="V804">
        <v>3</v>
      </c>
      <c r="W804">
        <v>19</v>
      </c>
      <c r="X804">
        <v>10</v>
      </c>
      <c r="Y804">
        <v>2</v>
      </c>
      <c r="Z804">
        <v>7</v>
      </c>
      <c r="AA804" t="str">
        <f t="shared" si="68"/>
        <v>Long Tenure</v>
      </c>
      <c r="AB804" s="5">
        <v>44619</v>
      </c>
      <c r="AC804">
        <f t="shared" si="69"/>
        <v>0</v>
      </c>
      <c r="AD804" t="s">
        <v>49</v>
      </c>
      <c r="AE804">
        <f>VLOOKUP(A804,'Employee Engagement Survey'!A702:B2171,2,FALSE)</f>
        <v>3</v>
      </c>
      <c r="AF804">
        <f>VLOOKUP(A804,'Employee Engagement Survey'!A702:C2171,3,FALSE)</f>
        <v>3</v>
      </c>
      <c r="AG804">
        <f>VLOOKUP(A804,'Employee Engagement Survey'!A702:D2171,4,FALSE)</f>
        <v>3</v>
      </c>
      <c r="AH804">
        <f>VLOOKUP(A804,'Employee Engagement Survey'!A702:E2171,5,FALSE)</f>
        <v>4</v>
      </c>
      <c r="AI804">
        <f t="shared" si="67"/>
        <v>3.25</v>
      </c>
    </row>
    <row r="805" spans="1:35" hidden="1" x14ac:dyDescent="0.4">
      <c r="A805">
        <v>450</v>
      </c>
      <c r="B805" t="s">
        <v>34</v>
      </c>
      <c r="C805">
        <f t="shared" si="65"/>
        <v>1</v>
      </c>
      <c r="D805" t="s">
        <v>27</v>
      </c>
      <c r="E805">
        <f t="shared" si="66"/>
        <v>0</v>
      </c>
      <c r="F805" t="s">
        <v>28</v>
      </c>
      <c r="G805">
        <v>7</v>
      </c>
      <c r="H805" s="1">
        <v>70428</v>
      </c>
      <c r="I805" s="10">
        <v>0.12</v>
      </c>
      <c r="J805">
        <v>37.5</v>
      </c>
      <c r="K805" t="s">
        <v>34</v>
      </c>
      <c r="L805">
        <v>54</v>
      </c>
      <c r="M805" t="s">
        <v>47</v>
      </c>
      <c r="N805" t="s">
        <v>30</v>
      </c>
      <c r="O805" t="s">
        <v>44</v>
      </c>
      <c r="P805">
        <v>20</v>
      </c>
      <c r="Q805" t="s">
        <v>51</v>
      </c>
      <c r="R805" t="s">
        <v>37</v>
      </c>
      <c r="S805">
        <v>3</v>
      </c>
      <c r="T805">
        <v>0</v>
      </c>
      <c r="U805">
        <v>20</v>
      </c>
      <c r="V805">
        <v>4</v>
      </c>
      <c r="W805">
        <v>4</v>
      </c>
      <c r="X805">
        <v>3</v>
      </c>
      <c r="Y805">
        <v>0</v>
      </c>
      <c r="Z805">
        <v>3</v>
      </c>
      <c r="AA805" t="str">
        <f t="shared" si="68"/>
        <v>Mid Tenure</v>
      </c>
      <c r="AB805" s="5">
        <v>44665</v>
      </c>
      <c r="AC805">
        <f t="shared" si="69"/>
        <v>0</v>
      </c>
      <c r="AD805" t="s">
        <v>49</v>
      </c>
      <c r="AE805">
        <f>VLOOKUP(A805,'Employee Engagement Survey'!A703:B2172,2,FALSE)</f>
        <v>4</v>
      </c>
      <c r="AF805">
        <f>VLOOKUP(A805,'Employee Engagement Survey'!A703:C2172,3,FALSE)</f>
        <v>3</v>
      </c>
      <c r="AG805">
        <f>VLOOKUP(A805,'Employee Engagement Survey'!A703:D2172,4,FALSE)</f>
        <v>4</v>
      </c>
      <c r="AH805">
        <f>VLOOKUP(A805,'Employee Engagement Survey'!A703:E2172,5,FALSE)</f>
        <v>2</v>
      </c>
      <c r="AI805">
        <f t="shared" si="67"/>
        <v>3.25</v>
      </c>
    </row>
    <row r="806" spans="1:35" hidden="1" x14ac:dyDescent="0.4">
      <c r="A806">
        <v>990</v>
      </c>
      <c r="B806" t="s">
        <v>34</v>
      </c>
      <c r="C806">
        <f t="shared" si="65"/>
        <v>1</v>
      </c>
      <c r="D806" t="s">
        <v>57</v>
      </c>
      <c r="E806">
        <f t="shared" si="66"/>
        <v>0</v>
      </c>
      <c r="F806" t="s">
        <v>40</v>
      </c>
      <c r="G806">
        <v>7</v>
      </c>
      <c r="H806" s="1">
        <v>72948</v>
      </c>
      <c r="I806" s="10">
        <v>0.13</v>
      </c>
      <c r="J806">
        <v>37.5</v>
      </c>
      <c r="K806" t="s">
        <v>34</v>
      </c>
      <c r="L806">
        <v>36</v>
      </c>
      <c r="M806" t="s">
        <v>29</v>
      </c>
      <c r="N806" t="s">
        <v>48</v>
      </c>
      <c r="O806" t="s">
        <v>35</v>
      </c>
      <c r="P806">
        <v>8</v>
      </c>
      <c r="Q806" t="s">
        <v>51</v>
      </c>
      <c r="R806" t="s">
        <v>45</v>
      </c>
      <c r="S806">
        <v>3</v>
      </c>
      <c r="T806">
        <v>2</v>
      </c>
      <c r="U806">
        <v>12</v>
      </c>
      <c r="V806">
        <v>3</v>
      </c>
      <c r="W806">
        <v>7</v>
      </c>
      <c r="X806">
        <v>7</v>
      </c>
      <c r="Y806">
        <v>0</v>
      </c>
      <c r="Z806">
        <v>7</v>
      </c>
      <c r="AA806" t="str">
        <f t="shared" si="68"/>
        <v>Mid Tenure</v>
      </c>
      <c r="AB806" s="5">
        <v>45658</v>
      </c>
      <c r="AC806">
        <f t="shared" si="69"/>
        <v>1</v>
      </c>
      <c r="AD806" t="s">
        <v>49</v>
      </c>
      <c r="AE806">
        <f>VLOOKUP(A806,'Employee Engagement Survey'!A704:B2173,2,FALSE)</f>
        <v>1</v>
      </c>
      <c r="AF806">
        <f>VLOOKUP(A806,'Employee Engagement Survey'!A704:C2173,3,FALSE)</f>
        <v>4</v>
      </c>
      <c r="AG806">
        <f>VLOOKUP(A806,'Employee Engagement Survey'!A704:D2173,4,FALSE)</f>
        <v>4</v>
      </c>
      <c r="AH806">
        <f>VLOOKUP(A806,'Employee Engagement Survey'!A704:E2173,5,FALSE)</f>
        <v>3</v>
      </c>
      <c r="AI806">
        <f t="shared" si="67"/>
        <v>3</v>
      </c>
    </row>
    <row r="807" spans="1:35" hidden="1" x14ac:dyDescent="0.4">
      <c r="A807">
        <v>992</v>
      </c>
      <c r="B807" t="s">
        <v>34</v>
      </c>
      <c r="C807">
        <f t="shared" si="65"/>
        <v>1</v>
      </c>
      <c r="D807" t="s">
        <v>110</v>
      </c>
      <c r="E807">
        <f t="shared" si="66"/>
        <v>1</v>
      </c>
      <c r="F807" t="s">
        <v>40</v>
      </c>
      <c r="G807">
        <v>4</v>
      </c>
      <c r="H807" s="1">
        <v>221328</v>
      </c>
      <c r="I807" s="10">
        <v>0.11</v>
      </c>
      <c r="J807">
        <v>37.5</v>
      </c>
      <c r="K807" t="s">
        <v>34</v>
      </c>
      <c r="L807">
        <v>33</v>
      </c>
      <c r="M807" t="s">
        <v>29</v>
      </c>
      <c r="N807" t="s">
        <v>30</v>
      </c>
      <c r="O807" t="s">
        <v>35</v>
      </c>
      <c r="P807">
        <v>17</v>
      </c>
      <c r="Q807" t="s">
        <v>43</v>
      </c>
      <c r="R807" t="s">
        <v>37</v>
      </c>
      <c r="S807">
        <v>3</v>
      </c>
      <c r="T807">
        <v>0</v>
      </c>
      <c r="U807">
        <v>10</v>
      </c>
      <c r="V807">
        <v>2</v>
      </c>
      <c r="W807">
        <v>10</v>
      </c>
      <c r="X807">
        <v>8</v>
      </c>
      <c r="Y807">
        <v>6</v>
      </c>
      <c r="Z807">
        <v>0</v>
      </c>
      <c r="AA807" t="str">
        <f t="shared" si="68"/>
        <v>Long Tenure</v>
      </c>
      <c r="AB807" s="5">
        <v>46001</v>
      </c>
      <c r="AC807">
        <f t="shared" si="69"/>
        <v>1</v>
      </c>
      <c r="AD807" t="s">
        <v>38</v>
      </c>
      <c r="AE807">
        <f>VLOOKUP(A807,'Employee Engagement Survey'!A706:B2175,2,FALSE)</f>
        <v>4</v>
      </c>
      <c r="AF807">
        <f>VLOOKUP(A807,'Employee Engagement Survey'!A706:C2175,3,FALSE)</f>
        <v>3</v>
      </c>
      <c r="AG807">
        <f>VLOOKUP(A807,'Employee Engagement Survey'!A706:D2175,4,FALSE)</f>
        <v>4</v>
      </c>
      <c r="AH807">
        <f>VLOOKUP(A807,'Employee Engagement Survey'!A706:E2175,5,FALSE)</f>
        <v>3</v>
      </c>
      <c r="AI807">
        <f t="shared" si="67"/>
        <v>3.5</v>
      </c>
    </row>
    <row r="808" spans="1:35" hidden="1" x14ac:dyDescent="0.4">
      <c r="A808">
        <v>1622</v>
      </c>
      <c r="B808" t="s">
        <v>34</v>
      </c>
      <c r="C808">
        <f t="shared" si="65"/>
        <v>1</v>
      </c>
      <c r="D808" t="s">
        <v>54</v>
      </c>
      <c r="E808">
        <f t="shared" si="66"/>
        <v>1</v>
      </c>
      <c r="F808" t="s">
        <v>28</v>
      </c>
      <c r="G808">
        <v>7</v>
      </c>
      <c r="H808" s="1">
        <v>70524</v>
      </c>
      <c r="I808" s="10">
        <v>0.21</v>
      </c>
      <c r="J808">
        <v>37.5</v>
      </c>
      <c r="K808" t="s">
        <v>34</v>
      </c>
      <c r="L808">
        <v>28</v>
      </c>
      <c r="M808" t="s">
        <v>47</v>
      </c>
      <c r="N808" t="s">
        <v>48</v>
      </c>
      <c r="O808" t="s">
        <v>31</v>
      </c>
      <c r="P808">
        <v>27</v>
      </c>
      <c r="Q808" t="s">
        <v>43</v>
      </c>
      <c r="R808" t="s">
        <v>33</v>
      </c>
      <c r="S808">
        <v>4</v>
      </c>
      <c r="T808">
        <v>1</v>
      </c>
      <c r="U808">
        <v>6</v>
      </c>
      <c r="V808">
        <v>5</v>
      </c>
      <c r="W808">
        <v>5</v>
      </c>
      <c r="X808">
        <v>3</v>
      </c>
      <c r="Y808">
        <v>0</v>
      </c>
      <c r="Z808">
        <v>0</v>
      </c>
      <c r="AA808" t="str">
        <f t="shared" si="68"/>
        <v>Mid Tenure</v>
      </c>
      <c r="AB808" s="5">
        <v>45113</v>
      </c>
      <c r="AC808">
        <f t="shared" si="69"/>
        <v>0</v>
      </c>
      <c r="AD808" t="s">
        <v>38</v>
      </c>
      <c r="AE808">
        <f>VLOOKUP(A808,'Employee Engagement Survey'!A707:B2176,2,FALSE)</f>
        <v>2</v>
      </c>
      <c r="AF808">
        <f>VLOOKUP(A808,'Employee Engagement Survey'!A707:C2176,3,FALSE)</f>
        <v>1</v>
      </c>
      <c r="AG808">
        <f>VLOOKUP(A808,'Employee Engagement Survey'!A707:D2176,4,FALSE)</f>
        <v>2</v>
      </c>
      <c r="AH808">
        <f>VLOOKUP(A808,'Employee Engagement Survey'!A707:E2176,5,FALSE)</f>
        <v>2</v>
      </c>
      <c r="AI808">
        <f t="shared" si="67"/>
        <v>1.75</v>
      </c>
    </row>
    <row r="809" spans="1:35" hidden="1" x14ac:dyDescent="0.4">
      <c r="A809">
        <v>2009</v>
      </c>
      <c r="B809" t="s">
        <v>34</v>
      </c>
      <c r="C809">
        <f t="shared" si="65"/>
        <v>1</v>
      </c>
      <c r="D809" t="s">
        <v>55</v>
      </c>
      <c r="E809">
        <f t="shared" si="66"/>
        <v>0</v>
      </c>
      <c r="F809" t="s">
        <v>28</v>
      </c>
      <c r="G809">
        <v>7</v>
      </c>
      <c r="H809" s="1">
        <v>70536</v>
      </c>
      <c r="I809" s="10">
        <v>0.13</v>
      </c>
      <c r="J809">
        <v>37.5</v>
      </c>
      <c r="K809" t="s">
        <v>26</v>
      </c>
      <c r="L809">
        <v>33</v>
      </c>
      <c r="M809" t="s">
        <v>47</v>
      </c>
      <c r="N809" t="s">
        <v>42</v>
      </c>
      <c r="O809" t="s">
        <v>31</v>
      </c>
      <c r="P809">
        <v>15</v>
      </c>
      <c r="Q809" t="s">
        <v>36</v>
      </c>
      <c r="R809" t="s">
        <v>33</v>
      </c>
      <c r="S809">
        <v>3</v>
      </c>
      <c r="T809">
        <v>1</v>
      </c>
      <c r="U809">
        <v>10</v>
      </c>
      <c r="V809">
        <v>6</v>
      </c>
      <c r="W809">
        <v>9</v>
      </c>
      <c r="X809">
        <v>7</v>
      </c>
      <c r="Y809">
        <v>8</v>
      </c>
      <c r="Z809">
        <v>1</v>
      </c>
      <c r="AA809" t="str">
        <f t="shared" si="68"/>
        <v>Mid Tenure</v>
      </c>
      <c r="AB809" s="5">
        <v>45204</v>
      </c>
      <c r="AC809">
        <f t="shared" si="69"/>
        <v>0</v>
      </c>
      <c r="AD809" t="s">
        <v>38</v>
      </c>
      <c r="AE809">
        <f>VLOOKUP(A809,'Employee Engagement Survey'!A708:B2177,2,FALSE)</f>
        <v>2</v>
      </c>
      <c r="AF809">
        <f>VLOOKUP(A809,'Employee Engagement Survey'!A708:C2177,3,FALSE)</f>
        <v>4</v>
      </c>
      <c r="AG809">
        <f>VLOOKUP(A809,'Employee Engagement Survey'!A708:D2177,4,FALSE)</f>
        <v>1</v>
      </c>
      <c r="AH809">
        <f>VLOOKUP(A809,'Employee Engagement Survey'!A708:E2177,5,FALSE)</f>
        <v>3</v>
      </c>
      <c r="AI809">
        <f t="shared" si="67"/>
        <v>2.5</v>
      </c>
    </row>
    <row r="810" spans="1:35" hidden="1" x14ac:dyDescent="0.4">
      <c r="A810">
        <v>997</v>
      </c>
      <c r="B810" t="s">
        <v>34</v>
      </c>
      <c r="C810">
        <f t="shared" si="65"/>
        <v>1</v>
      </c>
      <c r="D810" t="s">
        <v>60</v>
      </c>
      <c r="E810">
        <f t="shared" si="66"/>
        <v>1</v>
      </c>
      <c r="F810" t="s">
        <v>28</v>
      </c>
      <c r="G810">
        <v>4</v>
      </c>
      <c r="H810" s="1">
        <v>220788</v>
      </c>
      <c r="I810" s="10">
        <v>0.22</v>
      </c>
      <c r="J810">
        <v>37.5</v>
      </c>
      <c r="K810" t="s">
        <v>34</v>
      </c>
      <c r="L810">
        <v>50</v>
      </c>
      <c r="M810" t="s">
        <v>29</v>
      </c>
      <c r="N810" t="s">
        <v>48</v>
      </c>
      <c r="O810" t="s">
        <v>31</v>
      </c>
      <c r="P810">
        <v>1</v>
      </c>
      <c r="Q810" t="s">
        <v>36</v>
      </c>
      <c r="R810" t="s">
        <v>33</v>
      </c>
      <c r="S810">
        <v>4</v>
      </c>
      <c r="T810">
        <v>1</v>
      </c>
      <c r="U810">
        <v>32</v>
      </c>
      <c r="V810">
        <v>1</v>
      </c>
      <c r="W810">
        <v>5</v>
      </c>
      <c r="X810">
        <v>4</v>
      </c>
      <c r="Y810">
        <v>1</v>
      </c>
      <c r="Z810">
        <v>3</v>
      </c>
      <c r="AA810" t="str">
        <f t="shared" si="68"/>
        <v>Mid Tenure</v>
      </c>
      <c r="AB810" s="5">
        <v>45702</v>
      </c>
      <c r="AC810">
        <f t="shared" si="69"/>
        <v>1</v>
      </c>
      <c r="AD810" t="s">
        <v>38</v>
      </c>
      <c r="AE810">
        <f>VLOOKUP(A810,'Employee Engagement Survey'!A709:B2178,2,FALSE)</f>
        <v>4</v>
      </c>
      <c r="AF810">
        <f>VLOOKUP(A810,'Employee Engagement Survey'!A709:C2178,3,FALSE)</f>
        <v>4</v>
      </c>
      <c r="AG810">
        <f>VLOOKUP(A810,'Employee Engagement Survey'!A709:D2178,4,FALSE)</f>
        <v>3</v>
      </c>
      <c r="AH810">
        <f>VLOOKUP(A810,'Employee Engagement Survey'!A709:E2178,5,FALSE)</f>
        <v>2</v>
      </c>
      <c r="AI810">
        <f t="shared" si="67"/>
        <v>3.25</v>
      </c>
    </row>
    <row r="811" spans="1:35" hidden="1" x14ac:dyDescent="0.4">
      <c r="A811">
        <v>999</v>
      </c>
      <c r="B811" t="s">
        <v>34</v>
      </c>
      <c r="C811">
        <f t="shared" si="65"/>
        <v>1</v>
      </c>
      <c r="D811" t="s">
        <v>60</v>
      </c>
      <c r="E811">
        <f t="shared" si="66"/>
        <v>1</v>
      </c>
      <c r="F811" t="s">
        <v>28</v>
      </c>
      <c r="G811">
        <v>5</v>
      </c>
      <c r="H811" s="1">
        <v>245028</v>
      </c>
      <c r="I811" s="10">
        <v>0.17</v>
      </c>
      <c r="J811">
        <v>37.5</v>
      </c>
      <c r="K811" t="s">
        <v>34</v>
      </c>
      <c r="L811">
        <v>41</v>
      </c>
      <c r="M811" t="s">
        <v>29</v>
      </c>
      <c r="N811" t="s">
        <v>48</v>
      </c>
      <c r="O811" t="s">
        <v>44</v>
      </c>
      <c r="P811">
        <v>9</v>
      </c>
      <c r="Q811" t="s">
        <v>43</v>
      </c>
      <c r="R811" t="s">
        <v>33</v>
      </c>
      <c r="S811">
        <v>3</v>
      </c>
      <c r="T811">
        <v>1</v>
      </c>
      <c r="U811">
        <v>21</v>
      </c>
      <c r="V811">
        <v>2</v>
      </c>
      <c r="W811">
        <v>18</v>
      </c>
      <c r="X811">
        <v>16</v>
      </c>
      <c r="Y811">
        <v>0</v>
      </c>
      <c r="Z811">
        <v>11</v>
      </c>
      <c r="AA811" t="str">
        <f t="shared" si="68"/>
        <v>Long Tenure</v>
      </c>
      <c r="AB811" s="5">
        <v>45197</v>
      </c>
      <c r="AC811">
        <f t="shared" si="69"/>
        <v>0</v>
      </c>
      <c r="AD811" t="s">
        <v>38</v>
      </c>
      <c r="AE811">
        <f>VLOOKUP(A811,'Employee Engagement Survey'!A710:B2179,2,FALSE)</f>
        <v>1</v>
      </c>
      <c r="AF811">
        <f>VLOOKUP(A811,'Employee Engagement Survey'!A710:C2179,3,FALSE)</f>
        <v>3</v>
      </c>
      <c r="AG811">
        <f>VLOOKUP(A811,'Employee Engagement Survey'!A710:D2179,4,FALSE)</f>
        <v>2</v>
      </c>
      <c r="AH811">
        <f>VLOOKUP(A811,'Employee Engagement Survey'!A710:E2179,5,FALSE)</f>
        <v>4</v>
      </c>
      <c r="AI811">
        <f t="shared" si="67"/>
        <v>2.5</v>
      </c>
    </row>
    <row r="812" spans="1:35" hidden="1" x14ac:dyDescent="0.4">
      <c r="A812">
        <v>1002</v>
      </c>
      <c r="B812" t="s">
        <v>34</v>
      </c>
      <c r="C812">
        <f t="shared" si="65"/>
        <v>1</v>
      </c>
      <c r="D812" t="s">
        <v>46</v>
      </c>
      <c r="E812">
        <f t="shared" si="66"/>
        <v>0</v>
      </c>
      <c r="F812" t="s">
        <v>28</v>
      </c>
      <c r="G812">
        <v>6</v>
      </c>
      <c r="H812" s="1">
        <v>67596</v>
      </c>
      <c r="I812" s="10">
        <v>0.15</v>
      </c>
      <c r="J812">
        <v>37.5</v>
      </c>
      <c r="K812" t="s">
        <v>26</v>
      </c>
      <c r="L812">
        <v>45</v>
      </c>
      <c r="M812" t="s">
        <v>29</v>
      </c>
      <c r="N812" t="s">
        <v>42</v>
      </c>
      <c r="O812" t="s">
        <v>35</v>
      </c>
      <c r="P812">
        <v>23</v>
      </c>
      <c r="Q812" t="s">
        <v>36</v>
      </c>
      <c r="R812" t="s">
        <v>37</v>
      </c>
      <c r="S812">
        <v>3</v>
      </c>
      <c r="T812">
        <v>1</v>
      </c>
      <c r="U812">
        <v>9</v>
      </c>
      <c r="V812">
        <v>2</v>
      </c>
      <c r="W812">
        <v>9</v>
      </c>
      <c r="X812">
        <v>8</v>
      </c>
      <c r="Y812">
        <v>0</v>
      </c>
      <c r="Z812">
        <v>8</v>
      </c>
      <c r="AA812" t="str">
        <f t="shared" si="68"/>
        <v>Mid Tenure</v>
      </c>
      <c r="AB812" s="5">
        <v>44585</v>
      </c>
      <c r="AC812">
        <f t="shared" si="69"/>
        <v>0</v>
      </c>
      <c r="AD812" t="s">
        <v>38</v>
      </c>
      <c r="AE812">
        <f>VLOOKUP(A812,'Employee Engagement Survey'!A711:B2180,2,FALSE)</f>
        <v>4</v>
      </c>
      <c r="AF812">
        <f>VLOOKUP(A812,'Employee Engagement Survey'!A711:C2180,3,FALSE)</f>
        <v>1</v>
      </c>
      <c r="AG812">
        <f>VLOOKUP(A812,'Employee Engagement Survey'!A711:D2180,4,FALSE)</f>
        <v>3</v>
      </c>
      <c r="AH812">
        <f>VLOOKUP(A812,'Employee Engagement Survey'!A711:E2180,5,FALSE)</f>
        <v>3</v>
      </c>
      <c r="AI812">
        <f t="shared" si="67"/>
        <v>2.75</v>
      </c>
    </row>
    <row r="813" spans="1:35" hidden="1" x14ac:dyDescent="0.4">
      <c r="A813">
        <v>350</v>
      </c>
      <c r="B813" t="s">
        <v>34</v>
      </c>
      <c r="C813">
        <f t="shared" si="65"/>
        <v>1</v>
      </c>
      <c r="D813" t="s">
        <v>54</v>
      </c>
      <c r="E813">
        <f t="shared" si="66"/>
        <v>1</v>
      </c>
      <c r="F813" t="s">
        <v>28</v>
      </c>
      <c r="G813">
        <v>7</v>
      </c>
      <c r="H813" s="1">
        <v>70776</v>
      </c>
      <c r="I813" s="10">
        <v>0.12</v>
      </c>
      <c r="J813">
        <v>37.5</v>
      </c>
      <c r="K813" t="s">
        <v>34</v>
      </c>
      <c r="L813">
        <v>25</v>
      </c>
      <c r="M813" t="s">
        <v>47</v>
      </c>
      <c r="N813" t="s">
        <v>42</v>
      </c>
      <c r="O813" t="s">
        <v>31</v>
      </c>
      <c r="P813">
        <v>1</v>
      </c>
      <c r="Q813" t="s">
        <v>43</v>
      </c>
      <c r="R813" t="s">
        <v>37</v>
      </c>
      <c r="S813">
        <v>3</v>
      </c>
      <c r="T813">
        <v>2</v>
      </c>
      <c r="U813">
        <v>5</v>
      </c>
      <c r="V813">
        <v>3</v>
      </c>
      <c r="W813">
        <v>4</v>
      </c>
      <c r="X813">
        <v>2</v>
      </c>
      <c r="Y813">
        <v>1</v>
      </c>
      <c r="Z813">
        <v>2</v>
      </c>
      <c r="AA813" t="str">
        <f t="shared" si="68"/>
        <v>Mid Tenure</v>
      </c>
      <c r="AB813" s="5">
        <v>45106</v>
      </c>
      <c r="AC813">
        <f t="shared" si="69"/>
        <v>0</v>
      </c>
      <c r="AD813" t="s">
        <v>38</v>
      </c>
      <c r="AE813">
        <f>VLOOKUP(A813,'Employee Engagement Survey'!A712:B2181,2,FALSE)</f>
        <v>1</v>
      </c>
      <c r="AF813">
        <f>VLOOKUP(A813,'Employee Engagement Survey'!A712:C2181,3,FALSE)</f>
        <v>3</v>
      </c>
      <c r="AG813">
        <f>VLOOKUP(A813,'Employee Engagement Survey'!A712:D2181,4,FALSE)</f>
        <v>4</v>
      </c>
      <c r="AH813">
        <f>VLOOKUP(A813,'Employee Engagement Survey'!A712:E2181,5,FALSE)</f>
        <v>3</v>
      </c>
      <c r="AI813">
        <f t="shared" si="67"/>
        <v>2.75</v>
      </c>
    </row>
    <row r="814" spans="1:35" hidden="1" x14ac:dyDescent="0.4">
      <c r="A814">
        <v>1005</v>
      </c>
      <c r="B814" t="s">
        <v>34</v>
      </c>
      <c r="C814">
        <f t="shared" si="65"/>
        <v>1</v>
      </c>
      <c r="D814" t="s">
        <v>54</v>
      </c>
      <c r="E814">
        <f t="shared" si="66"/>
        <v>1</v>
      </c>
      <c r="F814" t="s">
        <v>28</v>
      </c>
      <c r="G814">
        <v>4</v>
      </c>
      <c r="H814" s="1">
        <v>179676</v>
      </c>
      <c r="I814" s="10">
        <v>0.18</v>
      </c>
      <c r="J814">
        <v>37.5</v>
      </c>
      <c r="K814" t="s">
        <v>26</v>
      </c>
      <c r="L814">
        <v>50</v>
      </c>
      <c r="M814" t="s">
        <v>29</v>
      </c>
      <c r="N814" t="s">
        <v>42</v>
      </c>
      <c r="O814" t="s">
        <v>31</v>
      </c>
      <c r="P814">
        <v>24</v>
      </c>
      <c r="Q814" t="s">
        <v>43</v>
      </c>
      <c r="R814" t="s">
        <v>37</v>
      </c>
      <c r="S814">
        <v>3</v>
      </c>
      <c r="T814">
        <v>1</v>
      </c>
      <c r="U814">
        <v>22</v>
      </c>
      <c r="V814">
        <v>2</v>
      </c>
      <c r="W814">
        <v>12</v>
      </c>
      <c r="X814">
        <v>11</v>
      </c>
      <c r="Y814">
        <v>1</v>
      </c>
      <c r="Z814">
        <v>5</v>
      </c>
      <c r="AA814" t="str">
        <f t="shared" si="68"/>
        <v>Long Tenure</v>
      </c>
      <c r="AB814" s="5">
        <v>45753</v>
      </c>
      <c r="AC814">
        <f t="shared" si="69"/>
        <v>1</v>
      </c>
      <c r="AD814" t="s">
        <v>49</v>
      </c>
      <c r="AE814">
        <f>VLOOKUP(A814,'Employee Engagement Survey'!A713:B2182,2,FALSE)</f>
        <v>4</v>
      </c>
      <c r="AF814">
        <f>VLOOKUP(A814,'Employee Engagement Survey'!A713:C2182,3,FALSE)</f>
        <v>3</v>
      </c>
      <c r="AG814">
        <f>VLOOKUP(A814,'Employee Engagement Survey'!A713:D2182,4,FALSE)</f>
        <v>4</v>
      </c>
      <c r="AH814">
        <f>VLOOKUP(A814,'Employee Engagement Survey'!A713:E2182,5,FALSE)</f>
        <v>3</v>
      </c>
      <c r="AI814">
        <f t="shared" si="67"/>
        <v>3.5</v>
      </c>
    </row>
    <row r="815" spans="1:35" hidden="1" x14ac:dyDescent="0.4">
      <c r="A815">
        <v>1006</v>
      </c>
      <c r="B815" t="s">
        <v>34</v>
      </c>
      <c r="C815">
        <f t="shared" si="65"/>
        <v>1</v>
      </c>
      <c r="D815" t="s">
        <v>27</v>
      </c>
      <c r="E815">
        <f t="shared" si="66"/>
        <v>0</v>
      </c>
      <c r="F815" t="s">
        <v>28</v>
      </c>
      <c r="G815">
        <v>5</v>
      </c>
      <c r="H815" s="1">
        <v>56208</v>
      </c>
      <c r="I815" s="10">
        <v>0.17</v>
      </c>
      <c r="J815">
        <v>37.5</v>
      </c>
      <c r="K815" t="s">
        <v>34</v>
      </c>
      <c r="L815">
        <v>38</v>
      </c>
      <c r="M815" t="s">
        <v>29</v>
      </c>
      <c r="N815" t="s">
        <v>42</v>
      </c>
      <c r="O815" t="s">
        <v>44</v>
      </c>
      <c r="P815">
        <v>10</v>
      </c>
      <c r="Q815" t="s">
        <v>32</v>
      </c>
      <c r="R815" t="s">
        <v>33</v>
      </c>
      <c r="S815">
        <v>3</v>
      </c>
      <c r="T815">
        <v>1</v>
      </c>
      <c r="U815">
        <v>3</v>
      </c>
      <c r="V815">
        <v>0</v>
      </c>
      <c r="W815">
        <v>2</v>
      </c>
      <c r="X815">
        <v>1</v>
      </c>
      <c r="Y815">
        <v>0</v>
      </c>
      <c r="Z815">
        <v>2</v>
      </c>
      <c r="AA815" t="str">
        <f t="shared" si="68"/>
        <v>Early Tenure</v>
      </c>
      <c r="AB815" s="5">
        <v>45698</v>
      </c>
      <c r="AC815">
        <f t="shared" si="69"/>
        <v>1</v>
      </c>
      <c r="AD815" t="s">
        <v>49</v>
      </c>
      <c r="AE815">
        <f>VLOOKUP(A815,'Employee Engagement Survey'!A714:B2183,2,FALSE)</f>
        <v>3</v>
      </c>
      <c r="AF815">
        <f>VLOOKUP(A815,'Employee Engagement Survey'!A714:C2183,3,FALSE)</f>
        <v>3</v>
      </c>
      <c r="AG815">
        <f>VLOOKUP(A815,'Employee Engagement Survey'!A714:D2183,4,FALSE)</f>
        <v>2</v>
      </c>
      <c r="AH815">
        <f>VLOOKUP(A815,'Employee Engagement Survey'!A714:E2183,5,FALSE)</f>
        <v>2</v>
      </c>
      <c r="AI815">
        <f t="shared" si="67"/>
        <v>2.5</v>
      </c>
    </row>
    <row r="816" spans="1:35" hidden="1" x14ac:dyDescent="0.4">
      <c r="A816">
        <v>1007</v>
      </c>
      <c r="B816" t="s">
        <v>34</v>
      </c>
      <c r="C816">
        <f t="shared" si="65"/>
        <v>1</v>
      </c>
      <c r="D816" t="s">
        <v>54</v>
      </c>
      <c r="E816">
        <f t="shared" si="66"/>
        <v>1</v>
      </c>
      <c r="F816" t="s">
        <v>28</v>
      </c>
      <c r="G816">
        <v>10</v>
      </c>
      <c r="H816" s="1">
        <v>142140</v>
      </c>
      <c r="I816" s="10">
        <v>0.13</v>
      </c>
      <c r="J816">
        <v>37.5</v>
      </c>
      <c r="K816" t="s">
        <v>34</v>
      </c>
      <c r="L816">
        <v>46</v>
      </c>
      <c r="M816" t="s">
        <v>29</v>
      </c>
      <c r="N816" t="s">
        <v>48</v>
      </c>
      <c r="O816" t="s">
        <v>31</v>
      </c>
      <c r="P816">
        <v>7</v>
      </c>
      <c r="Q816" t="s">
        <v>36</v>
      </c>
      <c r="R816" t="s">
        <v>33</v>
      </c>
      <c r="S816">
        <v>3</v>
      </c>
      <c r="T816">
        <v>1</v>
      </c>
      <c r="U816">
        <v>13</v>
      </c>
      <c r="V816">
        <v>3</v>
      </c>
      <c r="W816">
        <v>8</v>
      </c>
      <c r="X816">
        <v>7</v>
      </c>
      <c r="Y816">
        <v>0</v>
      </c>
      <c r="Z816">
        <v>7</v>
      </c>
      <c r="AA816" t="str">
        <f t="shared" si="68"/>
        <v>Mid Tenure</v>
      </c>
      <c r="AB816" s="5">
        <v>45477</v>
      </c>
      <c r="AC816">
        <f t="shared" si="69"/>
        <v>1</v>
      </c>
      <c r="AD816" t="s">
        <v>49</v>
      </c>
      <c r="AE816">
        <f>VLOOKUP(A816,'Employee Engagement Survey'!A715:B2184,2,FALSE)</f>
        <v>4</v>
      </c>
      <c r="AF816">
        <f>VLOOKUP(A816,'Employee Engagement Survey'!A715:C2184,3,FALSE)</f>
        <v>3</v>
      </c>
      <c r="AG816">
        <f>VLOOKUP(A816,'Employee Engagement Survey'!A715:D2184,4,FALSE)</f>
        <v>2</v>
      </c>
      <c r="AH816">
        <f>VLOOKUP(A816,'Employee Engagement Survey'!A715:E2184,5,FALSE)</f>
        <v>3</v>
      </c>
      <c r="AI816">
        <f t="shared" si="67"/>
        <v>3</v>
      </c>
    </row>
    <row r="817" spans="1:35" hidden="1" x14ac:dyDescent="0.4">
      <c r="A817">
        <v>1018</v>
      </c>
      <c r="B817" t="s">
        <v>34</v>
      </c>
      <c r="C817">
        <f t="shared" si="65"/>
        <v>1</v>
      </c>
      <c r="D817" t="s">
        <v>54</v>
      </c>
      <c r="E817">
        <f t="shared" si="66"/>
        <v>1</v>
      </c>
      <c r="F817" t="s">
        <v>28</v>
      </c>
      <c r="G817">
        <v>7</v>
      </c>
      <c r="H817" s="1">
        <v>77664</v>
      </c>
      <c r="I817" s="10">
        <v>0.12</v>
      </c>
      <c r="J817">
        <v>37.5</v>
      </c>
      <c r="K817" t="s">
        <v>34</v>
      </c>
      <c r="L817">
        <v>26</v>
      </c>
      <c r="M817" t="s">
        <v>29</v>
      </c>
      <c r="N817" t="s">
        <v>42</v>
      </c>
      <c r="O817" t="s">
        <v>31</v>
      </c>
      <c r="P817">
        <v>2</v>
      </c>
      <c r="Q817" t="s">
        <v>36</v>
      </c>
      <c r="R817" t="s">
        <v>33</v>
      </c>
      <c r="S817">
        <v>3</v>
      </c>
      <c r="T817">
        <v>0</v>
      </c>
      <c r="U817">
        <v>8</v>
      </c>
      <c r="V817">
        <v>2</v>
      </c>
      <c r="W817">
        <v>8</v>
      </c>
      <c r="X817">
        <v>7</v>
      </c>
      <c r="Y817">
        <v>1</v>
      </c>
      <c r="Z817">
        <v>3</v>
      </c>
      <c r="AA817" t="str">
        <f t="shared" si="68"/>
        <v>Mid Tenure</v>
      </c>
      <c r="AB817" s="5">
        <v>45572</v>
      </c>
      <c r="AC817">
        <f t="shared" si="69"/>
        <v>1</v>
      </c>
      <c r="AD817" t="s">
        <v>38</v>
      </c>
      <c r="AE817">
        <f>VLOOKUP(A817,'Employee Engagement Survey'!A717:B2186,2,FALSE)</f>
        <v>4</v>
      </c>
      <c r="AF817">
        <f>VLOOKUP(A817,'Employee Engagement Survey'!A717:C2186,3,FALSE)</f>
        <v>4</v>
      </c>
      <c r="AG817">
        <f>VLOOKUP(A817,'Employee Engagement Survey'!A717:D2186,4,FALSE)</f>
        <v>2</v>
      </c>
      <c r="AH817">
        <f>VLOOKUP(A817,'Employee Engagement Survey'!A717:E2186,5,FALSE)</f>
        <v>3</v>
      </c>
      <c r="AI817">
        <f t="shared" si="67"/>
        <v>3.25</v>
      </c>
    </row>
    <row r="818" spans="1:35" hidden="1" x14ac:dyDescent="0.4">
      <c r="A818">
        <v>1019</v>
      </c>
      <c r="B818" t="s">
        <v>34</v>
      </c>
      <c r="C818">
        <f t="shared" ref="C818:C881" si="70">IF(B818="No",1,0)</f>
        <v>1</v>
      </c>
      <c r="D818" t="s">
        <v>46</v>
      </c>
      <c r="E818">
        <f t="shared" si="66"/>
        <v>0</v>
      </c>
      <c r="F818" t="s">
        <v>28</v>
      </c>
      <c r="G818">
        <v>4</v>
      </c>
      <c r="H818" s="1">
        <v>53412</v>
      </c>
      <c r="I818" s="10">
        <v>0.15</v>
      </c>
      <c r="J818">
        <v>37.5</v>
      </c>
      <c r="K818" t="s">
        <v>34</v>
      </c>
      <c r="L818">
        <v>22</v>
      </c>
      <c r="M818" t="s">
        <v>29</v>
      </c>
      <c r="N818" t="s">
        <v>42</v>
      </c>
      <c r="O818" t="s">
        <v>31</v>
      </c>
      <c r="P818">
        <v>8</v>
      </c>
      <c r="Q818" t="s">
        <v>32</v>
      </c>
      <c r="R818" t="s">
        <v>37</v>
      </c>
      <c r="S818">
        <v>3</v>
      </c>
      <c r="T818">
        <v>1</v>
      </c>
      <c r="U818">
        <v>4</v>
      </c>
      <c r="V818">
        <v>3</v>
      </c>
      <c r="W818">
        <v>4</v>
      </c>
      <c r="X818">
        <v>3</v>
      </c>
      <c r="Y818">
        <v>1</v>
      </c>
      <c r="Z818">
        <v>1</v>
      </c>
      <c r="AA818" t="str">
        <f t="shared" si="68"/>
        <v>Mid Tenure</v>
      </c>
      <c r="AB818" s="5">
        <v>45602</v>
      </c>
      <c r="AC818">
        <f t="shared" si="69"/>
        <v>1</v>
      </c>
      <c r="AD818" t="s">
        <v>49</v>
      </c>
      <c r="AE818">
        <f>VLOOKUP(A818,'Employee Engagement Survey'!A718:B2187,2,FALSE)</f>
        <v>2</v>
      </c>
      <c r="AF818">
        <f>VLOOKUP(A818,'Employee Engagement Survey'!A718:C2187,3,FALSE)</f>
        <v>1</v>
      </c>
      <c r="AG818">
        <f>VLOOKUP(A818,'Employee Engagement Survey'!A718:D2187,4,FALSE)</f>
        <v>1</v>
      </c>
      <c r="AH818">
        <f>VLOOKUP(A818,'Employee Engagement Survey'!A718:E2187,5,FALSE)</f>
        <v>2</v>
      </c>
      <c r="AI818">
        <f t="shared" si="67"/>
        <v>1.5</v>
      </c>
    </row>
    <row r="819" spans="1:35" hidden="1" x14ac:dyDescent="0.4">
      <c r="A819">
        <v>1022</v>
      </c>
      <c r="B819" t="s">
        <v>34</v>
      </c>
      <c r="C819">
        <f t="shared" si="70"/>
        <v>1</v>
      </c>
      <c r="D819" t="s">
        <v>55</v>
      </c>
      <c r="E819">
        <f t="shared" si="66"/>
        <v>0</v>
      </c>
      <c r="F819" t="s">
        <v>28</v>
      </c>
      <c r="G819">
        <v>6</v>
      </c>
      <c r="H819" s="1">
        <v>62880</v>
      </c>
      <c r="I819" s="10">
        <v>0.13</v>
      </c>
      <c r="J819">
        <v>37.5</v>
      </c>
      <c r="K819" t="s">
        <v>34</v>
      </c>
      <c r="L819">
        <v>48</v>
      </c>
      <c r="M819" t="s">
        <v>29</v>
      </c>
      <c r="N819" t="s">
        <v>30</v>
      </c>
      <c r="O819" t="s">
        <v>31</v>
      </c>
      <c r="P819">
        <v>6</v>
      </c>
      <c r="Q819" t="s">
        <v>43</v>
      </c>
      <c r="R819" t="s">
        <v>37</v>
      </c>
      <c r="S819">
        <v>3</v>
      </c>
      <c r="T819">
        <v>0</v>
      </c>
      <c r="U819">
        <v>19</v>
      </c>
      <c r="V819">
        <v>0</v>
      </c>
      <c r="W819">
        <v>2</v>
      </c>
      <c r="X819">
        <v>2</v>
      </c>
      <c r="Y819">
        <v>2</v>
      </c>
      <c r="Z819">
        <v>2</v>
      </c>
      <c r="AA819" t="str">
        <f t="shared" si="68"/>
        <v>Early Tenure</v>
      </c>
      <c r="AB819" s="5">
        <v>45579</v>
      </c>
      <c r="AC819">
        <f t="shared" si="69"/>
        <v>1</v>
      </c>
      <c r="AD819" t="s">
        <v>38</v>
      </c>
      <c r="AE819">
        <f>VLOOKUP(A819,'Employee Engagement Survey'!A719:B2188,2,FALSE)</f>
        <v>1</v>
      </c>
      <c r="AF819">
        <f>VLOOKUP(A819,'Employee Engagement Survey'!A719:C2188,3,FALSE)</f>
        <v>3</v>
      </c>
      <c r="AG819">
        <f>VLOOKUP(A819,'Employee Engagement Survey'!A719:D2188,4,FALSE)</f>
        <v>4</v>
      </c>
      <c r="AH819">
        <f>VLOOKUP(A819,'Employee Engagement Survey'!A719:E2188,5,FALSE)</f>
        <v>3</v>
      </c>
      <c r="AI819">
        <f t="shared" si="67"/>
        <v>2.75</v>
      </c>
    </row>
    <row r="820" spans="1:35" hidden="1" x14ac:dyDescent="0.4">
      <c r="A820">
        <v>2018</v>
      </c>
      <c r="B820" t="s">
        <v>34</v>
      </c>
      <c r="C820">
        <f t="shared" si="70"/>
        <v>1</v>
      </c>
      <c r="D820" t="s">
        <v>57</v>
      </c>
      <c r="E820">
        <f t="shared" si="66"/>
        <v>0</v>
      </c>
      <c r="F820" t="s">
        <v>40</v>
      </c>
      <c r="G820">
        <v>7</v>
      </c>
      <c r="H820" s="1">
        <v>70884</v>
      </c>
      <c r="I820" s="10">
        <v>0.22</v>
      </c>
      <c r="J820">
        <v>37.5</v>
      </c>
      <c r="K820" t="s">
        <v>26</v>
      </c>
      <c r="L820">
        <v>25</v>
      </c>
      <c r="M820" t="s">
        <v>47</v>
      </c>
      <c r="N820" t="s">
        <v>48</v>
      </c>
      <c r="O820" t="s">
        <v>31</v>
      </c>
      <c r="P820">
        <v>8</v>
      </c>
      <c r="Q820" t="s">
        <v>36</v>
      </c>
      <c r="R820" t="s">
        <v>53</v>
      </c>
      <c r="S820">
        <v>4</v>
      </c>
      <c r="T820">
        <v>1</v>
      </c>
      <c r="U820">
        <v>6</v>
      </c>
      <c r="V820">
        <v>3</v>
      </c>
      <c r="W820">
        <v>5</v>
      </c>
      <c r="X820">
        <v>3</v>
      </c>
      <c r="Y820">
        <v>0</v>
      </c>
      <c r="Z820">
        <v>4</v>
      </c>
      <c r="AA820" t="str">
        <f t="shared" si="68"/>
        <v>Mid Tenure</v>
      </c>
      <c r="AB820" s="5">
        <v>45231</v>
      </c>
      <c r="AC820">
        <f t="shared" si="69"/>
        <v>0</v>
      </c>
      <c r="AD820" t="s">
        <v>49</v>
      </c>
      <c r="AE820">
        <f>VLOOKUP(A820,'Employee Engagement Survey'!A720:B2189,2,FALSE)</f>
        <v>1</v>
      </c>
      <c r="AF820">
        <f>VLOOKUP(A820,'Employee Engagement Survey'!A720:C2189,3,FALSE)</f>
        <v>3</v>
      </c>
      <c r="AG820">
        <f>VLOOKUP(A820,'Employee Engagement Survey'!A720:D2189,4,FALSE)</f>
        <v>2</v>
      </c>
      <c r="AH820">
        <f>VLOOKUP(A820,'Employee Engagement Survey'!A720:E2189,5,FALSE)</f>
        <v>2</v>
      </c>
      <c r="AI820">
        <f t="shared" si="67"/>
        <v>2</v>
      </c>
    </row>
    <row r="821" spans="1:35" hidden="1" x14ac:dyDescent="0.4">
      <c r="A821">
        <v>1024</v>
      </c>
      <c r="B821" t="s">
        <v>34</v>
      </c>
      <c r="C821">
        <f t="shared" si="70"/>
        <v>1</v>
      </c>
      <c r="D821" t="s">
        <v>55</v>
      </c>
      <c r="E821">
        <f t="shared" si="66"/>
        <v>0</v>
      </c>
      <c r="F821" t="s">
        <v>28</v>
      </c>
      <c r="G821">
        <v>10</v>
      </c>
      <c r="H821" s="1">
        <v>143988</v>
      </c>
      <c r="I821" s="10">
        <v>0.14000000000000001</v>
      </c>
      <c r="J821">
        <v>37.5</v>
      </c>
      <c r="K821" t="s">
        <v>34</v>
      </c>
      <c r="L821">
        <v>48</v>
      </c>
      <c r="M821" t="s">
        <v>29</v>
      </c>
      <c r="N821" t="s">
        <v>30</v>
      </c>
      <c r="O821" t="s">
        <v>31</v>
      </c>
      <c r="P821">
        <v>4</v>
      </c>
      <c r="Q821" t="s">
        <v>51</v>
      </c>
      <c r="R821" t="s">
        <v>37</v>
      </c>
      <c r="S821">
        <v>3</v>
      </c>
      <c r="T821">
        <v>0</v>
      </c>
      <c r="U821">
        <v>27</v>
      </c>
      <c r="V821">
        <v>3</v>
      </c>
      <c r="W821">
        <v>15</v>
      </c>
      <c r="X821">
        <v>11</v>
      </c>
      <c r="Y821">
        <v>4</v>
      </c>
      <c r="Z821">
        <v>8</v>
      </c>
      <c r="AA821" t="str">
        <f t="shared" si="68"/>
        <v>Long Tenure</v>
      </c>
      <c r="AB821" s="5">
        <v>45431</v>
      </c>
      <c r="AC821">
        <f t="shared" si="69"/>
        <v>1</v>
      </c>
      <c r="AD821" t="s">
        <v>38</v>
      </c>
      <c r="AE821">
        <f>VLOOKUP(A821,'Employee Engagement Survey'!A721:B2190,2,FALSE)</f>
        <v>3</v>
      </c>
      <c r="AF821">
        <f>VLOOKUP(A821,'Employee Engagement Survey'!A721:C2190,3,FALSE)</f>
        <v>3</v>
      </c>
      <c r="AG821">
        <f>VLOOKUP(A821,'Employee Engagement Survey'!A721:D2190,4,FALSE)</f>
        <v>2</v>
      </c>
      <c r="AH821">
        <f>VLOOKUP(A821,'Employee Engagement Survey'!A721:E2190,5,FALSE)</f>
        <v>3</v>
      </c>
      <c r="AI821">
        <f t="shared" si="67"/>
        <v>2.75</v>
      </c>
    </row>
    <row r="822" spans="1:35" hidden="1" x14ac:dyDescent="0.4">
      <c r="A822">
        <v>1028</v>
      </c>
      <c r="B822" t="s">
        <v>34</v>
      </c>
      <c r="C822">
        <f t="shared" si="70"/>
        <v>1</v>
      </c>
      <c r="D822" t="s">
        <v>46</v>
      </c>
      <c r="E822">
        <f t="shared" si="66"/>
        <v>0</v>
      </c>
      <c r="F822" t="s">
        <v>28</v>
      </c>
      <c r="G822">
        <v>7</v>
      </c>
      <c r="H822" s="1">
        <v>71004</v>
      </c>
      <c r="I822" s="10">
        <v>0.2</v>
      </c>
      <c r="J822">
        <v>37.5</v>
      </c>
      <c r="K822" t="s">
        <v>34</v>
      </c>
      <c r="L822">
        <v>35</v>
      </c>
      <c r="M822" t="s">
        <v>29</v>
      </c>
      <c r="N822" t="s">
        <v>48</v>
      </c>
      <c r="O822" t="s">
        <v>31</v>
      </c>
      <c r="P822">
        <v>10</v>
      </c>
      <c r="Q822" t="s">
        <v>43</v>
      </c>
      <c r="R822" t="s">
        <v>53</v>
      </c>
      <c r="S822">
        <v>4</v>
      </c>
      <c r="T822">
        <v>1</v>
      </c>
      <c r="U822">
        <v>3</v>
      </c>
      <c r="V822">
        <v>4</v>
      </c>
      <c r="W822">
        <v>3</v>
      </c>
      <c r="X822">
        <v>2</v>
      </c>
      <c r="Y822">
        <v>1</v>
      </c>
      <c r="Z822">
        <v>2</v>
      </c>
      <c r="AA822" t="str">
        <f t="shared" si="68"/>
        <v>Mid Tenure</v>
      </c>
      <c r="AB822" s="5">
        <v>44580</v>
      </c>
      <c r="AC822">
        <f t="shared" si="69"/>
        <v>0</v>
      </c>
      <c r="AD822" t="s">
        <v>49</v>
      </c>
      <c r="AE822">
        <f>VLOOKUP(A822,'Employee Engagement Survey'!A722:B2191,2,FALSE)</f>
        <v>2</v>
      </c>
      <c r="AF822">
        <f>VLOOKUP(A822,'Employee Engagement Survey'!A722:C2191,3,FALSE)</f>
        <v>4</v>
      </c>
      <c r="AG822">
        <f>VLOOKUP(A822,'Employee Engagement Survey'!A722:D2191,4,FALSE)</f>
        <v>1</v>
      </c>
      <c r="AH822">
        <f>VLOOKUP(A822,'Employee Engagement Survey'!A722:E2191,5,FALSE)</f>
        <v>2</v>
      </c>
      <c r="AI822">
        <f t="shared" si="67"/>
        <v>2.25</v>
      </c>
    </row>
    <row r="823" spans="1:35" hidden="1" x14ac:dyDescent="0.4">
      <c r="A823">
        <v>340</v>
      </c>
      <c r="B823" t="s">
        <v>34</v>
      </c>
      <c r="C823">
        <f t="shared" si="70"/>
        <v>1</v>
      </c>
      <c r="D823" t="s">
        <v>27</v>
      </c>
      <c r="E823">
        <f t="shared" si="66"/>
        <v>0</v>
      </c>
      <c r="F823" t="s">
        <v>28</v>
      </c>
      <c r="G823">
        <v>7</v>
      </c>
      <c r="H823" s="1">
        <v>71040</v>
      </c>
      <c r="I823" s="10">
        <v>0.14000000000000001</v>
      </c>
      <c r="J823">
        <v>37.5</v>
      </c>
      <c r="K823" t="s">
        <v>34</v>
      </c>
      <c r="L823">
        <v>37</v>
      </c>
      <c r="M823" t="s">
        <v>47</v>
      </c>
      <c r="N823" t="s">
        <v>42</v>
      </c>
      <c r="O823" t="s">
        <v>31</v>
      </c>
      <c r="P823">
        <v>1</v>
      </c>
      <c r="Q823" t="s">
        <v>36</v>
      </c>
      <c r="R823" t="s">
        <v>33</v>
      </c>
      <c r="S823">
        <v>3</v>
      </c>
      <c r="T823">
        <v>1</v>
      </c>
      <c r="U823">
        <v>17</v>
      </c>
      <c r="V823">
        <v>2</v>
      </c>
      <c r="W823">
        <v>3</v>
      </c>
      <c r="X823">
        <v>1</v>
      </c>
      <c r="Y823">
        <v>0</v>
      </c>
      <c r="Z823">
        <v>2</v>
      </c>
      <c r="AA823" t="str">
        <f t="shared" si="68"/>
        <v>Mid Tenure</v>
      </c>
      <c r="AB823" s="5">
        <v>45440</v>
      </c>
      <c r="AC823">
        <f t="shared" si="69"/>
        <v>1</v>
      </c>
      <c r="AD823" t="s">
        <v>49</v>
      </c>
      <c r="AE823">
        <f>VLOOKUP(A823,'Employee Engagement Survey'!A724:B2193,2,FALSE)</f>
        <v>3</v>
      </c>
      <c r="AF823">
        <f>VLOOKUP(A823,'Employee Engagement Survey'!A724:C2193,3,FALSE)</f>
        <v>1</v>
      </c>
      <c r="AG823">
        <f>VLOOKUP(A823,'Employee Engagement Survey'!A724:D2193,4,FALSE)</f>
        <v>1</v>
      </c>
      <c r="AH823">
        <f>VLOOKUP(A823,'Employee Engagement Survey'!A724:E2193,5,FALSE)</f>
        <v>2</v>
      </c>
      <c r="AI823">
        <f t="shared" si="67"/>
        <v>1.75</v>
      </c>
    </row>
    <row r="824" spans="1:35" hidden="1" x14ac:dyDescent="0.4">
      <c r="A824">
        <v>246</v>
      </c>
      <c r="B824" t="s">
        <v>34</v>
      </c>
      <c r="C824">
        <f t="shared" si="70"/>
        <v>1</v>
      </c>
      <c r="D824" t="s">
        <v>27</v>
      </c>
      <c r="E824">
        <f t="shared" si="66"/>
        <v>0</v>
      </c>
      <c r="F824" t="s">
        <v>28</v>
      </c>
      <c r="G824">
        <v>7</v>
      </c>
      <c r="H824" s="1">
        <v>71148</v>
      </c>
      <c r="I824" s="10">
        <v>0.23</v>
      </c>
      <c r="J824">
        <v>37.5</v>
      </c>
      <c r="K824" t="s">
        <v>26</v>
      </c>
      <c r="L824">
        <v>31</v>
      </c>
      <c r="M824" t="s">
        <v>47</v>
      </c>
      <c r="N824" t="s">
        <v>42</v>
      </c>
      <c r="O824" t="s">
        <v>31</v>
      </c>
      <c r="P824">
        <v>12</v>
      </c>
      <c r="Q824" t="s">
        <v>32</v>
      </c>
      <c r="R824" t="s">
        <v>33</v>
      </c>
      <c r="S824">
        <v>4</v>
      </c>
      <c r="T824">
        <v>1</v>
      </c>
      <c r="U824">
        <v>7</v>
      </c>
      <c r="V824">
        <v>0</v>
      </c>
      <c r="W824">
        <v>4</v>
      </c>
      <c r="X824">
        <v>2</v>
      </c>
      <c r="Y824">
        <v>0</v>
      </c>
      <c r="Z824">
        <v>2</v>
      </c>
      <c r="AA824" t="str">
        <f t="shared" si="68"/>
        <v>Mid Tenure</v>
      </c>
      <c r="AB824" s="5">
        <v>45082</v>
      </c>
      <c r="AC824">
        <f t="shared" si="69"/>
        <v>0</v>
      </c>
      <c r="AD824" t="s">
        <v>49</v>
      </c>
      <c r="AE824">
        <f>VLOOKUP(A824,'Employee Engagement Survey'!A725:B2194,2,FALSE)</f>
        <v>3</v>
      </c>
      <c r="AF824">
        <f>VLOOKUP(A824,'Employee Engagement Survey'!A725:C2194,3,FALSE)</f>
        <v>4</v>
      </c>
      <c r="AG824">
        <f>VLOOKUP(A824,'Employee Engagement Survey'!A725:D2194,4,FALSE)</f>
        <v>3</v>
      </c>
      <c r="AH824">
        <f>VLOOKUP(A824,'Employee Engagement Survey'!A725:E2194,5,FALSE)</f>
        <v>3</v>
      </c>
      <c r="AI824">
        <f t="shared" si="67"/>
        <v>3.25</v>
      </c>
    </row>
    <row r="825" spans="1:35" x14ac:dyDescent="0.4">
      <c r="A825">
        <v>1029</v>
      </c>
      <c r="B825" t="s">
        <v>34</v>
      </c>
      <c r="C825">
        <f t="shared" si="70"/>
        <v>1</v>
      </c>
      <c r="D825" t="s">
        <v>110</v>
      </c>
      <c r="E825">
        <f t="shared" si="66"/>
        <v>1</v>
      </c>
      <c r="F825" t="s">
        <v>40</v>
      </c>
      <c r="G825">
        <v>5</v>
      </c>
      <c r="H825" s="1">
        <v>231636</v>
      </c>
      <c r="I825" s="10">
        <v>0.13</v>
      </c>
      <c r="J825">
        <v>37.5</v>
      </c>
      <c r="K825" t="s">
        <v>34</v>
      </c>
      <c r="L825">
        <v>42</v>
      </c>
      <c r="M825" t="s">
        <v>29</v>
      </c>
      <c r="N825" t="s">
        <v>42</v>
      </c>
      <c r="O825" t="s">
        <v>31</v>
      </c>
      <c r="P825">
        <v>5</v>
      </c>
      <c r="Q825" t="s">
        <v>36</v>
      </c>
      <c r="R825" t="s">
        <v>56</v>
      </c>
      <c r="S825">
        <v>3</v>
      </c>
      <c r="T825">
        <v>0</v>
      </c>
      <c r="U825">
        <v>21</v>
      </c>
      <c r="V825">
        <v>3</v>
      </c>
      <c r="W825">
        <v>1</v>
      </c>
      <c r="X825">
        <v>0</v>
      </c>
      <c r="Y825">
        <v>0</v>
      </c>
      <c r="Z825">
        <v>0</v>
      </c>
      <c r="AA825" t="str">
        <f t="shared" si="68"/>
        <v>Early Tenure</v>
      </c>
      <c r="AB825" s="5">
        <v>45246</v>
      </c>
      <c r="AC825">
        <f t="shared" si="69"/>
        <v>0</v>
      </c>
      <c r="AD825" t="s">
        <v>49</v>
      </c>
      <c r="AE825">
        <f>VLOOKUP(A825,'Employee Engagement Survey'!A726:B2195,2,FALSE)</f>
        <v>4</v>
      </c>
      <c r="AF825">
        <f>VLOOKUP(A825,'Employee Engagement Survey'!A726:C2195,3,FALSE)</f>
        <v>3</v>
      </c>
      <c r="AG825">
        <f>VLOOKUP(A825,'Employee Engagement Survey'!A726:D2195,4,FALSE)</f>
        <v>2</v>
      </c>
      <c r="AH825">
        <f>VLOOKUP(A825,'Employee Engagement Survey'!A726:E2195,5,FALSE)</f>
        <v>4</v>
      </c>
      <c r="AI825">
        <f t="shared" si="67"/>
        <v>3.25</v>
      </c>
    </row>
    <row r="826" spans="1:35" hidden="1" x14ac:dyDescent="0.4">
      <c r="A826">
        <v>330</v>
      </c>
      <c r="B826" t="s">
        <v>34</v>
      </c>
      <c r="C826">
        <f t="shared" si="70"/>
        <v>1</v>
      </c>
      <c r="D826" t="s">
        <v>39</v>
      </c>
      <c r="E826">
        <f t="shared" si="66"/>
        <v>0</v>
      </c>
      <c r="F826" t="s">
        <v>40</v>
      </c>
      <c r="G826">
        <v>7</v>
      </c>
      <c r="H826" s="1">
        <v>71172</v>
      </c>
      <c r="I826" s="10">
        <v>0.11</v>
      </c>
      <c r="J826">
        <v>37.5</v>
      </c>
      <c r="K826" t="s">
        <v>34</v>
      </c>
      <c r="L826">
        <v>32</v>
      </c>
      <c r="M826" t="s">
        <v>47</v>
      </c>
      <c r="N826" t="s">
        <v>42</v>
      </c>
      <c r="O826" t="s">
        <v>31</v>
      </c>
      <c r="P826">
        <v>4</v>
      </c>
      <c r="Q826" t="s">
        <v>36</v>
      </c>
      <c r="R826" t="s">
        <v>37</v>
      </c>
      <c r="S826">
        <v>3</v>
      </c>
      <c r="T826">
        <v>1</v>
      </c>
      <c r="U826">
        <v>6</v>
      </c>
      <c r="V826">
        <v>5</v>
      </c>
      <c r="W826">
        <v>4</v>
      </c>
      <c r="X826">
        <v>3</v>
      </c>
      <c r="Y826">
        <v>1</v>
      </c>
      <c r="Z826">
        <v>2</v>
      </c>
      <c r="AA826" t="str">
        <f t="shared" si="68"/>
        <v>Mid Tenure</v>
      </c>
      <c r="AB826" s="5">
        <v>45893</v>
      </c>
      <c r="AC826">
        <f t="shared" si="69"/>
        <v>1</v>
      </c>
      <c r="AD826" t="s">
        <v>49</v>
      </c>
      <c r="AE826">
        <f>VLOOKUP(A826,'Employee Engagement Survey'!A727:B2196,2,FALSE)</f>
        <v>3</v>
      </c>
      <c r="AF826">
        <f>VLOOKUP(A826,'Employee Engagement Survey'!A727:C2196,3,FALSE)</f>
        <v>2</v>
      </c>
      <c r="AG826">
        <f>VLOOKUP(A826,'Employee Engagement Survey'!A727:D2196,4,FALSE)</f>
        <v>1</v>
      </c>
      <c r="AH826">
        <f>VLOOKUP(A826,'Employee Engagement Survey'!A727:E2196,5,FALSE)</f>
        <v>3</v>
      </c>
      <c r="AI826">
        <f t="shared" si="67"/>
        <v>2.25</v>
      </c>
    </row>
    <row r="827" spans="1:35" hidden="1" x14ac:dyDescent="0.4">
      <c r="A827">
        <v>1640</v>
      </c>
      <c r="B827" t="s">
        <v>34</v>
      </c>
      <c r="C827">
        <f t="shared" si="70"/>
        <v>1</v>
      </c>
      <c r="D827" t="s">
        <v>27</v>
      </c>
      <c r="E827">
        <f t="shared" si="66"/>
        <v>0</v>
      </c>
      <c r="F827" t="s">
        <v>28</v>
      </c>
      <c r="G827">
        <v>7</v>
      </c>
      <c r="H827" s="1">
        <v>71232</v>
      </c>
      <c r="I827" s="10">
        <v>0.11</v>
      </c>
      <c r="J827">
        <v>37.5</v>
      </c>
      <c r="K827" t="s">
        <v>34</v>
      </c>
      <c r="L827">
        <v>37</v>
      </c>
      <c r="M827" t="s">
        <v>47</v>
      </c>
      <c r="N827" t="s">
        <v>42</v>
      </c>
      <c r="O827" t="s">
        <v>31</v>
      </c>
      <c r="P827">
        <v>10</v>
      </c>
      <c r="Q827" t="s">
        <v>43</v>
      </c>
      <c r="R827" t="s">
        <v>33</v>
      </c>
      <c r="S827">
        <v>3</v>
      </c>
      <c r="T827">
        <v>1</v>
      </c>
      <c r="U827">
        <v>8</v>
      </c>
      <c r="V827">
        <v>2</v>
      </c>
      <c r="W827">
        <v>8</v>
      </c>
      <c r="X827">
        <v>4</v>
      </c>
      <c r="Y827">
        <v>7</v>
      </c>
      <c r="Z827">
        <v>7</v>
      </c>
      <c r="AA827" t="str">
        <f t="shared" si="68"/>
        <v>Mid Tenure</v>
      </c>
      <c r="AB827" s="5">
        <v>44963</v>
      </c>
      <c r="AC827">
        <f t="shared" si="69"/>
        <v>0</v>
      </c>
      <c r="AD827" t="s">
        <v>38</v>
      </c>
      <c r="AE827">
        <f>VLOOKUP(A827,'Employee Engagement Survey'!A728:B2197,2,FALSE)</f>
        <v>2</v>
      </c>
      <c r="AF827">
        <f>VLOOKUP(A827,'Employee Engagement Survey'!A728:C2197,3,FALSE)</f>
        <v>2</v>
      </c>
      <c r="AG827">
        <f>VLOOKUP(A827,'Employee Engagement Survey'!A728:D2197,4,FALSE)</f>
        <v>1</v>
      </c>
      <c r="AH827">
        <f>VLOOKUP(A827,'Employee Engagement Survey'!A728:E2197,5,FALSE)</f>
        <v>1</v>
      </c>
      <c r="AI827">
        <f t="shared" si="67"/>
        <v>1.5</v>
      </c>
    </row>
    <row r="828" spans="1:35" hidden="1" x14ac:dyDescent="0.4">
      <c r="A828">
        <v>500</v>
      </c>
      <c r="B828" t="s">
        <v>34</v>
      </c>
      <c r="C828">
        <f t="shared" si="70"/>
        <v>1</v>
      </c>
      <c r="D828" t="s">
        <v>57</v>
      </c>
      <c r="E828">
        <f t="shared" si="66"/>
        <v>0</v>
      </c>
      <c r="F828" t="s">
        <v>40</v>
      </c>
      <c r="G828">
        <v>7</v>
      </c>
      <c r="H828" s="1">
        <v>71232</v>
      </c>
      <c r="I828" s="10">
        <v>0.11</v>
      </c>
      <c r="J828">
        <v>37.5</v>
      </c>
      <c r="K828" t="s">
        <v>34</v>
      </c>
      <c r="L828">
        <v>51</v>
      </c>
      <c r="M828" t="s">
        <v>47</v>
      </c>
      <c r="N828" t="s">
        <v>42</v>
      </c>
      <c r="O828" t="s">
        <v>31</v>
      </c>
      <c r="P828">
        <v>14</v>
      </c>
      <c r="Q828" t="s">
        <v>36</v>
      </c>
      <c r="R828" t="s">
        <v>37</v>
      </c>
      <c r="S828">
        <v>3</v>
      </c>
      <c r="T828">
        <v>1</v>
      </c>
      <c r="U828">
        <v>18</v>
      </c>
      <c r="V828">
        <v>2</v>
      </c>
      <c r="W828">
        <v>7</v>
      </c>
      <c r="X828">
        <v>7</v>
      </c>
      <c r="Y828">
        <v>0</v>
      </c>
      <c r="Z828">
        <v>7</v>
      </c>
      <c r="AA828" t="str">
        <f t="shared" si="68"/>
        <v>Mid Tenure</v>
      </c>
      <c r="AB828" s="5">
        <v>45803</v>
      </c>
      <c r="AC828">
        <f t="shared" si="69"/>
        <v>1</v>
      </c>
      <c r="AD828" t="s">
        <v>38</v>
      </c>
      <c r="AE828">
        <f>VLOOKUP(A828,'Employee Engagement Survey'!A729:B2198,2,FALSE)</f>
        <v>3</v>
      </c>
      <c r="AF828">
        <f>VLOOKUP(A828,'Employee Engagement Survey'!A729:C2198,3,FALSE)</f>
        <v>4</v>
      </c>
      <c r="AG828">
        <f>VLOOKUP(A828,'Employee Engagement Survey'!A729:D2198,4,FALSE)</f>
        <v>3</v>
      </c>
      <c r="AH828">
        <f>VLOOKUP(A828,'Employee Engagement Survey'!A729:E2198,5,FALSE)</f>
        <v>2</v>
      </c>
      <c r="AI828">
        <f t="shared" si="67"/>
        <v>3</v>
      </c>
    </row>
    <row r="829" spans="1:35" hidden="1" x14ac:dyDescent="0.4">
      <c r="A829">
        <v>1030</v>
      </c>
      <c r="B829" t="s">
        <v>34</v>
      </c>
      <c r="C829">
        <f t="shared" si="70"/>
        <v>1</v>
      </c>
      <c r="D829" t="s">
        <v>46</v>
      </c>
      <c r="E829">
        <f t="shared" si="66"/>
        <v>0</v>
      </c>
      <c r="F829" t="s">
        <v>28</v>
      </c>
      <c r="G829">
        <v>4</v>
      </c>
      <c r="H829" s="1">
        <v>52560</v>
      </c>
      <c r="I829" s="10">
        <v>0.18</v>
      </c>
      <c r="J829">
        <v>37.5</v>
      </c>
      <c r="K829" t="s">
        <v>34</v>
      </c>
      <c r="L829">
        <v>50</v>
      </c>
      <c r="M829" t="s">
        <v>29</v>
      </c>
      <c r="N829" t="s">
        <v>42</v>
      </c>
      <c r="O829" t="s">
        <v>31</v>
      </c>
      <c r="P829">
        <v>9</v>
      </c>
      <c r="Q829" t="s">
        <v>43</v>
      </c>
      <c r="R829" t="s">
        <v>37</v>
      </c>
      <c r="S829">
        <v>3</v>
      </c>
      <c r="T829">
        <v>0</v>
      </c>
      <c r="U829">
        <v>8</v>
      </c>
      <c r="V829">
        <v>5</v>
      </c>
      <c r="W829">
        <v>1</v>
      </c>
      <c r="X829">
        <v>0</v>
      </c>
      <c r="Y829">
        <v>0</v>
      </c>
      <c r="Z829">
        <v>0</v>
      </c>
      <c r="AA829" t="str">
        <f t="shared" si="68"/>
        <v>Early Tenure</v>
      </c>
      <c r="AB829" s="5">
        <v>45835</v>
      </c>
      <c r="AC829">
        <f t="shared" si="69"/>
        <v>1</v>
      </c>
      <c r="AD829" t="s">
        <v>49</v>
      </c>
      <c r="AE829">
        <f>VLOOKUP(A829,'Employee Engagement Survey'!A730:B2199,2,FALSE)</f>
        <v>1</v>
      </c>
      <c r="AF829">
        <f>VLOOKUP(A829,'Employee Engagement Survey'!A730:C2199,3,FALSE)</f>
        <v>4</v>
      </c>
      <c r="AG829">
        <f>VLOOKUP(A829,'Employee Engagement Survey'!A730:D2199,4,FALSE)</f>
        <v>2</v>
      </c>
      <c r="AH829">
        <f>VLOOKUP(A829,'Employee Engagement Survey'!A730:E2199,5,FALSE)</f>
        <v>3</v>
      </c>
      <c r="AI829">
        <f t="shared" si="67"/>
        <v>2.5</v>
      </c>
    </row>
    <row r="830" spans="1:35" hidden="1" x14ac:dyDescent="0.4">
      <c r="A830">
        <v>1034</v>
      </c>
      <c r="B830" t="s">
        <v>34</v>
      </c>
      <c r="C830">
        <f t="shared" si="70"/>
        <v>1</v>
      </c>
      <c r="D830" t="s">
        <v>55</v>
      </c>
      <c r="E830">
        <f t="shared" si="66"/>
        <v>0</v>
      </c>
      <c r="F830" t="s">
        <v>28</v>
      </c>
      <c r="G830">
        <v>8</v>
      </c>
      <c r="H830" s="1">
        <v>88620</v>
      </c>
      <c r="I830" s="10">
        <v>0.14000000000000001</v>
      </c>
      <c r="J830">
        <v>37.5</v>
      </c>
      <c r="K830" t="s">
        <v>26</v>
      </c>
      <c r="L830">
        <v>55</v>
      </c>
      <c r="M830" t="s">
        <v>29</v>
      </c>
      <c r="N830" t="s">
        <v>42</v>
      </c>
      <c r="O830" t="s">
        <v>44</v>
      </c>
      <c r="P830">
        <v>18</v>
      </c>
      <c r="Q830" t="s">
        <v>51</v>
      </c>
      <c r="R830" t="s">
        <v>33</v>
      </c>
      <c r="S830">
        <v>3</v>
      </c>
      <c r="T830">
        <v>2</v>
      </c>
      <c r="U830">
        <v>17</v>
      </c>
      <c r="V830">
        <v>3</v>
      </c>
      <c r="W830">
        <v>8</v>
      </c>
      <c r="X830">
        <v>7</v>
      </c>
      <c r="Y830">
        <v>6</v>
      </c>
      <c r="Z830">
        <v>7</v>
      </c>
      <c r="AA830" t="str">
        <f t="shared" si="68"/>
        <v>Mid Tenure</v>
      </c>
      <c r="AB830" s="5">
        <v>44765</v>
      </c>
      <c r="AC830">
        <f t="shared" si="69"/>
        <v>0</v>
      </c>
      <c r="AD830" t="s">
        <v>38</v>
      </c>
      <c r="AE830">
        <f>VLOOKUP(A830,'Employee Engagement Survey'!A731:B2200,2,FALSE)</f>
        <v>3</v>
      </c>
      <c r="AF830">
        <f>VLOOKUP(A830,'Employee Engagement Survey'!A731:C2200,3,FALSE)</f>
        <v>2</v>
      </c>
      <c r="AG830">
        <f>VLOOKUP(A830,'Employee Engagement Survey'!A731:D2200,4,FALSE)</f>
        <v>4</v>
      </c>
      <c r="AH830">
        <f>VLOOKUP(A830,'Employee Engagement Survey'!A731:E2200,5,FALSE)</f>
        <v>3</v>
      </c>
      <c r="AI830">
        <f t="shared" si="67"/>
        <v>3</v>
      </c>
    </row>
    <row r="831" spans="1:35" hidden="1" x14ac:dyDescent="0.4">
      <c r="A831">
        <v>1036</v>
      </c>
      <c r="B831" t="s">
        <v>34</v>
      </c>
      <c r="C831">
        <f t="shared" si="70"/>
        <v>1</v>
      </c>
      <c r="D831" t="s">
        <v>57</v>
      </c>
      <c r="E831">
        <f t="shared" si="66"/>
        <v>0</v>
      </c>
      <c r="F831" t="s">
        <v>40</v>
      </c>
      <c r="G831">
        <v>8</v>
      </c>
      <c r="H831" s="1">
        <v>94332</v>
      </c>
      <c r="I831" s="10">
        <v>0.12</v>
      </c>
      <c r="J831">
        <v>37.5</v>
      </c>
      <c r="K831" t="s">
        <v>26</v>
      </c>
      <c r="L831">
        <v>38</v>
      </c>
      <c r="M831" t="s">
        <v>29</v>
      </c>
      <c r="N831" t="s">
        <v>30</v>
      </c>
      <c r="O831" t="s">
        <v>31</v>
      </c>
      <c r="P831">
        <v>3</v>
      </c>
      <c r="Q831" t="s">
        <v>51</v>
      </c>
      <c r="R831" t="s">
        <v>37</v>
      </c>
      <c r="S831">
        <v>3</v>
      </c>
      <c r="T831">
        <v>0</v>
      </c>
      <c r="U831">
        <v>19</v>
      </c>
      <c r="V831">
        <v>1</v>
      </c>
      <c r="W831">
        <v>1</v>
      </c>
      <c r="X831">
        <v>0</v>
      </c>
      <c r="Y831">
        <v>0</v>
      </c>
      <c r="Z831">
        <v>0</v>
      </c>
      <c r="AA831" t="str">
        <f t="shared" si="68"/>
        <v>Early Tenure</v>
      </c>
      <c r="AB831" s="5">
        <v>45096</v>
      </c>
      <c r="AC831">
        <f t="shared" si="69"/>
        <v>0</v>
      </c>
      <c r="AD831" t="s">
        <v>38</v>
      </c>
      <c r="AE831">
        <f>VLOOKUP(A831,'Employee Engagement Survey'!A732:B2201,2,FALSE)</f>
        <v>2</v>
      </c>
      <c r="AF831">
        <f>VLOOKUP(A831,'Employee Engagement Survey'!A732:C2201,3,FALSE)</f>
        <v>4</v>
      </c>
      <c r="AG831">
        <f>VLOOKUP(A831,'Employee Engagement Survey'!A732:D2201,4,FALSE)</f>
        <v>3</v>
      </c>
      <c r="AH831">
        <f>VLOOKUP(A831,'Employee Engagement Survey'!A732:E2201,5,FALSE)</f>
        <v>3</v>
      </c>
      <c r="AI831">
        <f t="shared" si="67"/>
        <v>3</v>
      </c>
    </row>
    <row r="832" spans="1:35" hidden="1" x14ac:dyDescent="0.4">
      <c r="A832">
        <v>1047</v>
      </c>
      <c r="B832" t="s">
        <v>34</v>
      </c>
      <c r="C832">
        <f t="shared" si="70"/>
        <v>1</v>
      </c>
      <c r="D832" t="s">
        <v>57</v>
      </c>
      <c r="E832">
        <f t="shared" si="66"/>
        <v>0</v>
      </c>
      <c r="F832" t="s">
        <v>40</v>
      </c>
      <c r="G832">
        <v>9</v>
      </c>
      <c r="H832" s="1">
        <v>128700</v>
      </c>
      <c r="I832" s="10">
        <v>0.11</v>
      </c>
      <c r="J832">
        <v>37.5</v>
      </c>
      <c r="K832" t="s">
        <v>34</v>
      </c>
      <c r="L832">
        <v>34</v>
      </c>
      <c r="M832" t="s">
        <v>29</v>
      </c>
      <c r="N832" t="s">
        <v>48</v>
      </c>
      <c r="O832" t="s">
        <v>31</v>
      </c>
      <c r="P832">
        <v>1</v>
      </c>
      <c r="Q832" t="s">
        <v>51</v>
      </c>
      <c r="R832" t="s">
        <v>56</v>
      </c>
      <c r="S832">
        <v>3</v>
      </c>
      <c r="T832">
        <v>1</v>
      </c>
      <c r="U832">
        <v>16</v>
      </c>
      <c r="V832">
        <v>2</v>
      </c>
      <c r="W832">
        <v>15</v>
      </c>
      <c r="X832">
        <v>1</v>
      </c>
      <c r="Y832">
        <v>0</v>
      </c>
      <c r="Z832">
        <v>9</v>
      </c>
      <c r="AA832" t="str">
        <f t="shared" si="68"/>
        <v>Long Tenure</v>
      </c>
      <c r="AB832" s="5">
        <v>45028</v>
      </c>
      <c r="AC832">
        <f t="shared" si="69"/>
        <v>0</v>
      </c>
      <c r="AD832" t="s">
        <v>38</v>
      </c>
      <c r="AE832">
        <f>VLOOKUP(A832,'Employee Engagement Survey'!A734:B2203,2,FALSE)</f>
        <v>2</v>
      </c>
      <c r="AF832">
        <f>VLOOKUP(A832,'Employee Engagement Survey'!A734:C2203,3,FALSE)</f>
        <v>4</v>
      </c>
      <c r="AG832">
        <f>VLOOKUP(A832,'Employee Engagement Survey'!A734:D2203,4,FALSE)</f>
        <v>4</v>
      </c>
      <c r="AH832">
        <f>VLOOKUP(A832,'Employee Engagement Survey'!A734:E2203,5,FALSE)</f>
        <v>2</v>
      </c>
      <c r="AI832">
        <f t="shared" si="67"/>
        <v>3</v>
      </c>
    </row>
    <row r="833" spans="1:35" hidden="1" x14ac:dyDescent="0.4">
      <c r="A833">
        <v>1048</v>
      </c>
      <c r="B833" t="s">
        <v>34</v>
      </c>
      <c r="C833">
        <f t="shared" si="70"/>
        <v>1</v>
      </c>
      <c r="D833" t="s">
        <v>110</v>
      </c>
      <c r="E833">
        <f t="shared" si="66"/>
        <v>1</v>
      </c>
      <c r="F833" t="s">
        <v>40</v>
      </c>
      <c r="G833">
        <v>10</v>
      </c>
      <c r="H833" s="1">
        <v>154848</v>
      </c>
      <c r="I833" s="10">
        <v>0.14000000000000001</v>
      </c>
      <c r="J833">
        <v>37.5</v>
      </c>
      <c r="K833" t="s">
        <v>26</v>
      </c>
      <c r="L833">
        <v>59</v>
      </c>
      <c r="M833" t="s">
        <v>29</v>
      </c>
      <c r="N833" t="s">
        <v>42</v>
      </c>
      <c r="O833" t="s">
        <v>31</v>
      </c>
      <c r="P833">
        <v>1</v>
      </c>
      <c r="Q833" t="s">
        <v>36</v>
      </c>
      <c r="R833" t="s">
        <v>45</v>
      </c>
      <c r="S833">
        <v>3</v>
      </c>
      <c r="T833">
        <v>1</v>
      </c>
      <c r="U833">
        <v>14</v>
      </c>
      <c r="V833">
        <v>1</v>
      </c>
      <c r="W833">
        <v>6</v>
      </c>
      <c r="X833">
        <v>4</v>
      </c>
      <c r="Y833">
        <v>0</v>
      </c>
      <c r="Z833">
        <v>4</v>
      </c>
      <c r="AA833" t="str">
        <f t="shared" si="68"/>
        <v>Mid Tenure</v>
      </c>
      <c r="AB833" s="5">
        <v>45149</v>
      </c>
      <c r="AC833">
        <f t="shared" si="69"/>
        <v>0</v>
      </c>
      <c r="AD833" t="s">
        <v>38</v>
      </c>
      <c r="AE833">
        <f>VLOOKUP(A833,'Employee Engagement Survey'!A735:B2204,2,FALSE)</f>
        <v>2</v>
      </c>
      <c r="AF833">
        <f>VLOOKUP(A833,'Employee Engagement Survey'!A735:C2204,3,FALSE)</f>
        <v>4</v>
      </c>
      <c r="AG833">
        <f>VLOOKUP(A833,'Employee Engagement Survey'!A735:D2204,4,FALSE)</f>
        <v>3</v>
      </c>
      <c r="AH833">
        <f>VLOOKUP(A833,'Employee Engagement Survey'!A735:E2204,5,FALSE)</f>
        <v>1</v>
      </c>
      <c r="AI833">
        <f t="shared" si="67"/>
        <v>2.5</v>
      </c>
    </row>
    <row r="834" spans="1:35" hidden="1" x14ac:dyDescent="0.4">
      <c r="A834">
        <v>1049</v>
      </c>
      <c r="B834" t="s">
        <v>34</v>
      </c>
      <c r="C834">
        <f t="shared" si="70"/>
        <v>1</v>
      </c>
      <c r="D834" t="s">
        <v>105</v>
      </c>
      <c r="E834">
        <f t="shared" ref="E834:E897" si="71">IF(OR(D834="Manager, HR", D834="Manager, Sales", D834="Manager, R&amp;D", D834="Manufacturing Director",D834="Research Director", D834="VP, HR", D834="CEO"),1,0)</f>
        <v>0</v>
      </c>
      <c r="F834" t="s">
        <v>59</v>
      </c>
      <c r="G834">
        <v>4</v>
      </c>
      <c r="H834" s="1">
        <v>50124</v>
      </c>
      <c r="I834" s="10">
        <v>0.16</v>
      </c>
      <c r="J834">
        <v>37.5</v>
      </c>
      <c r="K834" t="s">
        <v>34</v>
      </c>
      <c r="L834">
        <v>45</v>
      </c>
      <c r="M834" t="s">
        <v>29</v>
      </c>
      <c r="N834" t="s">
        <v>30</v>
      </c>
      <c r="O834" t="s">
        <v>31</v>
      </c>
      <c r="P834">
        <v>24</v>
      </c>
      <c r="Q834" t="s">
        <v>51</v>
      </c>
      <c r="R834" t="s">
        <v>33</v>
      </c>
      <c r="S834">
        <v>3</v>
      </c>
      <c r="T834">
        <v>0</v>
      </c>
      <c r="U834">
        <v>6</v>
      </c>
      <c r="V834">
        <v>3</v>
      </c>
      <c r="W834">
        <v>6</v>
      </c>
      <c r="X834">
        <v>3</v>
      </c>
      <c r="Y834">
        <v>0</v>
      </c>
      <c r="Z834">
        <v>4</v>
      </c>
      <c r="AA834" t="str">
        <f t="shared" si="68"/>
        <v>Mid Tenure</v>
      </c>
      <c r="AB834" s="5">
        <v>45936</v>
      </c>
      <c r="AC834">
        <f t="shared" si="69"/>
        <v>1</v>
      </c>
      <c r="AD834" t="s">
        <v>38</v>
      </c>
      <c r="AE834">
        <f>VLOOKUP(A834,'Employee Engagement Survey'!A736:B2205,2,FALSE)</f>
        <v>2</v>
      </c>
      <c r="AF834">
        <f>VLOOKUP(A834,'Employee Engagement Survey'!A736:C2205,3,FALSE)</f>
        <v>2</v>
      </c>
      <c r="AG834">
        <f>VLOOKUP(A834,'Employee Engagement Survey'!A736:D2205,4,FALSE)</f>
        <v>1</v>
      </c>
      <c r="AH834">
        <f>VLOOKUP(A834,'Employee Engagement Survey'!A736:E2205,5,FALSE)</f>
        <v>3</v>
      </c>
      <c r="AI834">
        <f t="shared" ref="AI834:AI897" si="72">AVERAGE(AE834:AH834)</f>
        <v>2</v>
      </c>
    </row>
    <row r="835" spans="1:35" hidden="1" x14ac:dyDescent="0.4">
      <c r="A835">
        <v>1745</v>
      </c>
      <c r="B835" t="s">
        <v>34</v>
      </c>
      <c r="C835">
        <f t="shared" si="70"/>
        <v>1</v>
      </c>
      <c r="D835" t="s">
        <v>27</v>
      </c>
      <c r="E835">
        <f t="shared" si="71"/>
        <v>0</v>
      </c>
      <c r="F835" t="s">
        <v>28</v>
      </c>
      <c r="G835">
        <v>7</v>
      </c>
      <c r="H835" s="1">
        <v>71616</v>
      </c>
      <c r="I835" s="10">
        <v>0.16</v>
      </c>
      <c r="J835">
        <v>37.5</v>
      </c>
      <c r="K835" t="s">
        <v>34</v>
      </c>
      <c r="L835">
        <v>30</v>
      </c>
      <c r="M835" t="s">
        <v>47</v>
      </c>
      <c r="N835" t="s">
        <v>30</v>
      </c>
      <c r="O835" t="s">
        <v>44</v>
      </c>
      <c r="P835">
        <v>2</v>
      </c>
      <c r="Q835" t="s">
        <v>51</v>
      </c>
      <c r="R835" t="s">
        <v>45</v>
      </c>
      <c r="S835">
        <v>3</v>
      </c>
      <c r="T835">
        <v>0</v>
      </c>
      <c r="U835">
        <v>10</v>
      </c>
      <c r="V835">
        <v>2</v>
      </c>
      <c r="W835">
        <v>9</v>
      </c>
      <c r="X835">
        <v>7</v>
      </c>
      <c r="Y835">
        <v>0</v>
      </c>
      <c r="Z835">
        <v>7</v>
      </c>
      <c r="AA835" t="str">
        <f t="shared" ref="AA835:AA898" si="73">IF(W835&lt;=2,"Early Tenure",IF(W835&lt;=9,"Mid Tenure","Long Tenure"))</f>
        <v>Mid Tenure</v>
      </c>
      <c r="AB835" s="5">
        <v>45740</v>
      </c>
      <c r="AC835">
        <f t="shared" ref="AC835:AC898" si="74">IF(AND(AB835&lt;&gt;"",AB835&gt;DATE(2024,1,1)),1,0)</f>
        <v>1</v>
      </c>
      <c r="AD835" t="s">
        <v>38</v>
      </c>
      <c r="AE835">
        <f>VLOOKUP(A835,'Employee Engagement Survey'!A740:B2209,2,FALSE)</f>
        <v>4</v>
      </c>
      <c r="AF835">
        <f>VLOOKUP(A835,'Employee Engagement Survey'!A740:C2209,3,FALSE)</f>
        <v>1</v>
      </c>
      <c r="AG835">
        <f>VLOOKUP(A835,'Employee Engagement Survey'!A740:D2209,4,FALSE)</f>
        <v>4</v>
      </c>
      <c r="AH835">
        <f>VLOOKUP(A835,'Employee Engagement Survey'!A740:E2209,5,FALSE)</f>
        <v>3</v>
      </c>
      <c r="AI835">
        <f t="shared" si="72"/>
        <v>3</v>
      </c>
    </row>
    <row r="836" spans="1:35" hidden="1" x14ac:dyDescent="0.4">
      <c r="A836">
        <v>1060</v>
      </c>
      <c r="B836" t="s">
        <v>34</v>
      </c>
      <c r="C836">
        <f t="shared" si="70"/>
        <v>1</v>
      </c>
      <c r="D836" t="s">
        <v>27</v>
      </c>
      <c r="E836">
        <f t="shared" si="71"/>
        <v>0</v>
      </c>
      <c r="F836" t="s">
        <v>28</v>
      </c>
      <c r="G836">
        <v>5</v>
      </c>
      <c r="H836" s="1">
        <v>57852</v>
      </c>
      <c r="I836" s="10">
        <v>0.16</v>
      </c>
      <c r="J836">
        <v>37.5</v>
      </c>
      <c r="K836" t="s">
        <v>34</v>
      </c>
      <c r="L836">
        <v>38</v>
      </c>
      <c r="M836" t="s">
        <v>29</v>
      </c>
      <c r="N836" t="s">
        <v>42</v>
      </c>
      <c r="O836" t="s">
        <v>44</v>
      </c>
      <c r="P836">
        <v>3</v>
      </c>
      <c r="Q836" t="s">
        <v>51</v>
      </c>
      <c r="R836" t="s">
        <v>53</v>
      </c>
      <c r="S836">
        <v>3</v>
      </c>
      <c r="T836">
        <v>1</v>
      </c>
      <c r="U836">
        <v>8</v>
      </c>
      <c r="V836">
        <v>2</v>
      </c>
      <c r="W836">
        <v>2</v>
      </c>
      <c r="X836">
        <v>2</v>
      </c>
      <c r="Y836">
        <v>2</v>
      </c>
      <c r="Z836">
        <v>2</v>
      </c>
      <c r="AA836" t="str">
        <f t="shared" si="73"/>
        <v>Early Tenure</v>
      </c>
      <c r="AB836" s="5">
        <v>44865</v>
      </c>
      <c r="AC836">
        <f t="shared" si="74"/>
        <v>0</v>
      </c>
      <c r="AD836" t="s">
        <v>38</v>
      </c>
      <c r="AE836">
        <f>VLOOKUP(A836,'Employee Engagement Survey'!A741:B2210,2,FALSE)</f>
        <v>3</v>
      </c>
      <c r="AF836">
        <f>VLOOKUP(A836,'Employee Engagement Survey'!A741:C2210,3,FALSE)</f>
        <v>3</v>
      </c>
      <c r="AG836">
        <f>VLOOKUP(A836,'Employee Engagement Survey'!A741:D2210,4,FALSE)</f>
        <v>1</v>
      </c>
      <c r="AH836">
        <f>VLOOKUP(A836,'Employee Engagement Survey'!A741:E2210,5,FALSE)</f>
        <v>3</v>
      </c>
      <c r="AI836">
        <f t="shared" si="72"/>
        <v>2.5</v>
      </c>
    </row>
    <row r="837" spans="1:35" hidden="1" x14ac:dyDescent="0.4">
      <c r="A837">
        <v>1061</v>
      </c>
      <c r="B837" t="s">
        <v>34</v>
      </c>
      <c r="C837">
        <f t="shared" si="70"/>
        <v>1</v>
      </c>
      <c r="D837" t="s">
        <v>60</v>
      </c>
      <c r="E837">
        <f t="shared" si="71"/>
        <v>1</v>
      </c>
      <c r="F837" t="s">
        <v>28</v>
      </c>
      <c r="G837">
        <v>5</v>
      </c>
      <c r="H837" s="1">
        <v>242844</v>
      </c>
      <c r="I837" s="10">
        <v>0.11</v>
      </c>
      <c r="J837">
        <v>37.5</v>
      </c>
      <c r="K837" t="s">
        <v>26</v>
      </c>
      <c r="L837">
        <v>50</v>
      </c>
      <c r="M837" t="s">
        <v>29</v>
      </c>
      <c r="N837" t="s">
        <v>42</v>
      </c>
      <c r="O837" t="s">
        <v>31</v>
      </c>
      <c r="P837">
        <v>2</v>
      </c>
      <c r="Q837" t="s">
        <v>51</v>
      </c>
      <c r="R837" t="s">
        <v>33</v>
      </c>
      <c r="S837">
        <v>3</v>
      </c>
      <c r="T837">
        <v>1</v>
      </c>
      <c r="U837">
        <v>29</v>
      </c>
      <c r="V837">
        <v>2</v>
      </c>
      <c r="W837">
        <v>8</v>
      </c>
      <c r="X837">
        <v>1</v>
      </c>
      <c r="Y837">
        <v>7</v>
      </c>
      <c r="Z837">
        <v>7</v>
      </c>
      <c r="AA837" t="str">
        <f t="shared" si="73"/>
        <v>Mid Tenure</v>
      </c>
      <c r="AB837" s="5">
        <v>45408</v>
      </c>
      <c r="AC837">
        <f t="shared" si="74"/>
        <v>1</v>
      </c>
      <c r="AD837" t="s">
        <v>49</v>
      </c>
      <c r="AE837">
        <f>VLOOKUP(A837,'Employee Engagement Survey'!A742:B2211,2,FALSE)</f>
        <v>2</v>
      </c>
      <c r="AF837">
        <f>VLOOKUP(A837,'Employee Engagement Survey'!A742:C2211,3,FALSE)</f>
        <v>3</v>
      </c>
      <c r="AG837">
        <f>VLOOKUP(A837,'Employee Engagement Survey'!A742:D2211,4,FALSE)</f>
        <v>4</v>
      </c>
      <c r="AH837">
        <f>VLOOKUP(A837,'Employee Engagement Survey'!A742:E2211,5,FALSE)</f>
        <v>2</v>
      </c>
      <c r="AI837">
        <f t="shared" si="72"/>
        <v>2.75</v>
      </c>
    </row>
    <row r="838" spans="1:35" hidden="1" x14ac:dyDescent="0.4">
      <c r="A838">
        <v>1066</v>
      </c>
      <c r="B838" t="s">
        <v>34</v>
      </c>
      <c r="C838">
        <f t="shared" si="70"/>
        <v>1</v>
      </c>
      <c r="D838" t="s">
        <v>57</v>
      </c>
      <c r="E838">
        <f t="shared" si="71"/>
        <v>0</v>
      </c>
      <c r="F838" t="s">
        <v>40</v>
      </c>
      <c r="G838">
        <v>9</v>
      </c>
      <c r="H838" s="1">
        <v>112752</v>
      </c>
      <c r="I838" s="10">
        <v>0.14000000000000001</v>
      </c>
      <c r="J838">
        <v>37.5</v>
      </c>
      <c r="K838" t="s">
        <v>34</v>
      </c>
      <c r="L838">
        <v>40</v>
      </c>
      <c r="M838" t="s">
        <v>29</v>
      </c>
      <c r="N838" t="s">
        <v>42</v>
      </c>
      <c r="O838" t="s">
        <v>31</v>
      </c>
      <c r="P838">
        <v>26</v>
      </c>
      <c r="Q838" t="s">
        <v>43</v>
      </c>
      <c r="R838" t="s">
        <v>56</v>
      </c>
      <c r="S838">
        <v>3</v>
      </c>
      <c r="T838">
        <v>1</v>
      </c>
      <c r="U838">
        <v>8</v>
      </c>
      <c r="V838">
        <v>3</v>
      </c>
      <c r="W838">
        <v>7</v>
      </c>
      <c r="X838">
        <v>7</v>
      </c>
      <c r="Y838">
        <v>7</v>
      </c>
      <c r="Z838">
        <v>5</v>
      </c>
      <c r="AA838" t="str">
        <f t="shared" si="73"/>
        <v>Mid Tenure</v>
      </c>
      <c r="AB838" s="5">
        <v>44563</v>
      </c>
      <c r="AC838">
        <f t="shared" si="74"/>
        <v>0</v>
      </c>
      <c r="AD838" t="s">
        <v>38</v>
      </c>
      <c r="AE838">
        <f>VLOOKUP(A838,'Employee Engagement Survey'!A743:B2212,2,FALSE)</f>
        <v>3</v>
      </c>
      <c r="AF838">
        <f>VLOOKUP(A838,'Employee Engagement Survey'!A743:C2212,3,FALSE)</f>
        <v>1</v>
      </c>
      <c r="AG838">
        <f>VLOOKUP(A838,'Employee Engagement Survey'!A743:D2212,4,FALSE)</f>
        <v>2</v>
      </c>
      <c r="AH838">
        <f>VLOOKUP(A838,'Employee Engagement Survey'!A743:E2212,5,FALSE)</f>
        <v>2</v>
      </c>
      <c r="AI838">
        <f t="shared" si="72"/>
        <v>2</v>
      </c>
    </row>
    <row r="839" spans="1:35" hidden="1" x14ac:dyDescent="0.4">
      <c r="A839">
        <v>1916</v>
      </c>
      <c r="B839" t="s">
        <v>34</v>
      </c>
      <c r="C839">
        <f t="shared" si="70"/>
        <v>1</v>
      </c>
      <c r="D839" t="s">
        <v>46</v>
      </c>
      <c r="E839">
        <f t="shared" si="71"/>
        <v>0</v>
      </c>
      <c r="F839" t="s">
        <v>28</v>
      </c>
      <c r="G839">
        <v>7</v>
      </c>
      <c r="H839" s="1">
        <v>71736</v>
      </c>
      <c r="I839" s="10">
        <v>0.12</v>
      </c>
      <c r="J839">
        <v>37.5</v>
      </c>
      <c r="K839" t="s">
        <v>34</v>
      </c>
      <c r="L839">
        <v>31</v>
      </c>
      <c r="M839" t="s">
        <v>47</v>
      </c>
      <c r="N839" t="s">
        <v>48</v>
      </c>
      <c r="O839" t="s">
        <v>31</v>
      </c>
      <c r="P839">
        <v>4</v>
      </c>
      <c r="Q839" t="s">
        <v>43</v>
      </c>
      <c r="R839" t="s">
        <v>33</v>
      </c>
      <c r="S839">
        <v>3</v>
      </c>
      <c r="T839">
        <v>1</v>
      </c>
      <c r="U839">
        <v>4</v>
      </c>
      <c r="V839">
        <v>0</v>
      </c>
      <c r="W839">
        <v>2</v>
      </c>
      <c r="X839">
        <v>2</v>
      </c>
      <c r="Y839">
        <v>2</v>
      </c>
      <c r="Z839">
        <v>2</v>
      </c>
      <c r="AA839" t="str">
        <f t="shared" si="73"/>
        <v>Early Tenure</v>
      </c>
      <c r="AB839" s="5">
        <v>44937</v>
      </c>
      <c r="AC839">
        <f t="shared" si="74"/>
        <v>0</v>
      </c>
      <c r="AD839" t="s">
        <v>49</v>
      </c>
      <c r="AE839">
        <f>VLOOKUP(A839,'Employee Engagement Survey'!A744:B2213,2,FALSE)</f>
        <v>1</v>
      </c>
      <c r="AF839">
        <f>VLOOKUP(A839,'Employee Engagement Survey'!A744:C2213,3,FALSE)</f>
        <v>3</v>
      </c>
      <c r="AG839">
        <f>VLOOKUP(A839,'Employee Engagement Survey'!A744:D2213,4,FALSE)</f>
        <v>2</v>
      </c>
      <c r="AH839">
        <f>VLOOKUP(A839,'Employee Engagement Survey'!A744:E2213,5,FALSE)</f>
        <v>2</v>
      </c>
      <c r="AI839">
        <f t="shared" si="72"/>
        <v>2</v>
      </c>
    </row>
    <row r="840" spans="1:35" x14ac:dyDescent="0.4">
      <c r="A840">
        <v>1069</v>
      </c>
      <c r="B840" t="s">
        <v>34</v>
      </c>
      <c r="C840">
        <f t="shared" si="70"/>
        <v>1</v>
      </c>
      <c r="D840" t="s">
        <v>60</v>
      </c>
      <c r="E840">
        <f t="shared" si="71"/>
        <v>1</v>
      </c>
      <c r="F840" t="s">
        <v>28</v>
      </c>
      <c r="G840">
        <v>5</v>
      </c>
      <c r="H840" s="1">
        <v>247524</v>
      </c>
      <c r="I840" s="10">
        <v>0.17</v>
      </c>
      <c r="J840">
        <v>37.5</v>
      </c>
      <c r="K840" t="s">
        <v>34</v>
      </c>
      <c r="L840">
        <v>46</v>
      </c>
      <c r="M840" t="s">
        <v>29</v>
      </c>
      <c r="N840" t="s">
        <v>48</v>
      </c>
      <c r="O840" t="s">
        <v>31</v>
      </c>
      <c r="P840">
        <v>1</v>
      </c>
      <c r="Q840" t="s">
        <v>51</v>
      </c>
      <c r="R840" t="s">
        <v>33</v>
      </c>
      <c r="S840">
        <v>3</v>
      </c>
      <c r="T840">
        <v>2</v>
      </c>
      <c r="U840">
        <v>23</v>
      </c>
      <c r="V840">
        <v>0</v>
      </c>
      <c r="W840">
        <v>2</v>
      </c>
      <c r="X840">
        <v>2</v>
      </c>
      <c r="Y840">
        <v>2</v>
      </c>
      <c r="Z840">
        <v>2</v>
      </c>
      <c r="AA840" t="str">
        <f t="shared" si="73"/>
        <v>Early Tenure</v>
      </c>
      <c r="AB840" s="5">
        <v>44729</v>
      </c>
      <c r="AC840">
        <f t="shared" si="74"/>
        <v>0</v>
      </c>
      <c r="AD840" t="s">
        <v>49</v>
      </c>
      <c r="AE840">
        <f>VLOOKUP(A840,'Employee Engagement Survey'!A745:B2214,2,FALSE)</f>
        <v>4</v>
      </c>
      <c r="AF840">
        <f>VLOOKUP(A840,'Employee Engagement Survey'!A745:C2214,3,FALSE)</f>
        <v>4</v>
      </c>
      <c r="AG840">
        <f>VLOOKUP(A840,'Employee Engagement Survey'!A745:D2214,4,FALSE)</f>
        <v>4</v>
      </c>
      <c r="AH840">
        <f>VLOOKUP(A840,'Employee Engagement Survey'!A745:E2214,5,FALSE)</f>
        <v>3</v>
      </c>
      <c r="AI840">
        <f t="shared" si="72"/>
        <v>3.75</v>
      </c>
    </row>
    <row r="841" spans="1:35" hidden="1" x14ac:dyDescent="0.4">
      <c r="A841">
        <v>1074</v>
      </c>
      <c r="B841" t="s">
        <v>34</v>
      </c>
      <c r="C841">
        <f t="shared" si="70"/>
        <v>1</v>
      </c>
      <c r="D841" t="s">
        <v>109</v>
      </c>
      <c r="E841">
        <f t="shared" si="71"/>
        <v>1</v>
      </c>
      <c r="F841" t="s">
        <v>28</v>
      </c>
      <c r="G841">
        <v>4</v>
      </c>
      <c r="H841" s="1">
        <v>213072</v>
      </c>
      <c r="I841" s="10">
        <v>0.15</v>
      </c>
      <c r="J841">
        <v>37.5</v>
      </c>
      <c r="K841" t="s">
        <v>34</v>
      </c>
      <c r="L841">
        <v>55</v>
      </c>
      <c r="M841" t="s">
        <v>29</v>
      </c>
      <c r="N841" t="s">
        <v>30</v>
      </c>
      <c r="O841" t="s">
        <v>35</v>
      </c>
      <c r="P841">
        <v>2</v>
      </c>
      <c r="Q841" t="s">
        <v>32</v>
      </c>
      <c r="R841" t="s">
        <v>33</v>
      </c>
      <c r="S841">
        <v>3</v>
      </c>
      <c r="T841">
        <v>0</v>
      </c>
      <c r="U841">
        <v>31</v>
      </c>
      <c r="V841">
        <v>3</v>
      </c>
      <c r="W841">
        <v>9</v>
      </c>
      <c r="X841">
        <v>7</v>
      </c>
      <c r="Y841">
        <v>6</v>
      </c>
      <c r="Z841">
        <v>2</v>
      </c>
      <c r="AA841" t="str">
        <f t="shared" si="73"/>
        <v>Mid Tenure</v>
      </c>
      <c r="AB841" s="5">
        <v>45805</v>
      </c>
      <c r="AC841">
        <f t="shared" si="74"/>
        <v>1</v>
      </c>
      <c r="AD841" t="s">
        <v>49</v>
      </c>
      <c r="AE841">
        <f>VLOOKUP(A841,'Employee Engagement Survey'!A746:B2215,2,FALSE)</f>
        <v>3</v>
      </c>
      <c r="AF841">
        <f>VLOOKUP(A841,'Employee Engagement Survey'!A746:C2215,3,FALSE)</f>
        <v>1</v>
      </c>
      <c r="AG841">
        <f>VLOOKUP(A841,'Employee Engagement Survey'!A746:D2215,4,FALSE)</f>
        <v>2</v>
      </c>
      <c r="AH841">
        <f>VLOOKUP(A841,'Employee Engagement Survey'!A746:E2215,5,FALSE)</f>
        <v>4</v>
      </c>
      <c r="AI841">
        <f t="shared" si="72"/>
        <v>2.5</v>
      </c>
    </row>
    <row r="842" spans="1:35" hidden="1" x14ac:dyDescent="0.4">
      <c r="A842">
        <v>1076</v>
      </c>
      <c r="B842" t="s">
        <v>34</v>
      </c>
      <c r="C842">
        <f t="shared" si="70"/>
        <v>1</v>
      </c>
      <c r="D842" t="s">
        <v>57</v>
      </c>
      <c r="E842">
        <f t="shared" si="71"/>
        <v>0</v>
      </c>
      <c r="F842" t="s">
        <v>40</v>
      </c>
      <c r="G842">
        <v>10</v>
      </c>
      <c r="H842" s="1">
        <v>141576</v>
      </c>
      <c r="I842" s="10">
        <v>0.13</v>
      </c>
      <c r="J842">
        <v>37.5</v>
      </c>
      <c r="K842" t="s">
        <v>34</v>
      </c>
      <c r="L842">
        <v>43</v>
      </c>
      <c r="M842" t="s">
        <v>29</v>
      </c>
      <c r="N842" t="s">
        <v>48</v>
      </c>
      <c r="O842" t="s">
        <v>31</v>
      </c>
      <c r="P842">
        <v>25</v>
      </c>
      <c r="Q842" t="s">
        <v>43</v>
      </c>
      <c r="R842" t="s">
        <v>33</v>
      </c>
      <c r="S842">
        <v>3</v>
      </c>
      <c r="T842">
        <v>1</v>
      </c>
      <c r="U842">
        <v>18</v>
      </c>
      <c r="V842">
        <v>5</v>
      </c>
      <c r="W842">
        <v>1</v>
      </c>
      <c r="X842">
        <v>0</v>
      </c>
      <c r="Y842">
        <v>0</v>
      </c>
      <c r="Z842">
        <v>0</v>
      </c>
      <c r="AA842" t="str">
        <f t="shared" si="73"/>
        <v>Early Tenure</v>
      </c>
      <c r="AB842" s="5">
        <v>45794</v>
      </c>
      <c r="AC842">
        <f t="shared" si="74"/>
        <v>1</v>
      </c>
      <c r="AD842" t="s">
        <v>38</v>
      </c>
      <c r="AE842">
        <f>VLOOKUP(A842,'Employee Engagement Survey'!A747:B2216,2,FALSE)</f>
        <v>3</v>
      </c>
      <c r="AF842">
        <f>VLOOKUP(A842,'Employee Engagement Survey'!A747:C2216,3,FALSE)</f>
        <v>4</v>
      </c>
      <c r="AG842">
        <f>VLOOKUP(A842,'Employee Engagement Survey'!A747:D2216,4,FALSE)</f>
        <v>3</v>
      </c>
      <c r="AH842">
        <f>VLOOKUP(A842,'Employee Engagement Survey'!A747:E2216,5,FALSE)</f>
        <v>3</v>
      </c>
      <c r="AI842">
        <f t="shared" si="72"/>
        <v>3.25</v>
      </c>
    </row>
    <row r="843" spans="1:35" hidden="1" x14ac:dyDescent="0.4">
      <c r="A843">
        <v>1235</v>
      </c>
      <c r="B843" t="s">
        <v>34</v>
      </c>
      <c r="C843">
        <f t="shared" si="70"/>
        <v>1</v>
      </c>
      <c r="D843" t="s">
        <v>27</v>
      </c>
      <c r="E843">
        <f t="shared" si="71"/>
        <v>0</v>
      </c>
      <c r="F843" t="s">
        <v>28</v>
      </c>
      <c r="G843">
        <v>7</v>
      </c>
      <c r="H843" s="1">
        <v>71976</v>
      </c>
      <c r="I843" s="10">
        <v>0.14000000000000001</v>
      </c>
      <c r="J843">
        <v>37.5</v>
      </c>
      <c r="K843" t="s">
        <v>26</v>
      </c>
      <c r="L843">
        <v>32</v>
      </c>
      <c r="M843" t="s">
        <v>47</v>
      </c>
      <c r="N843" t="s">
        <v>30</v>
      </c>
      <c r="O843" t="s">
        <v>44</v>
      </c>
      <c r="P843">
        <v>2</v>
      </c>
      <c r="Q843" t="s">
        <v>36</v>
      </c>
      <c r="R843" t="s">
        <v>37</v>
      </c>
      <c r="S843">
        <v>3</v>
      </c>
      <c r="T843">
        <v>0</v>
      </c>
      <c r="U843">
        <v>10</v>
      </c>
      <c r="V843">
        <v>2</v>
      </c>
      <c r="W843">
        <v>8</v>
      </c>
      <c r="X843">
        <v>7</v>
      </c>
      <c r="Y843">
        <v>0</v>
      </c>
      <c r="Z843">
        <v>7</v>
      </c>
      <c r="AA843" t="str">
        <f t="shared" si="73"/>
        <v>Mid Tenure</v>
      </c>
      <c r="AB843" s="5">
        <v>45093</v>
      </c>
      <c r="AC843">
        <f t="shared" si="74"/>
        <v>0</v>
      </c>
      <c r="AD843" t="s">
        <v>49</v>
      </c>
      <c r="AE843">
        <f>VLOOKUP(A843,'Employee Engagement Survey'!A749:B2218,2,FALSE)</f>
        <v>4</v>
      </c>
      <c r="AF843">
        <f>VLOOKUP(A843,'Employee Engagement Survey'!A749:C2218,3,FALSE)</f>
        <v>3</v>
      </c>
      <c r="AG843">
        <f>VLOOKUP(A843,'Employee Engagement Survey'!A749:D2218,4,FALSE)</f>
        <v>4</v>
      </c>
      <c r="AH843">
        <f>VLOOKUP(A843,'Employee Engagement Survey'!A749:E2218,5,FALSE)</f>
        <v>3</v>
      </c>
      <c r="AI843">
        <f t="shared" si="72"/>
        <v>3.5</v>
      </c>
    </row>
    <row r="844" spans="1:35" hidden="1" x14ac:dyDescent="0.4">
      <c r="A844">
        <v>128</v>
      </c>
      <c r="B844" t="s">
        <v>34</v>
      </c>
      <c r="C844">
        <f t="shared" si="70"/>
        <v>1</v>
      </c>
      <c r="D844" t="s">
        <v>57</v>
      </c>
      <c r="E844">
        <f t="shared" si="71"/>
        <v>0</v>
      </c>
      <c r="F844" t="s">
        <v>40</v>
      </c>
      <c r="G844">
        <v>7</v>
      </c>
      <c r="H844" s="1">
        <v>71988</v>
      </c>
      <c r="I844" s="10">
        <v>0.21</v>
      </c>
      <c r="J844">
        <v>37.5</v>
      </c>
      <c r="K844" t="s">
        <v>34</v>
      </c>
      <c r="L844">
        <v>24</v>
      </c>
      <c r="M844" t="s">
        <v>47</v>
      </c>
      <c r="N844" t="s">
        <v>42</v>
      </c>
      <c r="O844" t="s">
        <v>31</v>
      </c>
      <c r="P844">
        <v>3</v>
      </c>
      <c r="Q844" t="s">
        <v>36</v>
      </c>
      <c r="R844" t="s">
        <v>53</v>
      </c>
      <c r="S844">
        <v>4</v>
      </c>
      <c r="T844">
        <v>1</v>
      </c>
      <c r="U844">
        <v>4</v>
      </c>
      <c r="V844">
        <v>2</v>
      </c>
      <c r="W844">
        <v>3</v>
      </c>
      <c r="X844">
        <v>2</v>
      </c>
      <c r="Y844">
        <v>0</v>
      </c>
      <c r="Z844">
        <v>2</v>
      </c>
      <c r="AA844" t="str">
        <f t="shared" si="73"/>
        <v>Mid Tenure</v>
      </c>
      <c r="AB844" s="5">
        <v>45444</v>
      </c>
      <c r="AC844">
        <f t="shared" si="74"/>
        <v>1</v>
      </c>
      <c r="AD844" t="s">
        <v>38</v>
      </c>
      <c r="AE844">
        <f>VLOOKUP(A844,'Employee Engagement Survey'!A750:B2219,2,FALSE)</f>
        <v>1</v>
      </c>
      <c r="AF844">
        <f>VLOOKUP(A844,'Employee Engagement Survey'!A750:C2219,3,FALSE)</f>
        <v>3</v>
      </c>
      <c r="AG844">
        <f>VLOOKUP(A844,'Employee Engagement Survey'!A750:D2219,4,FALSE)</f>
        <v>1</v>
      </c>
      <c r="AH844">
        <f>VLOOKUP(A844,'Employee Engagement Survey'!A750:E2219,5,FALSE)</f>
        <v>2</v>
      </c>
      <c r="AI844">
        <f t="shared" si="72"/>
        <v>1.75</v>
      </c>
    </row>
    <row r="845" spans="1:35" x14ac:dyDescent="0.4">
      <c r="A845">
        <v>1025</v>
      </c>
      <c r="B845" t="s">
        <v>34</v>
      </c>
      <c r="C845">
        <f t="shared" si="70"/>
        <v>1</v>
      </c>
      <c r="D845" t="s">
        <v>54</v>
      </c>
      <c r="E845">
        <f t="shared" si="71"/>
        <v>1</v>
      </c>
      <c r="F845" t="s">
        <v>28</v>
      </c>
      <c r="G845">
        <v>7</v>
      </c>
      <c r="H845" s="1">
        <v>72036</v>
      </c>
      <c r="I845" s="10">
        <v>0.14000000000000001</v>
      </c>
      <c r="J845">
        <v>37.5</v>
      </c>
      <c r="K845" t="s">
        <v>34</v>
      </c>
      <c r="L845">
        <v>41</v>
      </c>
      <c r="M845" t="s">
        <v>47</v>
      </c>
      <c r="N845" t="s">
        <v>30</v>
      </c>
      <c r="O845" t="s">
        <v>31</v>
      </c>
      <c r="P845">
        <v>7</v>
      </c>
      <c r="Q845" t="s">
        <v>36</v>
      </c>
      <c r="R845" t="s">
        <v>33</v>
      </c>
      <c r="S845">
        <v>3</v>
      </c>
      <c r="T845">
        <v>0</v>
      </c>
      <c r="U845">
        <v>8</v>
      </c>
      <c r="V845">
        <v>6</v>
      </c>
      <c r="W845">
        <v>2</v>
      </c>
      <c r="X845">
        <v>2</v>
      </c>
      <c r="Y845">
        <v>2</v>
      </c>
      <c r="Z845">
        <v>1</v>
      </c>
      <c r="AA845" t="str">
        <f t="shared" si="73"/>
        <v>Early Tenure</v>
      </c>
      <c r="AB845" s="5">
        <v>45956</v>
      </c>
      <c r="AC845">
        <f t="shared" si="74"/>
        <v>1</v>
      </c>
      <c r="AD845" t="s">
        <v>49</v>
      </c>
      <c r="AE845">
        <f>VLOOKUP(A845,'Employee Engagement Survey'!A751:B2220,2,FALSE)</f>
        <v>4</v>
      </c>
      <c r="AF845">
        <f>VLOOKUP(A845,'Employee Engagement Survey'!A751:C2220,3,FALSE)</f>
        <v>3</v>
      </c>
      <c r="AG845">
        <f>VLOOKUP(A845,'Employee Engagement Survey'!A751:D2220,4,FALSE)</f>
        <v>2</v>
      </c>
      <c r="AH845">
        <f>VLOOKUP(A845,'Employee Engagement Survey'!A751:E2220,5,FALSE)</f>
        <v>3</v>
      </c>
      <c r="AI845">
        <f t="shared" si="72"/>
        <v>3</v>
      </c>
    </row>
    <row r="846" spans="1:35" hidden="1" x14ac:dyDescent="0.4">
      <c r="A846">
        <v>240</v>
      </c>
      <c r="B846" t="s">
        <v>34</v>
      </c>
      <c r="C846">
        <f t="shared" si="70"/>
        <v>1</v>
      </c>
      <c r="D846" t="s">
        <v>57</v>
      </c>
      <c r="E846">
        <f t="shared" si="71"/>
        <v>0</v>
      </c>
      <c r="F846" t="s">
        <v>40</v>
      </c>
      <c r="G846">
        <v>7</v>
      </c>
      <c r="H846" s="1">
        <v>72072</v>
      </c>
      <c r="I846" s="10">
        <v>0.11</v>
      </c>
      <c r="J846">
        <v>37.5</v>
      </c>
      <c r="K846" t="s">
        <v>26</v>
      </c>
      <c r="L846">
        <v>45</v>
      </c>
      <c r="M846" t="s">
        <v>47</v>
      </c>
      <c r="N846" t="s">
        <v>48</v>
      </c>
      <c r="O846" t="s">
        <v>31</v>
      </c>
      <c r="P846">
        <v>4</v>
      </c>
      <c r="Q846" t="s">
        <v>36</v>
      </c>
      <c r="R846" t="s">
        <v>37</v>
      </c>
      <c r="S846">
        <v>3</v>
      </c>
      <c r="T846">
        <v>1</v>
      </c>
      <c r="U846">
        <v>9</v>
      </c>
      <c r="V846">
        <v>3</v>
      </c>
      <c r="W846">
        <v>5</v>
      </c>
      <c r="X846">
        <v>4</v>
      </c>
      <c r="Y846">
        <v>0</v>
      </c>
      <c r="Z846">
        <v>3</v>
      </c>
      <c r="AA846" t="str">
        <f t="shared" si="73"/>
        <v>Mid Tenure</v>
      </c>
      <c r="AB846" s="5">
        <v>44934</v>
      </c>
      <c r="AC846">
        <f t="shared" si="74"/>
        <v>0</v>
      </c>
      <c r="AD846" t="s">
        <v>38</v>
      </c>
      <c r="AE846">
        <f>VLOOKUP(A846,'Employee Engagement Survey'!A753:B2222,2,FALSE)</f>
        <v>3</v>
      </c>
      <c r="AF846">
        <f>VLOOKUP(A846,'Employee Engagement Survey'!A753:C2222,3,FALSE)</f>
        <v>1</v>
      </c>
      <c r="AG846">
        <f>VLOOKUP(A846,'Employee Engagement Survey'!A753:D2222,4,FALSE)</f>
        <v>1</v>
      </c>
      <c r="AH846">
        <f>VLOOKUP(A846,'Employee Engagement Survey'!A753:E2222,5,FALSE)</f>
        <v>4</v>
      </c>
      <c r="AI846">
        <f t="shared" si="72"/>
        <v>2.25</v>
      </c>
    </row>
    <row r="847" spans="1:35" hidden="1" x14ac:dyDescent="0.4">
      <c r="A847">
        <v>1083</v>
      </c>
      <c r="B847" t="s">
        <v>34</v>
      </c>
      <c r="C847">
        <f t="shared" si="70"/>
        <v>1</v>
      </c>
      <c r="D847" t="s">
        <v>46</v>
      </c>
      <c r="E847">
        <f t="shared" si="71"/>
        <v>0</v>
      </c>
      <c r="F847" t="s">
        <v>28</v>
      </c>
      <c r="G847">
        <v>7</v>
      </c>
      <c r="H847" s="1">
        <v>71460</v>
      </c>
      <c r="I847" s="10">
        <v>0.16</v>
      </c>
      <c r="J847">
        <v>37.5</v>
      </c>
      <c r="K847" t="s">
        <v>34</v>
      </c>
      <c r="L847">
        <v>26</v>
      </c>
      <c r="M847" t="s">
        <v>29</v>
      </c>
      <c r="N847" t="s">
        <v>42</v>
      </c>
      <c r="O847" t="s">
        <v>31</v>
      </c>
      <c r="P847">
        <v>1</v>
      </c>
      <c r="Q847" t="s">
        <v>36</v>
      </c>
      <c r="R847" t="s">
        <v>33</v>
      </c>
      <c r="S847">
        <v>3</v>
      </c>
      <c r="T847">
        <v>2</v>
      </c>
      <c r="U847">
        <v>6</v>
      </c>
      <c r="V847">
        <v>2</v>
      </c>
      <c r="W847">
        <v>5</v>
      </c>
      <c r="X847">
        <v>3</v>
      </c>
      <c r="Y847">
        <v>1</v>
      </c>
      <c r="Z847">
        <v>3</v>
      </c>
      <c r="AA847" t="str">
        <f t="shared" si="73"/>
        <v>Mid Tenure</v>
      </c>
      <c r="AB847" s="5">
        <v>44971</v>
      </c>
      <c r="AC847">
        <f t="shared" si="74"/>
        <v>0</v>
      </c>
      <c r="AD847" t="s">
        <v>49</v>
      </c>
      <c r="AE847">
        <f>VLOOKUP(A847,'Employee Engagement Survey'!A754:B2223,2,FALSE)</f>
        <v>1</v>
      </c>
      <c r="AF847">
        <f>VLOOKUP(A847,'Employee Engagement Survey'!A754:C2223,3,FALSE)</f>
        <v>1</v>
      </c>
      <c r="AG847">
        <f>VLOOKUP(A847,'Employee Engagement Survey'!A754:D2223,4,FALSE)</f>
        <v>1</v>
      </c>
      <c r="AH847">
        <f>VLOOKUP(A847,'Employee Engagement Survey'!A754:E2223,5,FALSE)</f>
        <v>3</v>
      </c>
      <c r="AI847">
        <f t="shared" si="72"/>
        <v>1.5</v>
      </c>
    </row>
    <row r="848" spans="1:35" hidden="1" x14ac:dyDescent="0.4">
      <c r="A848">
        <v>1084</v>
      </c>
      <c r="B848" t="s">
        <v>34</v>
      </c>
      <c r="C848">
        <f t="shared" si="70"/>
        <v>1</v>
      </c>
      <c r="D848" t="s">
        <v>54</v>
      </c>
      <c r="E848">
        <f t="shared" si="71"/>
        <v>1</v>
      </c>
      <c r="F848" t="s">
        <v>28</v>
      </c>
      <c r="G848">
        <v>9</v>
      </c>
      <c r="H848" s="1">
        <v>131484</v>
      </c>
      <c r="I848" s="10">
        <v>0.15</v>
      </c>
      <c r="J848">
        <v>37.5</v>
      </c>
      <c r="K848" t="s">
        <v>34</v>
      </c>
      <c r="L848">
        <v>30</v>
      </c>
      <c r="M848" t="s">
        <v>29</v>
      </c>
      <c r="N848" t="s">
        <v>42</v>
      </c>
      <c r="O848" t="s">
        <v>31</v>
      </c>
      <c r="P848">
        <v>20</v>
      </c>
      <c r="Q848" t="s">
        <v>43</v>
      </c>
      <c r="R848" t="s">
        <v>53</v>
      </c>
      <c r="S848">
        <v>3</v>
      </c>
      <c r="T848">
        <v>1</v>
      </c>
      <c r="U848">
        <v>7</v>
      </c>
      <c r="V848">
        <v>1</v>
      </c>
      <c r="W848">
        <v>6</v>
      </c>
      <c r="X848">
        <v>2</v>
      </c>
      <c r="Y848">
        <v>0</v>
      </c>
      <c r="Z848">
        <v>2</v>
      </c>
      <c r="AA848" t="str">
        <f t="shared" si="73"/>
        <v>Mid Tenure</v>
      </c>
      <c r="AB848" s="5">
        <v>45760</v>
      </c>
      <c r="AC848">
        <f t="shared" si="74"/>
        <v>1</v>
      </c>
      <c r="AD848" t="s">
        <v>49</v>
      </c>
      <c r="AE848">
        <f>VLOOKUP(A848,'Employee Engagement Survey'!A755:B2224,2,FALSE)</f>
        <v>3</v>
      </c>
      <c r="AF848">
        <f>VLOOKUP(A848,'Employee Engagement Survey'!A755:C2224,3,FALSE)</f>
        <v>1</v>
      </c>
      <c r="AG848">
        <f>VLOOKUP(A848,'Employee Engagement Survey'!A755:D2224,4,FALSE)</f>
        <v>3</v>
      </c>
      <c r="AH848">
        <f>VLOOKUP(A848,'Employee Engagement Survey'!A755:E2224,5,FALSE)</f>
        <v>2</v>
      </c>
      <c r="AI848">
        <f t="shared" si="72"/>
        <v>2.25</v>
      </c>
    </row>
    <row r="849" spans="1:35" hidden="1" x14ac:dyDescent="0.4">
      <c r="A849">
        <v>1092</v>
      </c>
      <c r="B849" t="s">
        <v>34</v>
      </c>
      <c r="C849">
        <f t="shared" si="70"/>
        <v>1</v>
      </c>
      <c r="D849" t="s">
        <v>55</v>
      </c>
      <c r="E849">
        <f t="shared" si="71"/>
        <v>0</v>
      </c>
      <c r="F849" t="s">
        <v>28</v>
      </c>
      <c r="G849">
        <v>9</v>
      </c>
      <c r="H849" s="1">
        <v>135864</v>
      </c>
      <c r="I849" s="10">
        <v>0.2</v>
      </c>
      <c r="J849">
        <v>37.5</v>
      </c>
      <c r="K849" t="s">
        <v>34</v>
      </c>
      <c r="L849">
        <v>40</v>
      </c>
      <c r="M849" t="s">
        <v>29</v>
      </c>
      <c r="N849" t="s">
        <v>42</v>
      </c>
      <c r="O849" t="s">
        <v>31</v>
      </c>
      <c r="P849">
        <v>20</v>
      </c>
      <c r="Q849" t="s">
        <v>51</v>
      </c>
      <c r="R849" t="s">
        <v>45</v>
      </c>
      <c r="S849">
        <v>4</v>
      </c>
      <c r="T849">
        <v>1</v>
      </c>
      <c r="U849">
        <v>14</v>
      </c>
      <c r="V849">
        <v>6</v>
      </c>
      <c r="W849">
        <v>11</v>
      </c>
      <c r="X849">
        <v>10</v>
      </c>
      <c r="Y849">
        <v>11</v>
      </c>
      <c r="Z849">
        <v>1</v>
      </c>
      <c r="AA849" t="str">
        <f t="shared" si="73"/>
        <v>Long Tenure</v>
      </c>
      <c r="AB849" s="5">
        <v>45652</v>
      </c>
      <c r="AC849">
        <f t="shared" si="74"/>
        <v>1</v>
      </c>
      <c r="AD849" t="s">
        <v>49</v>
      </c>
      <c r="AE849">
        <f>VLOOKUP(A849,'Employee Engagement Survey'!A756:B2225,2,FALSE)</f>
        <v>1</v>
      </c>
      <c r="AF849">
        <f>VLOOKUP(A849,'Employee Engagement Survey'!A756:C2225,3,FALSE)</f>
        <v>4</v>
      </c>
      <c r="AG849">
        <f>VLOOKUP(A849,'Employee Engagement Survey'!A756:D2225,4,FALSE)</f>
        <v>4</v>
      </c>
      <c r="AH849">
        <f>VLOOKUP(A849,'Employee Engagement Survey'!A756:E2225,5,FALSE)</f>
        <v>3</v>
      </c>
      <c r="AI849">
        <f t="shared" si="72"/>
        <v>3</v>
      </c>
    </row>
    <row r="850" spans="1:35" hidden="1" x14ac:dyDescent="0.4">
      <c r="A850">
        <v>1633</v>
      </c>
      <c r="B850" t="s">
        <v>34</v>
      </c>
      <c r="C850">
        <f t="shared" si="70"/>
        <v>1</v>
      </c>
      <c r="D850" t="s">
        <v>54</v>
      </c>
      <c r="E850">
        <f t="shared" si="71"/>
        <v>1</v>
      </c>
      <c r="F850" t="s">
        <v>28</v>
      </c>
      <c r="G850">
        <v>7</v>
      </c>
      <c r="H850" s="1">
        <v>72504</v>
      </c>
      <c r="I850" s="10">
        <v>0.13</v>
      </c>
      <c r="J850">
        <v>37.5</v>
      </c>
      <c r="K850" t="s">
        <v>34</v>
      </c>
      <c r="L850">
        <v>39</v>
      </c>
      <c r="M850" t="s">
        <v>47</v>
      </c>
      <c r="N850" t="s">
        <v>30</v>
      </c>
      <c r="O850" t="s">
        <v>44</v>
      </c>
      <c r="P850">
        <v>4</v>
      </c>
      <c r="Q850" t="s">
        <v>43</v>
      </c>
      <c r="R850" t="s">
        <v>33</v>
      </c>
      <c r="S850">
        <v>3</v>
      </c>
      <c r="T850">
        <v>0</v>
      </c>
      <c r="U850">
        <v>10</v>
      </c>
      <c r="V850">
        <v>2</v>
      </c>
      <c r="W850">
        <v>9</v>
      </c>
      <c r="X850">
        <v>2</v>
      </c>
      <c r="Y850">
        <v>3</v>
      </c>
      <c r="Z850">
        <v>8</v>
      </c>
      <c r="AA850" t="str">
        <f t="shared" si="73"/>
        <v>Mid Tenure</v>
      </c>
      <c r="AB850" s="5">
        <v>44759</v>
      </c>
      <c r="AC850">
        <f t="shared" si="74"/>
        <v>0</v>
      </c>
      <c r="AD850" t="s">
        <v>49</v>
      </c>
      <c r="AE850">
        <f>VLOOKUP(A850,'Employee Engagement Survey'!A757:B2226,2,FALSE)</f>
        <v>1</v>
      </c>
      <c r="AF850">
        <f>VLOOKUP(A850,'Employee Engagement Survey'!A757:C2226,3,FALSE)</f>
        <v>3</v>
      </c>
      <c r="AG850">
        <f>VLOOKUP(A850,'Employee Engagement Survey'!A757:D2226,4,FALSE)</f>
        <v>4</v>
      </c>
      <c r="AH850">
        <f>VLOOKUP(A850,'Employee Engagement Survey'!A757:E2226,5,FALSE)</f>
        <v>1</v>
      </c>
      <c r="AI850">
        <f t="shared" si="72"/>
        <v>2.25</v>
      </c>
    </row>
    <row r="851" spans="1:35" hidden="1" x14ac:dyDescent="0.4">
      <c r="A851">
        <v>439</v>
      </c>
      <c r="B851" t="s">
        <v>34</v>
      </c>
      <c r="C851">
        <f t="shared" si="70"/>
        <v>1</v>
      </c>
      <c r="D851" t="s">
        <v>27</v>
      </c>
      <c r="E851">
        <f t="shared" si="71"/>
        <v>0</v>
      </c>
      <c r="F851" t="s">
        <v>28</v>
      </c>
      <c r="G851">
        <v>7</v>
      </c>
      <c r="H851" s="1">
        <v>72660</v>
      </c>
      <c r="I851" s="10">
        <v>0.16</v>
      </c>
      <c r="J851">
        <v>37.5</v>
      </c>
      <c r="K851" t="s">
        <v>34</v>
      </c>
      <c r="L851">
        <v>32</v>
      </c>
      <c r="M851" t="s">
        <v>47</v>
      </c>
      <c r="N851" t="s">
        <v>30</v>
      </c>
      <c r="O851" t="s">
        <v>31</v>
      </c>
      <c r="P851">
        <v>2</v>
      </c>
      <c r="Q851" t="s">
        <v>51</v>
      </c>
      <c r="R851" t="s">
        <v>33</v>
      </c>
      <c r="S851">
        <v>3</v>
      </c>
      <c r="T851">
        <v>0</v>
      </c>
      <c r="U851">
        <v>10</v>
      </c>
      <c r="V851">
        <v>0</v>
      </c>
      <c r="W851">
        <v>7</v>
      </c>
      <c r="X851">
        <v>7</v>
      </c>
      <c r="Y851">
        <v>0</v>
      </c>
      <c r="Z851">
        <v>7</v>
      </c>
      <c r="AA851" t="str">
        <f t="shared" si="73"/>
        <v>Mid Tenure</v>
      </c>
      <c r="AB851" s="5">
        <v>45624</v>
      </c>
      <c r="AC851">
        <f t="shared" si="74"/>
        <v>1</v>
      </c>
      <c r="AD851" t="s">
        <v>49</v>
      </c>
      <c r="AE851">
        <f>VLOOKUP(A851,'Employee Engagement Survey'!A758:B2227,2,FALSE)</f>
        <v>1</v>
      </c>
      <c r="AF851">
        <f>VLOOKUP(A851,'Employee Engagement Survey'!A758:C2227,3,FALSE)</f>
        <v>4</v>
      </c>
      <c r="AG851">
        <f>VLOOKUP(A851,'Employee Engagement Survey'!A758:D2227,4,FALSE)</f>
        <v>3</v>
      </c>
      <c r="AH851">
        <f>VLOOKUP(A851,'Employee Engagement Survey'!A758:E2227,5,FALSE)</f>
        <v>2</v>
      </c>
      <c r="AI851">
        <f t="shared" si="72"/>
        <v>2.5</v>
      </c>
    </row>
    <row r="852" spans="1:35" hidden="1" x14ac:dyDescent="0.4">
      <c r="A852">
        <v>1094</v>
      </c>
      <c r="B852" t="s">
        <v>34</v>
      </c>
      <c r="C852">
        <f t="shared" si="70"/>
        <v>1</v>
      </c>
      <c r="D852" t="s">
        <v>46</v>
      </c>
      <c r="E852">
        <f t="shared" si="71"/>
        <v>0</v>
      </c>
      <c r="F852" t="s">
        <v>28</v>
      </c>
      <c r="G852">
        <v>6</v>
      </c>
      <c r="H852" s="1">
        <v>67452</v>
      </c>
      <c r="I852" s="10">
        <v>0.19</v>
      </c>
      <c r="J852">
        <v>37.5</v>
      </c>
      <c r="K852" t="s">
        <v>34</v>
      </c>
      <c r="L852">
        <v>27</v>
      </c>
      <c r="M852" t="s">
        <v>29</v>
      </c>
      <c r="N852" t="s">
        <v>42</v>
      </c>
      <c r="O852" t="s">
        <v>35</v>
      </c>
      <c r="P852">
        <v>8</v>
      </c>
      <c r="Q852" t="s">
        <v>58</v>
      </c>
      <c r="R852" t="s">
        <v>37</v>
      </c>
      <c r="S852">
        <v>3</v>
      </c>
      <c r="T852">
        <v>3</v>
      </c>
      <c r="U852">
        <v>3</v>
      </c>
      <c r="V852">
        <v>4</v>
      </c>
      <c r="W852">
        <v>3</v>
      </c>
      <c r="X852">
        <v>2</v>
      </c>
      <c r="Y852">
        <v>1</v>
      </c>
      <c r="Z852">
        <v>2</v>
      </c>
      <c r="AA852" t="str">
        <f t="shared" si="73"/>
        <v>Mid Tenure</v>
      </c>
      <c r="AB852" s="5">
        <v>44831</v>
      </c>
      <c r="AC852">
        <f t="shared" si="74"/>
        <v>0</v>
      </c>
      <c r="AD852" t="s">
        <v>49</v>
      </c>
      <c r="AE852">
        <f>VLOOKUP(A852,'Employee Engagement Survey'!A759:B2228,2,FALSE)</f>
        <v>1</v>
      </c>
      <c r="AF852">
        <f>VLOOKUP(A852,'Employee Engagement Survey'!A759:C2228,3,FALSE)</f>
        <v>3</v>
      </c>
      <c r="AG852">
        <f>VLOOKUP(A852,'Employee Engagement Survey'!A759:D2228,4,FALSE)</f>
        <v>4</v>
      </c>
      <c r="AH852">
        <f>VLOOKUP(A852,'Employee Engagement Survey'!A759:E2228,5,FALSE)</f>
        <v>3</v>
      </c>
      <c r="AI852">
        <f t="shared" si="72"/>
        <v>2.75</v>
      </c>
    </row>
    <row r="853" spans="1:35" hidden="1" x14ac:dyDescent="0.4">
      <c r="A853">
        <v>1096</v>
      </c>
      <c r="B853" t="s">
        <v>34</v>
      </c>
      <c r="C853">
        <f t="shared" si="70"/>
        <v>1</v>
      </c>
      <c r="D853" t="s">
        <v>54</v>
      </c>
      <c r="E853">
        <f t="shared" si="71"/>
        <v>1</v>
      </c>
      <c r="F853" t="s">
        <v>28</v>
      </c>
      <c r="G853">
        <v>10</v>
      </c>
      <c r="H853" s="1">
        <v>143712</v>
      </c>
      <c r="I853" s="10">
        <v>0.18</v>
      </c>
      <c r="J853">
        <v>37.5</v>
      </c>
      <c r="K853" t="s">
        <v>34</v>
      </c>
      <c r="L853">
        <v>55</v>
      </c>
      <c r="M853" t="s">
        <v>29</v>
      </c>
      <c r="N853" t="s">
        <v>42</v>
      </c>
      <c r="O853" t="s">
        <v>44</v>
      </c>
      <c r="P853">
        <v>2</v>
      </c>
      <c r="Q853" t="s">
        <v>32</v>
      </c>
      <c r="R853" t="s">
        <v>37</v>
      </c>
      <c r="S853">
        <v>3</v>
      </c>
      <c r="T853">
        <v>1</v>
      </c>
      <c r="U853">
        <v>23</v>
      </c>
      <c r="V853">
        <v>4</v>
      </c>
      <c r="W853">
        <v>3</v>
      </c>
      <c r="X853">
        <v>2</v>
      </c>
      <c r="Y853">
        <v>1</v>
      </c>
      <c r="Z853">
        <v>2</v>
      </c>
      <c r="AA853" t="str">
        <f t="shared" si="73"/>
        <v>Mid Tenure</v>
      </c>
      <c r="AB853" s="5">
        <v>44840</v>
      </c>
      <c r="AC853">
        <f t="shared" si="74"/>
        <v>0</v>
      </c>
      <c r="AD853" t="s">
        <v>49</v>
      </c>
      <c r="AE853">
        <f>VLOOKUP(A853,'Employee Engagement Survey'!A760:B2229,2,FALSE)</f>
        <v>4</v>
      </c>
      <c r="AF853">
        <f>VLOOKUP(A853,'Employee Engagement Survey'!A760:C2229,3,FALSE)</f>
        <v>2</v>
      </c>
      <c r="AG853">
        <f>VLOOKUP(A853,'Employee Engagement Survey'!A760:D2229,4,FALSE)</f>
        <v>2</v>
      </c>
      <c r="AH853">
        <f>VLOOKUP(A853,'Employee Engagement Survey'!A760:E2229,5,FALSE)</f>
        <v>3</v>
      </c>
      <c r="AI853">
        <f t="shared" si="72"/>
        <v>2.75</v>
      </c>
    </row>
    <row r="854" spans="1:35" hidden="1" x14ac:dyDescent="0.4">
      <c r="A854">
        <v>574</v>
      </c>
      <c r="B854" t="s">
        <v>34</v>
      </c>
      <c r="C854">
        <f t="shared" si="70"/>
        <v>1</v>
      </c>
      <c r="D854" t="s">
        <v>54</v>
      </c>
      <c r="E854">
        <f t="shared" si="71"/>
        <v>1</v>
      </c>
      <c r="F854" t="s">
        <v>28</v>
      </c>
      <c r="G854">
        <v>7</v>
      </c>
      <c r="H854" s="1">
        <v>72840</v>
      </c>
      <c r="I854" s="10">
        <v>0.13</v>
      </c>
      <c r="J854">
        <v>37.5</v>
      </c>
      <c r="K854" t="s">
        <v>34</v>
      </c>
      <c r="L854">
        <v>47</v>
      </c>
      <c r="M854" t="s">
        <v>47</v>
      </c>
      <c r="N854" t="s">
        <v>48</v>
      </c>
      <c r="O854" t="s">
        <v>31</v>
      </c>
      <c r="P854">
        <v>2</v>
      </c>
      <c r="Q854" t="s">
        <v>36</v>
      </c>
      <c r="R854" t="s">
        <v>33</v>
      </c>
      <c r="S854">
        <v>3</v>
      </c>
      <c r="T854">
        <v>3</v>
      </c>
      <c r="U854">
        <v>20</v>
      </c>
      <c r="V854">
        <v>2</v>
      </c>
      <c r="W854">
        <v>5</v>
      </c>
      <c r="X854">
        <v>0</v>
      </c>
      <c r="Y854">
        <v>0</v>
      </c>
      <c r="Z854">
        <v>4</v>
      </c>
      <c r="AA854" t="str">
        <f t="shared" si="73"/>
        <v>Mid Tenure</v>
      </c>
      <c r="AB854" s="5">
        <v>45735</v>
      </c>
      <c r="AC854">
        <f t="shared" si="74"/>
        <v>1</v>
      </c>
      <c r="AD854" t="s">
        <v>49</v>
      </c>
      <c r="AE854">
        <f>VLOOKUP(A854,'Employee Engagement Survey'!A762:B2231,2,FALSE)</f>
        <v>1</v>
      </c>
      <c r="AF854">
        <f>VLOOKUP(A854,'Employee Engagement Survey'!A762:C2231,3,FALSE)</f>
        <v>4</v>
      </c>
      <c r="AG854">
        <f>VLOOKUP(A854,'Employee Engagement Survey'!A762:D2231,4,FALSE)</f>
        <v>3</v>
      </c>
      <c r="AH854">
        <f>VLOOKUP(A854,'Employee Engagement Survey'!A762:E2231,5,FALSE)</f>
        <v>3</v>
      </c>
      <c r="AI854">
        <f t="shared" si="72"/>
        <v>2.75</v>
      </c>
    </row>
    <row r="855" spans="1:35" hidden="1" x14ac:dyDescent="0.4">
      <c r="A855">
        <v>1099</v>
      </c>
      <c r="B855" t="s">
        <v>34</v>
      </c>
      <c r="C855">
        <f t="shared" si="70"/>
        <v>1</v>
      </c>
      <c r="D855" t="s">
        <v>55</v>
      </c>
      <c r="E855">
        <f t="shared" si="71"/>
        <v>0</v>
      </c>
      <c r="F855" t="s">
        <v>28</v>
      </c>
      <c r="G855">
        <v>8</v>
      </c>
      <c r="H855" s="1">
        <v>97428</v>
      </c>
      <c r="I855" s="10">
        <v>0.15</v>
      </c>
      <c r="J855">
        <v>37.5</v>
      </c>
      <c r="K855" t="s">
        <v>34</v>
      </c>
      <c r="L855">
        <v>33</v>
      </c>
      <c r="M855" t="s">
        <v>29</v>
      </c>
      <c r="N855" t="s">
        <v>48</v>
      </c>
      <c r="O855" t="s">
        <v>31</v>
      </c>
      <c r="P855">
        <v>5</v>
      </c>
      <c r="Q855" t="s">
        <v>43</v>
      </c>
      <c r="R855" t="s">
        <v>37</v>
      </c>
      <c r="S855">
        <v>3</v>
      </c>
      <c r="T855">
        <v>1</v>
      </c>
      <c r="U855">
        <v>9</v>
      </c>
      <c r="V855">
        <v>2</v>
      </c>
      <c r="W855">
        <v>3</v>
      </c>
      <c r="X855">
        <v>2</v>
      </c>
      <c r="Y855">
        <v>1</v>
      </c>
      <c r="Z855">
        <v>2</v>
      </c>
      <c r="AA855" t="str">
        <f t="shared" si="73"/>
        <v>Mid Tenure</v>
      </c>
      <c r="AB855" s="5">
        <v>44576</v>
      </c>
      <c r="AC855">
        <f t="shared" si="74"/>
        <v>0</v>
      </c>
      <c r="AD855" t="s">
        <v>49</v>
      </c>
      <c r="AE855">
        <f>VLOOKUP(A855,'Employee Engagement Survey'!A763:B2232,2,FALSE)</f>
        <v>4</v>
      </c>
      <c r="AF855">
        <f>VLOOKUP(A855,'Employee Engagement Survey'!A763:C2232,3,FALSE)</f>
        <v>4</v>
      </c>
      <c r="AG855">
        <f>VLOOKUP(A855,'Employee Engagement Survey'!A763:D2232,4,FALSE)</f>
        <v>3</v>
      </c>
      <c r="AH855">
        <f>VLOOKUP(A855,'Employee Engagement Survey'!A763:E2232,5,FALSE)</f>
        <v>3</v>
      </c>
      <c r="AI855">
        <f t="shared" si="72"/>
        <v>3.5</v>
      </c>
    </row>
    <row r="856" spans="1:35" hidden="1" x14ac:dyDescent="0.4">
      <c r="A856">
        <v>1102</v>
      </c>
      <c r="B856" t="s">
        <v>34</v>
      </c>
      <c r="C856">
        <f t="shared" si="70"/>
        <v>1</v>
      </c>
      <c r="D856" t="s">
        <v>46</v>
      </c>
      <c r="E856">
        <f t="shared" si="71"/>
        <v>0</v>
      </c>
      <c r="F856" t="s">
        <v>28</v>
      </c>
      <c r="G856">
        <v>4</v>
      </c>
      <c r="H856" s="1">
        <v>50484</v>
      </c>
      <c r="I856" s="10">
        <v>0.16</v>
      </c>
      <c r="J856">
        <v>37.5</v>
      </c>
      <c r="K856" t="s">
        <v>34</v>
      </c>
      <c r="L856">
        <v>28</v>
      </c>
      <c r="M856" t="s">
        <v>29</v>
      </c>
      <c r="N856" t="s">
        <v>48</v>
      </c>
      <c r="O856" t="s">
        <v>31</v>
      </c>
      <c r="P856">
        <v>15</v>
      </c>
      <c r="Q856" t="s">
        <v>36</v>
      </c>
      <c r="R856" t="s">
        <v>37</v>
      </c>
      <c r="S856">
        <v>3</v>
      </c>
      <c r="T856">
        <v>1</v>
      </c>
      <c r="U856">
        <v>4</v>
      </c>
      <c r="V856">
        <v>5</v>
      </c>
      <c r="W856">
        <v>4</v>
      </c>
      <c r="X856">
        <v>2</v>
      </c>
      <c r="Y856">
        <v>2</v>
      </c>
      <c r="Z856">
        <v>2</v>
      </c>
      <c r="AA856" t="str">
        <f t="shared" si="73"/>
        <v>Mid Tenure</v>
      </c>
      <c r="AB856" s="5">
        <v>45234</v>
      </c>
      <c r="AC856">
        <f t="shared" si="74"/>
        <v>0</v>
      </c>
      <c r="AD856" t="s">
        <v>49</v>
      </c>
      <c r="AE856">
        <f>VLOOKUP(A856,'Employee Engagement Survey'!A765:B2234,2,FALSE)</f>
        <v>1</v>
      </c>
      <c r="AF856">
        <f>VLOOKUP(A856,'Employee Engagement Survey'!A765:C2234,3,FALSE)</f>
        <v>3</v>
      </c>
      <c r="AG856">
        <f>VLOOKUP(A856,'Employee Engagement Survey'!A765:D2234,4,FALSE)</f>
        <v>4</v>
      </c>
      <c r="AH856">
        <f>VLOOKUP(A856,'Employee Engagement Survey'!A765:E2234,5,FALSE)</f>
        <v>2</v>
      </c>
      <c r="AI856">
        <f t="shared" si="72"/>
        <v>2.5</v>
      </c>
    </row>
    <row r="857" spans="1:35" hidden="1" x14ac:dyDescent="0.4">
      <c r="A857">
        <v>771</v>
      </c>
      <c r="B857" t="s">
        <v>34</v>
      </c>
      <c r="C857">
        <f t="shared" si="70"/>
        <v>1</v>
      </c>
      <c r="D857" t="s">
        <v>55</v>
      </c>
      <c r="E857">
        <f t="shared" si="71"/>
        <v>0</v>
      </c>
      <c r="F857" t="s">
        <v>28</v>
      </c>
      <c r="G857">
        <v>7</v>
      </c>
      <c r="H857" s="1">
        <v>73116</v>
      </c>
      <c r="I857" s="10">
        <v>0.11</v>
      </c>
      <c r="J857">
        <v>37.5</v>
      </c>
      <c r="K857" t="s">
        <v>34</v>
      </c>
      <c r="L857">
        <v>35</v>
      </c>
      <c r="M857" t="s">
        <v>47</v>
      </c>
      <c r="N857" t="s">
        <v>48</v>
      </c>
      <c r="O857" t="s">
        <v>35</v>
      </c>
      <c r="P857">
        <v>2</v>
      </c>
      <c r="Q857" t="s">
        <v>51</v>
      </c>
      <c r="R857" t="s">
        <v>37</v>
      </c>
      <c r="S857">
        <v>3</v>
      </c>
      <c r="T857">
        <v>1</v>
      </c>
      <c r="U857">
        <v>16</v>
      </c>
      <c r="V857">
        <v>2</v>
      </c>
      <c r="W857">
        <v>1</v>
      </c>
      <c r="X857">
        <v>0</v>
      </c>
      <c r="Y857">
        <v>0</v>
      </c>
      <c r="Z857">
        <v>0</v>
      </c>
      <c r="AA857" t="str">
        <f t="shared" si="73"/>
        <v>Early Tenure</v>
      </c>
      <c r="AB857" s="5">
        <v>45985</v>
      </c>
      <c r="AC857">
        <f t="shared" si="74"/>
        <v>1</v>
      </c>
      <c r="AD857" t="s">
        <v>49</v>
      </c>
      <c r="AE857">
        <f>VLOOKUP(A857,'Employee Engagement Survey'!A766:B2235,2,FALSE)</f>
        <v>4</v>
      </c>
      <c r="AF857">
        <f>VLOOKUP(A857,'Employee Engagement Survey'!A766:C2235,3,FALSE)</f>
        <v>1</v>
      </c>
      <c r="AG857">
        <f>VLOOKUP(A857,'Employee Engagement Survey'!A766:D2235,4,FALSE)</f>
        <v>1</v>
      </c>
      <c r="AH857">
        <f>VLOOKUP(A857,'Employee Engagement Survey'!A766:E2235,5,FALSE)</f>
        <v>4</v>
      </c>
      <c r="AI857">
        <f t="shared" si="72"/>
        <v>2.5</v>
      </c>
    </row>
    <row r="858" spans="1:35" hidden="1" x14ac:dyDescent="0.4">
      <c r="A858">
        <v>1103</v>
      </c>
      <c r="B858" t="s">
        <v>34</v>
      </c>
      <c r="C858">
        <f t="shared" si="70"/>
        <v>1</v>
      </c>
      <c r="D858" t="s">
        <v>55</v>
      </c>
      <c r="E858">
        <f t="shared" si="71"/>
        <v>0</v>
      </c>
      <c r="F858" t="s">
        <v>28</v>
      </c>
      <c r="G858">
        <v>9</v>
      </c>
      <c r="H858" s="1">
        <v>105072</v>
      </c>
      <c r="I858" s="10">
        <v>0.17</v>
      </c>
      <c r="J858">
        <v>37.5</v>
      </c>
      <c r="K858" t="s">
        <v>34</v>
      </c>
      <c r="L858">
        <v>34</v>
      </c>
      <c r="M858" t="s">
        <v>29</v>
      </c>
      <c r="N858" t="s">
        <v>30</v>
      </c>
      <c r="O858" t="s">
        <v>44</v>
      </c>
      <c r="P858">
        <v>3</v>
      </c>
      <c r="Q858" t="s">
        <v>32</v>
      </c>
      <c r="R858" t="s">
        <v>37</v>
      </c>
      <c r="S858">
        <v>3</v>
      </c>
      <c r="T858">
        <v>0</v>
      </c>
      <c r="U858">
        <v>7</v>
      </c>
      <c r="V858">
        <v>1</v>
      </c>
      <c r="W858">
        <v>6</v>
      </c>
      <c r="X858">
        <v>2</v>
      </c>
      <c r="Y858">
        <v>0</v>
      </c>
      <c r="Z858">
        <v>4</v>
      </c>
      <c r="AA858" t="str">
        <f t="shared" si="73"/>
        <v>Mid Tenure</v>
      </c>
      <c r="AB858" s="5">
        <v>45945</v>
      </c>
      <c r="AC858">
        <f t="shared" si="74"/>
        <v>1</v>
      </c>
      <c r="AD858" t="s">
        <v>49</v>
      </c>
      <c r="AE858">
        <f>VLOOKUP(A858,'Employee Engagement Survey'!A767:B2236,2,FALSE)</f>
        <v>1</v>
      </c>
      <c r="AF858">
        <f>VLOOKUP(A858,'Employee Engagement Survey'!A767:C2236,3,FALSE)</f>
        <v>4</v>
      </c>
      <c r="AG858">
        <f>VLOOKUP(A858,'Employee Engagement Survey'!A767:D2236,4,FALSE)</f>
        <v>3</v>
      </c>
      <c r="AH858">
        <f>VLOOKUP(A858,'Employee Engagement Survey'!A767:E2236,5,FALSE)</f>
        <v>2</v>
      </c>
      <c r="AI858">
        <f t="shared" si="72"/>
        <v>2.5</v>
      </c>
    </row>
    <row r="859" spans="1:35" x14ac:dyDescent="0.4">
      <c r="A859">
        <v>775</v>
      </c>
      <c r="B859" t="s">
        <v>34</v>
      </c>
      <c r="C859">
        <f t="shared" si="70"/>
        <v>1</v>
      </c>
      <c r="D859" t="s">
        <v>54</v>
      </c>
      <c r="E859">
        <f t="shared" si="71"/>
        <v>1</v>
      </c>
      <c r="F859" t="s">
        <v>28</v>
      </c>
      <c r="G859">
        <v>7</v>
      </c>
      <c r="H859" s="1">
        <v>73452</v>
      </c>
      <c r="I859" s="10">
        <v>0.14000000000000001</v>
      </c>
      <c r="J859">
        <v>37.5</v>
      </c>
      <c r="K859" t="s">
        <v>34</v>
      </c>
      <c r="L859">
        <v>34</v>
      </c>
      <c r="M859" t="s">
        <v>47</v>
      </c>
      <c r="N859" t="s">
        <v>48</v>
      </c>
      <c r="O859" t="s">
        <v>31</v>
      </c>
      <c r="P859">
        <v>8</v>
      </c>
      <c r="Q859" t="s">
        <v>58</v>
      </c>
      <c r="R859" t="s">
        <v>37</v>
      </c>
      <c r="S859">
        <v>3</v>
      </c>
      <c r="T859">
        <v>1</v>
      </c>
      <c r="U859">
        <v>7</v>
      </c>
      <c r="V859">
        <v>3</v>
      </c>
      <c r="W859">
        <v>0</v>
      </c>
      <c r="X859">
        <v>0</v>
      </c>
      <c r="Y859">
        <v>0</v>
      </c>
      <c r="Z859">
        <v>0</v>
      </c>
      <c r="AA859" t="str">
        <f t="shared" si="73"/>
        <v>Early Tenure</v>
      </c>
      <c r="AB859" s="5">
        <v>45993</v>
      </c>
      <c r="AC859">
        <f t="shared" si="74"/>
        <v>1</v>
      </c>
      <c r="AD859" t="s">
        <v>38</v>
      </c>
      <c r="AE859">
        <f>VLOOKUP(A859,'Employee Engagement Survey'!A769:B2238,2,FALSE)</f>
        <v>2</v>
      </c>
      <c r="AF859">
        <f>VLOOKUP(A859,'Employee Engagement Survey'!A769:C2238,3,FALSE)</f>
        <v>1</v>
      </c>
      <c r="AG859">
        <f>VLOOKUP(A859,'Employee Engagement Survey'!A769:D2238,4,FALSE)</f>
        <v>3</v>
      </c>
      <c r="AH859">
        <f>VLOOKUP(A859,'Employee Engagement Survey'!A769:E2238,5,FALSE)</f>
        <v>3</v>
      </c>
      <c r="AI859">
        <f t="shared" si="72"/>
        <v>2.25</v>
      </c>
    </row>
    <row r="860" spans="1:35" hidden="1" x14ac:dyDescent="0.4">
      <c r="A860">
        <v>2025</v>
      </c>
      <c r="B860" t="s">
        <v>34</v>
      </c>
      <c r="C860">
        <f t="shared" si="70"/>
        <v>1</v>
      </c>
      <c r="D860" t="s">
        <v>54</v>
      </c>
      <c r="E860">
        <f t="shared" si="71"/>
        <v>1</v>
      </c>
      <c r="F860" t="s">
        <v>28</v>
      </c>
      <c r="G860">
        <v>7</v>
      </c>
      <c r="H860" s="1">
        <v>73572</v>
      </c>
      <c r="I860" s="10">
        <v>0.13</v>
      </c>
      <c r="J860">
        <v>37.5</v>
      </c>
      <c r="K860" t="s">
        <v>34</v>
      </c>
      <c r="L860">
        <v>36</v>
      </c>
      <c r="M860" t="s">
        <v>47</v>
      </c>
      <c r="N860" t="s">
        <v>48</v>
      </c>
      <c r="O860" t="s">
        <v>44</v>
      </c>
      <c r="P860">
        <v>4</v>
      </c>
      <c r="Q860" t="s">
        <v>36</v>
      </c>
      <c r="R860" t="s">
        <v>37</v>
      </c>
      <c r="S860">
        <v>3</v>
      </c>
      <c r="T860">
        <v>3</v>
      </c>
      <c r="U860">
        <v>18</v>
      </c>
      <c r="V860">
        <v>3</v>
      </c>
      <c r="W860">
        <v>4</v>
      </c>
      <c r="X860">
        <v>2</v>
      </c>
      <c r="Y860">
        <v>0</v>
      </c>
      <c r="Z860">
        <v>2</v>
      </c>
      <c r="AA860" t="str">
        <f t="shared" si="73"/>
        <v>Mid Tenure</v>
      </c>
      <c r="AB860" s="5">
        <v>44899</v>
      </c>
      <c r="AC860">
        <f t="shared" si="74"/>
        <v>0</v>
      </c>
      <c r="AD860" t="s">
        <v>49</v>
      </c>
      <c r="AE860">
        <f>VLOOKUP(A860,'Employee Engagement Survey'!A772:B2241,2,FALSE)</f>
        <v>4</v>
      </c>
      <c r="AF860">
        <f>VLOOKUP(A860,'Employee Engagement Survey'!A772:C2241,3,FALSE)</f>
        <v>2</v>
      </c>
      <c r="AG860">
        <f>VLOOKUP(A860,'Employee Engagement Survey'!A772:D2241,4,FALSE)</f>
        <v>2</v>
      </c>
      <c r="AH860">
        <f>VLOOKUP(A860,'Employee Engagement Survey'!A772:E2241,5,FALSE)</f>
        <v>3</v>
      </c>
      <c r="AI860">
        <f t="shared" si="72"/>
        <v>2.75</v>
      </c>
    </row>
    <row r="861" spans="1:35" hidden="1" x14ac:dyDescent="0.4">
      <c r="A861">
        <v>1756</v>
      </c>
      <c r="B861" t="s">
        <v>34</v>
      </c>
      <c r="C861">
        <f t="shared" si="70"/>
        <v>1</v>
      </c>
      <c r="D861" t="s">
        <v>57</v>
      </c>
      <c r="E861">
        <f t="shared" si="71"/>
        <v>0</v>
      </c>
      <c r="F861" t="s">
        <v>40</v>
      </c>
      <c r="G861">
        <v>7</v>
      </c>
      <c r="H861" s="1">
        <v>73764</v>
      </c>
      <c r="I861" s="10">
        <v>0.15</v>
      </c>
      <c r="J861">
        <v>37.5</v>
      </c>
      <c r="K861" t="s">
        <v>34</v>
      </c>
      <c r="L861">
        <v>33</v>
      </c>
      <c r="M861" t="s">
        <v>47</v>
      </c>
      <c r="N861" t="s">
        <v>30</v>
      </c>
      <c r="O861" t="s">
        <v>35</v>
      </c>
      <c r="P861">
        <v>2</v>
      </c>
      <c r="Q861" t="s">
        <v>43</v>
      </c>
      <c r="R861" t="s">
        <v>56</v>
      </c>
      <c r="S861">
        <v>3</v>
      </c>
      <c r="T861">
        <v>0</v>
      </c>
      <c r="U861">
        <v>13</v>
      </c>
      <c r="V861">
        <v>2</v>
      </c>
      <c r="W861">
        <v>11</v>
      </c>
      <c r="X861">
        <v>7</v>
      </c>
      <c r="Y861">
        <v>1</v>
      </c>
      <c r="Z861">
        <v>7</v>
      </c>
      <c r="AA861" t="str">
        <f t="shared" si="73"/>
        <v>Long Tenure</v>
      </c>
      <c r="AB861" s="5">
        <v>45886</v>
      </c>
      <c r="AC861">
        <f t="shared" si="74"/>
        <v>1</v>
      </c>
      <c r="AD861" t="s">
        <v>38</v>
      </c>
      <c r="AE861">
        <f>VLOOKUP(A861,'Employee Engagement Survey'!A773:B2242,2,FALSE)</f>
        <v>4</v>
      </c>
      <c r="AF861">
        <f>VLOOKUP(A861,'Employee Engagement Survey'!A773:C2242,3,FALSE)</f>
        <v>2</v>
      </c>
      <c r="AG861">
        <f>VLOOKUP(A861,'Employee Engagement Survey'!A773:D2242,4,FALSE)</f>
        <v>4</v>
      </c>
      <c r="AH861">
        <f>VLOOKUP(A861,'Employee Engagement Survey'!A773:E2242,5,FALSE)</f>
        <v>2</v>
      </c>
      <c r="AI861">
        <f t="shared" si="72"/>
        <v>3</v>
      </c>
    </row>
    <row r="862" spans="1:35" hidden="1" x14ac:dyDescent="0.4">
      <c r="A862">
        <v>1109</v>
      </c>
      <c r="B862" t="s">
        <v>34</v>
      </c>
      <c r="C862">
        <f t="shared" si="70"/>
        <v>1</v>
      </c>
      <c r="D862" t="s">
        <v>109</v>
      </c>
      <c r="E862">
        <f t="shared" si="71"/>
        <v>1</v>
      </c>
      <c r="F862" t="s">
        <v>28</v>
      </c>
      <c r="G862">
        <v>4</v>
      </c>
      <c r="H862" s="1">
        <v>223980</v>
      </c>
      <c r="I862" s="10">
        <v>0.17</v>
      </c>
      <c r="J862">
        <v>37.5</v>
      </c>
      <c r="K862" t="s">
        <v>34</v>
      </c>
      <c r="L862">
        <v>42</v>
      </c>
      <c r="M862" t="s">
        <v>29</v>
      </c>
      <c r="N862" t="s">
        <v>42</v>
      </c>
      <c r="O862" t="s">
        <v>31</v>
      </c>
      <c r="P862">
        <v>2</v>
      </c>
      <c r="Q862" t="s">
        <v>36</v>
      </c>
      <c r="R862" t="s">
        <v>33</v>
      </c>
      <c r="S862">
        <v>3</v>
      </c>
      <c r="T862">
        <v>1</v>
      </c>
      <c r="U862">
        <v>23</v>
      </c>
      <c r="V862">
        <v>3</v>
      </c>
      <c r="W862">
        <v>22</v>
      </c>
      <c r="X862">
        <v>6</v>
      </c>
      <c r="Y862">
        <v>13</v>
      </c>
      <c r="Z862">
        <v>7</v>
      </c>
      <c r="AA862" t="str">
        <f t="shared" si="73"/>
        <v>Long Tenure</v>
      </c>
      <c r="AB862" s="5">
        <v>44764</v>
      </c>
      <c r="AC862">
        <f t="shared" si="74"/>
        <v>0</v>
      </c>
      <c r="AD862" t="s">
        <v>38</v>
      </c>
      <c r="AE862">
        <f>VLOOKUP(A862,'Employee Engagement Survey'!A774:B2243,2,FALSE)</f>
        <v>4</v>
      </c>
      <c r="AF862">
        <f>VLOOKUP(A862,'Employee Engagement Survey'!A774:C2243,3,FALSE)</f>
        <v>1</v>
      </c>
      <c r="AG862">
        <f>VLOOKUP(A862,'Employee Engagement Survey'!A774:D2243,4,FALSE)</f>
        <v>4</v>
      </c>
      <c r="AH862">
        <f>VLOOKUP(A862,'Employee Engagement Survey'!A774:E2243,5,FALSE)</f>
        <v>3</v>
      </c>
      <c r="AI862">
        <f t="shared" si="72"/>
        <v>3</v>
      </c>
    </row>
    <row r="863" spans="1:35" hidden="1" x14ac:dyDescent="0.4">
      <c r="A863">
        <v>1845</v>
      </c>
      <c r="B863" t="s">
        <v>34</v>
      </c>
      <c r="C863">
        <f t="shared" si="70"/>
        <v>1</v>
      </c>
      <c r="D863" t="s">
        <v>57</v>
      </c>
      <c r="E863">
        <f t="shared" si="71"/>
        <v>0</v>
      </c>
      <c r="F863" t="s">
        <v>40</v>
      </c>
      <c r="G863">
        <v>7</v>
      </c>
      <c r="H863" s="1">
        <v>73848</v>
      </c>
      <c r="I863" s="10">
        <v>0.22</v>
      </c>
      <c r="J863">
        <v>37.5</v>
      </c>
      <c r="K863" t="s">
        <v>34</v>
      </c>
      <c r="L863">
        <v>45</v>
      </c>
      <c r="M863" t="s">
        <v>47</v>
      </c>
      <c r="N863" t="s">
        <v>42</v>
      </c>
      <c r="O863" t="s">
        <v>35</v>
      </c>
      <c r="P863">
        <v>2</v>
      </c>
      <c r="Q863" t="s">
        <v>51</v>
      </c>
      <c r="R863" t="s">
        <v>37</v>
      </c>
      <c r="S863">
        <v>4</v>
      </c>
      <c r="T863">
        <v>2</v>
      </c>
      <c r="U863">
        <v>10</v>
      </c>
      <c r="V863">
        <v>3</v>
      </c>
      <c r="W863">
        <v>8</v>
      </c>
      <c r="X863">
        <v>7</v>
      </c>
      <c r="Y863">
        <v>5</v>
      </c>
      <c r="Z863">
        <v>7</v>
      </c>
      <c r="AA863" t="str">
        <f t="shared" si="73"/>
        <v>Mid Tenure</v>
      </c>
      <c r="AB863" s="5">
        <v>45418</v>
      </c>
      <c r="AC863">
        <f t="shared" si="74"/>
        <v>1</v>
      </c>
      <c r="AD863" t="s">
        <v>38</v>
      </c>
      <c r="AE863">
        <f>VLOOKUP(A863,'Employee Engagement Survey'!A775:B2244,2,FALSE)</f>
        <v>3</v>
      </c>
      <c r="AF863">
        <f>VLOOKUP(A863,'Employee Engagement Survey'!A775:C2244,3,FALSE)</f>
        <v>3</v>
      </c>
      <c r="AG863">
        <f>VLOOKUP(A863,'Employee Engagement Survey'!A775:D2244,4,FALSE)</f>
        <v>2</v>
      </c>
      <c r="AH863">
        <f>VLOOKUP(A863,'Employee Engagement Survey'!A775:E2244,5,FALSE)</f>
        <v>4</v>
      </c>
      <c r="AI863">
        <f t="shared" si="72"/>
        <v>3</v>
      </c>
    </row>
    <row r="864" spans="1:35" hidden="1" x14ac:dyDescent="0.4">
      <c r="A864">
        <v>1115</v>
      </c>
      <c r="B864" t="s">
        <v>34</v>
      </c>
      <c r="C864">
        <f t="shared" si="70"/>
        <v>1</v>
      </c>
      <c r="D864" t="s">
        <v>27</v>
      </c>
      <c r="E864">
        <f t="shared" si="71"/>
        <v>0</v>
      </c>
      <c r="F864" t="s">
        <v>28</v>
      </c>
      <c r="G864">
        <v>5</v>
      </c>
      <c r="H864" s="1">
        <v>59748</v>
      </c>
      <c r="I864" s="10">
        <v>0.17</v>
      </c>
      <c r="J864">
        <v>37.5</v>
      </c>
      <c r="K864" t="s">
        <v>34</v>
      </c>
      <c r="L864">
        <v>34</v>
      </c>
      <c r="M864" t="s">
        <v>29</v>
      </c>
      <c r="N864" t="s">
        <v>42</v>
      </c>
      <c r="O864" t="s">
        <v>35</v>
      </c>
      <c r="P864">
        <v>3</v>
      </c>
      <c r="Q864" t="s">
        <v>51</v>
      </c>
      <c r="R864" t="s">
        <v>37</v>
      </c>
      <c r="S864">
        <v>3</v>
      </c>
      <c r="T864">
        <v>3</v>
      </c>
      <c r="U864">
        <v>6</v>
      </c>
      <c r="V864">
        <v>2</v>
      </c>
      <c r="W864">
        <v>0</v>
      </c>
      <c r="X864">
        <v>0</v>
      </c>
      <c r="Y864">
        <v>0</v>
      </c>
      <c r="Z864">
        <v>0</v>
      </c>
      <c r="AA864" t="str">
        <f t="shared" si="73"/>
        <v>Early Tenure</v>
      </c>
      <c r="AB864" s="5">
        <v>44821</v>
      </c>
      <c r="AC864">
        <f t="shared" si="74"/>
        <v>0</v>
      </c>
      <c r="AD864" t="s">
        <v>49</v>
      </c>
      <c r="AE864">
        <f>VLOOKUP(A864,'Employee Engagement Survey'!A778:B2247,2,FALSE)</f>
        <v>3</v>
      </c>
      <c r="AF864">
        <f>VLOOKUP(A864,'Employee Engagement Survey'!A778:C2247,3,FALSE)</f>
        <v>4</v>
      </c>
      <c r="AG864">
        <f>VLOOKUP(A864,'Employee Engagement Survey'!A778:D2247,4,FALSE)</f>
        <v>4</v>
      </c>
      <c r="AH864">
        <f>VLOOKUP(A864,'Employee Engagement Survey'!A778:E2247,5,FALSE)</f>
        <v>3</v>
      </c>
      <c r="AI864">
        <f t="shared" si="72"/>
        <v>3.5</v>
      </c>
    </row>
    <row r="865" spans="1:35" hidden="1" x14ac:dyDescent="0.4">
      <c r="A865">
        <v>1254</v>
      </c>
      <c r="B865" t="s">
        <v>34</v>
      </c>
      <c r="C865">
        <f t="shared" si="70"/>
        <v>1</v>
      </c>
      <c r="D865" t="s">
        <v>57</v>
      </c>
      <c r="E865">
        <f t="shared" si="71"/>
        <v>0</v>
      </c>
      <c r="F865" t="s">
        <v>40</v>
      </c>
      <c r="G865">
        <v>7</v>
      </c>
      <c r="H865" s="1">
        <v>74052</v>
      </c>
      <c r="I865" s="10">
        <v>0.17</v>
      </c>
      <c r="J865">
        <v>37.5</v>
      </c>
      <c r="K865" t="s">
        <v>34</v>
      </c>
      <c r="L865">
        <v>59</v>
      </c>
      <c r="M865" t="s">
        <v>47</v>
      </c>
      <c r="N865" t="s">
        <v>30</v>
      </c>
      <c r="O865" t="s">
        <v>31</v>
      </c>
      <c r="P865">
        <v>3</v>
      </c>
      <c r="Q865" t="s">
        <v>43</v>
      </c>
      <c r="R865" t="s">
        <v>37</v>
      </c>
      <c r="S865">
        <v>3</v>
      </c>
      <c r="T865">
        <v>0</v>
      </c>
      <c r="U865">
        <v>13</v>
      </c>
      <c r="V865">
        <v>2</v>
      </c>
      <c r="W865">
        <v>6</v>
      </c>
      <c r="X865">
        <v>1</v>
      </c>
      <c r="Y865">
        <v>0</v>
      </c>
      <c r="Z865">
        <v>5</v>
      </c>
      <c r="AA865" t="str">
        <f t="shared" si="73"/>
        <v>Mid Tenure</v>
      </c>
      <c r="AB865" s="5">
        <v>44706</v>
      </c>
      <c r="AC865">
        <f t="shared" si="74"/>
        <v>0</v>
      </c>
      <c r="AD865" t="s">
        <v>49</v>
      </c>
      <c r="AE865">
        <f>VLOOKUP(A865,'Employee Engagement Survey'!A779:B2248,2,FALSE)</f>
        <v>3</v>
      </c>
      <c r="AF865">
        <f>VLOOKUP(A865,'Employee Engagement Survey'!A779:C2248,3,FALSE)</f>
        <v>4</v>
      </c>
      <c r="AG865">
        <f>VLOOKUP(A865,'Employee Engagement Survey'!A779:D2248,4,FALSE)</f>
        <v>4</v>
      </c>
      <c r="AH865">
        <f>VLOOKUP(A865,'Employee Engagement Survey'!A779:E2248,5,FALSE)</f>
        <v>3</v>
      </c>
      <c r="AI865">
        <f t="shared" si="72"/>
        <v>3.5</v>
      </c>
    </row>
    <row r="866" spans="1:35" hidden="1" x14ac:dyDescent="0.4">
      <c r="A866">
        <v>865</v>
      </c>
      <c r="B866" t="s">
        <v>34</v>
      </c>
      <c r="C866">
        <f t="shared" si="70"/>
        <v>1</v>
      </c>
      <c r="D866" t="s">
        <v>27</v>
      </c>
      <c r="E866">
        <f t="shared" si="71"/>
        <v>0</v>
      </c>
      <c r="F866" t="s">
        <v>28</v>
      </c>
      <c r="G866">
        <v>7</v>
      </c>
      <c r="H866" s="1">
        <v>74100</v>
      </c>
      <c r="I866" s="10">
        <v>0.12</v>
      </c>
      <c r="J866">
        <v>37.5</v>
      </c>
      <c r="K866" t="s">
        <v>34</v>
      </c>
      <c r="L866">
        <v>32</v>
      </c>
      <c r="M866" t="s">
        <v>47</v>
      </c>
      <c r="N866" t="s">
        <v>42</v>
      </c>
      <c r="O866" t="s">
        <v>31</v>
      </c>
      <c r="P866">
        <v>8</v>
      </c>
      <c r="Q866" t="s">
        <v>36</v>
      </c>
      <c r="R866" t="s">
        <v>33</v>
      </c>
      <c r="S866">
        <v>3</v>
      </c>
      <c r="T866">
        <v>1</v>
      </c>
      <c r="U866">
        <v>9</v>
      </c>
      <c r="V866">
        <v>3</v>
      </c>
      <c r="W866">
        <v>5</v>
      </c>
      <c r="X866">
        <v>3</v>
      </c>
      <c r="Y866">
        <v>1</v>
      </c>
      <c r="Z866">
        <v>3</v>
      </c>
      <c r="AA866" t="str">
        <f t="shared" si="73"/>
        <v>Mid Tenure</v>
      </c>
      <c r="AB866" s="5">
        <v>44683</v>
      </c>
      <c r="AC866">
        <f t="shared" si="74"/>
        <v>0</v>
      </c>
      <c r="AD866" t="s">
        <v>38</v>
      </c>
      <c r="AE866">
        <f>VLOOKUP(A866,'Employee Engagement Survey'!A780:B2249,2,FALSE)</f>
        <v>3</v>
      </c>
      <c r="AF866">
        <f>VLOOKUP(A866,'Employee Engagement Survey'!A780:C2249,3,FALSE)</f>
        <v>3</v>
      </c>
      <c r="AG866">
        <f>VLOOKUP(A866,'Employee Engagement Survey'!A780:D2249,4,FALSE)</f>
        <v>3</v>
      </c>
      <c r="AH866">
        <f>VLOOKUP(A866,'Employee Engagement Survey'!A780:E2249,5,FALSE)</f>
        <v>2</v>
      </c>
      <c r="AI866">
        <f t="shared" si="72"/>
        <v>2.75</v>
      </c>
    </row>
    <row r="867" spans="1:35" hidden="1" x14ac:dyDescent="0.4">
      <c r="A867">
        <v>909</v>
      </c>
      <c r="B867" t="s">
        <v>34</v>
      </c>
      <c r="C867">
        <f t="shared" si="70"/>
        <v>1</v>
      </c>
      <c r="D867" t="s">
        <v>106</v>
      </c>
      <c r="E867">
        <f t="shared" si="71"/>
        <v>0</v>
      </c>
      <c r="F867" t="s">
        <v>59</v>
      </c>
      <c r="G867">
        <v>7</v>
      </c>
      <c r="H867" s="1">
        <v>74448</v>
      </c>
      <c r="I867" s="10">
        <v>0.11</v>
      </c>
      <c r="J867">
        <v>37.5</v>
      </c>
      <c r="K867" t="s">
        <v>34</v>
      </c>
      <c r="L867">
        <v>39</v>
      </c>
      <c r="M867" t="s">
        <v>47</v>
      </c>
      <c r="N867" t="s">
        <v>42</v>
      </c>
      <c r="O867" t="s">
        <v>31</v>
      </c>
      <c r="P867">
        <v>2</v>
      </c>
      <c r="Q867" t="s">
        <v>43</v>
      </c>
      <c r="R867" t="s">
        <v>37</v>
      </c>
      <c r="S867">
        <v>3</v>
      </c>
      <c r="T867">
        <v>2</v>
      </c>
      <c r="U867">
        <v>13</v>
      </c>
      <c r="V867">
        <v>2</v>
      </c>
      <c r="W867">
        <v>5</v>
      </c>
      <c r="X867">
        <v>4</v>
      </c>
      <c r="Y867">
        <v>0</v>
      </c>
      <c r="Z867">
        <v>4</v>
      </c>
      <c r="AA867" t="str">
        <f t="shared" si="73"/>
        <v>Mid Tenure</v>
      </c>
      <c r="AB867" s="5">
        <v>45191</v>
      </c>
      <c r="AC867">
        <f t="shared" si="74"/>
        <v>0</v>
      </c>
      <c r="AD867" t="s">
        <v>49</v>
      </c>
      <c r="AE867">
        <f>VLOOKUP(A867,'Employee Engagement Survey'!A781:B2250,2,FALSE)</f>
        <v>4</v>
      </c>
      <c r="AF867">
        <f>VLOOKUP(A867,'Employee Engagement Survey'!A781:C2250,3,FALSE)</f>
        <v>4</v>
      </c>
      <c r="AG867">
        <f>VLOOKUP(A867,'Employee Engagement Survey'!A781:D2250,4,FALSE)</f>
        <v>3</v>
      </c>
      <c r="AH867">
        <f>VLOOKUP(A867,'Employee Engagement Survey'!A781:E2250,5,FALSE)</f>
        <v>3</v>
      </c>
      <c r="AI867">
        <f t="shared" si="72"/>
        <v>3.5</v>
      </c>
    </row>
    <row r="868" spans="1:35" hidden="1" x14ac:dyDescent="0.4">
      <c r="A868">
        <v>1962</v>
      </c>
      <c r="B868" t="s">
        <v>34</v>
      </c>
      <c r="C868">
        <f t="shared" si="70"/>
        <v>1</v>
      </c>
      <c r="D868" t="s">
        <v>57</v>
      </c>
      <c r="E868">
        <f t="shared" si="71"/>
        <v>0</v>
      </c>
      <c r="F868" t="s">
        <v>40</v>
      </c>
      <c r="G868">
        <v>7</v>
      </c>
      <c r="H868" s="1">
        <v>74448</v>
      </c>
      <c r="I868" s="10">
        <v>0.11</v>
      </c>
      <c r="J868">
        <v>37.5</v>
      </c>
      <c r="K868" t="s">
        <v>26</v>
      </c>
      <c r="L868">
        <v>35</v>
      </c>
      <c r="M868" t="s">
        <v>47</v>
      </c>
      <c r="N868" t="s">
        <v>42</v>
      </c>
      <c r="O868" t="s">
        <v>31</v>
      </c>
      <c r="P868">
        <v>7</v>
      </c>
      <c r="Q868" t="s">
        <v>51</v>
      </c>
      <c r="R868" t="s">
        <v>37</v>
      </c>
      <c r="S868">
        <v>3</v>
      </c>
      <c r="T868">
        <v>0</v>
      </c>
      <c r="U868">
        <v>10</v>
      </c>
      <c r="V868">
        <v>2</v>
      </c>
      <c r="W868">
        <v>10</v>
      </c>
      <c r="X868">
        <v>8</v>
      </c>
      <c r="Y868">
        <v>0</v>
      </c>
      <c r="Z868">
        <v>9</v>
      </c>
      <c r="AA868" t="str">
        <f t="shared" si="73"/>
        <v>Long Tenure</v>
      </c>
      <c r="AB868" s="5">
        <v>44669</v>
      </c>
      <c r="AC868">
        <f t="shared" si="74"/>
        <v>0</v>
      </c>
      <c r="AD868" t="s">
        <v>38</v>
      </c>
      <c r="AE868">
        <f>VLOOKUP(A868,'Employee Engagement Survey'!A782:B2251,2,FALSE)</f>
        <v>3</v>
      </c>
      <c r="AF868">
        <f>VLOOKUP(A868,'Employee Engagement Survey'!A782:C2251,3,FALSE)</f>
        <v>4</v>
      </c>
      <c r="AG868">
        <f>VLOOKUP(A868,'Employee Engagement Survey'!A782:D2251,4,FALSE)</f>
        <v>4</v>
      </c>
      <c r="AH868">
        <f>VLOOKUP(A868,'Employee Engagement Survey'!A782:E2251,5,FALSE)</f>
        <v>3</v>
      </c>
      <c r="AI868">
        <f t="shared" si="72"/>
        <v>3.5</v>
      </c>
    </row>
    <row r="869" spans="1:35" hidden="1" x14ac:dyDescent="0.4">
      <c r="A869">
        <v>1116</v>
      </c>
      <c r="B869" t="s">
        <v>34</v>
      </c>
      <c r="C869">
        <f t="shared" si="70"/>
        <v>1</v>
      </c>
      <c r="D869" t="s">
        <v>109</v>
      </c>
      <c r="E869">
        <f t="shared" si="71"/>
        <v>1</v>
      </c>
      <c r="F869" t="s">
        <v>28</v>
      </c>
      <c r="G869">
        <v>4</v>
      </c>
      <c r="H869" s="1">
        <v>214620</v>
      </c>
      <c r="I869" s="10">
        <v>0.22</v>
      </c>
      <c r="J869">
        <v>37.5</v>
      </c>
      <c r="K869" t="s">
        <v>34</v>
      </c>
      <c r="L869">
        <v>48</v>
      </c>
      <c r="M869" t="s">
        <v>29</v>
      </c>
      <c r="N869" t="s">
        <v>30</v>
      </c>
      <c r="O869" t="s">
        <v>35</v>
      </c>
      <c r="P869">
        <v>1</v>
      </c>
      <c r="Q869" t="s">
        <v>51</v>
      </c>
      <c r="R869" t="s">
        <v>33</v>
      </c>
      <c r="S869">
        <v>4</v>
      </c>
      <c r="T869">
        <v>0</v>
      </c>
      <c r="U869">
        <v>27</v>
      </c>
      <c r="V869">
        <v>3</v>
      </c>
      <c r="W869">
        <v>5</v>
      </c>
      <c r="X869">
        <v>4</v>
      </c>
      <c r="Y869">
        <v>2</v>
      </c>
      <c r="Z869">
        <v>1</v>
      </c>
      <c r="AA869" t="str">
        <f t="shared" si="73"/>
        <v>Mid Tenure</v>
      </c>
      <c r="AB869" s="5">
        <v>45230</v>
      </c>
      <c r="AC869">
        <f t="shared" si="74"/>
        <v>0</v>
      </c>
      <c r="AD869" t="s">
        <v>38</v>
      </c>
      <c r="AE869">
        <f>VLOOKUP(A869,'Employee Engagement Survey'!A783:B2252,2,FALSE)</f>
        <v>1</v>
      </c>
      <c r="AF869">
        <f>VLOOKUP(A869,'Employee Engagement Survey'!A783:C2252,3,FALSE)</f>
        <v>4</v>
      </c>
      <c r="AG869">
        <f>VLOOKUP(A869,'Employee Engagement Survey'!A783:D2252,4,FALSE)</f>
        <v>3</v>
      </c>
      <c r="AH869">
        <f>VLOOKUP(A869,'Employee Engagement Survey'!A783:E2252,5,FALSE)</f>
        <v>2</v>
      </c>
      <c r="AI869">
        <f t="shared" si="72"/>
        <v>2.5</v>
      </c>
    </row>
    <row r="870" spans="1:35" hidden="1" x14ac:dyDescent="0.4">
      <c r="A870">
        <v>1118</v>
      </c>
      <c r="B870" t="s">
        <v>34</v>
      </c>
      <c r="C870">
        <f t="shared" si="70"/>
        <v>1</v>
      </c>
      <c r="D870" t="s">
        <v>55</v>
      </c>
      <c r="E870">
        <f t="shared" si="71"/>
        <v>0</v>
      </c>
      <c r="F870" t="s">
        <v>28</v>
      </c>
      <c r="G870">
        <v>9</v>
      </c>
      <c r="H870" s="1">
        <v>137340</v>
      </c>
      <c r="I870" s="10">
        <v>0.19</v>
      </c>
      <c r="J870">
        <v>37.5</v>
      </c>
      <c r="K870" t="s">
        <v>34</v>
      </c>
      <c r="L870">
        <v>52</v>
      </c>
      <c r="M870" t="s">
        <v>29</v>
      </c>
      <c r="N870" t="s">
        <v>30</v>
      </c>
      <c r="O870" t="s">
        <v>31</v>
      </c>
      <c r="P870">
        <v>7</v>
      </c>
      <c r="Q870" t="s">
        <v>51</v>
      </c>
      <c r="R870" t="s">
        <v>37</v>
      </c>
      <c r="S870">
        <v>3</v>
      </c>
      <c r="T870">
        <v>0</v>
      </c>
      <c r="U870">
        <v>18</v>
      </c>
      <c r="V870">
        <v>4</v>
      </c>
      <c r="W870">
        <v>8</v>
      </c>
      <c r="X870">
        <v>6</v>
      </c>
      <c r="Y870">
        <v>4</v>
      </c>
      <c r="Z870">
        <v>0</v>
      </c>
      <c r="AA870" t="str">
        <f t="shared" si="73"/>
        <v>Mid Tenure</v>
      </c>
      <c r="AB870" s="5">
        <v>45053</v>
      </c>
      <c r="AC870">
        <f t="shared" si="74"/>
        <v>0</v>
      </c>
      <c r="AD870" t="s">
        <v>38</v>
      </c>
      <c r="AE870">
        <f>VLOOKUP(A870,'Employee Engagement Survey'!A784:B2253,2,FALSE)</f>
        <v>2</v>
      </c>
      <c r="AF870">
        <f>VLOOKUP(A870,'Employee Engagement Survey'!A784:C2253,3,FALSE)</f>
        <v>2</v>
      </c>
      <c r="AG870">
        <f>VLOOKUP(A870,'Employee Engagement Survey'!A784:D2253,4,FALSE)</f>
        <v>4</v>
      </c>
      <c r="AH870">
        <f>VLOOKUP(A870,'Employee Engagement Survey'!A784:E2253,5,FALSE)</f>
        <v>3</v>
      </c>
      <c r="AI870">
        <f t="shared" si="72"/>
        <v>2.75</v>
      </c>
    </row>
    <row r="871" spans="1:35" hidden="1" x14ac:dyDescent="0.4">
      <c r="A871">
        <v>1119</v>
      </c>
      <c r="B871" t="s">
        <v>34</v>
      </c>
      <c r="C871">
        <f t="shared" si="70"/>
        <v>1</v>
      </c>
      <c r="D871" t="s">
        <v>57</v>
      </c>
      <c r="E871">
        <f t="shared" si="71"/>
        <v>0</v>
      </c>
      <c r="F871" t="s">
        <v>40</v>
      </c>
      <c r="G871">
        <v>9</v>
      </c>
      <c r="H871" s="1">
        <v>116880</v>
      </c>
      <c r="I871" s="10">
        <v>0.14000000000000001</v>
      </c>
      <c r="J871">
        <v>37.5</v>
      </c>
      <c r="K871" t="s">
        <v>26</v>
      </c>
      <c r="L871">
        <v>38</v>
      </c>
      <c r="M871" t="s">
        <v>29</v>
      </c>
      <c r="N871" t="s">
        <v>48</v>
      </c>
      <c r="O871" t="s">
        <v>31</v>
      </c>
      <c r="P871">
        <v>10</v>
      </c>
      <c r="Q871" t="s">
        <v>51</v>
      </c>
      <c r="R871" t="s">
        <v>56</v>
      </c>
      <c r="S871">
        <v>3</v>
      </c>
      <c r="T871">
        <v>2</v>
      </c>
      <c r="U871">
        <v>9</v>
      </c>
      <c r="V871">
        <v>2</v>
      </c>
      <c r="W871">
        <v>8</v>
      </c>
      <c r="X871">
        <v>7</v>
      </c>
      <c r="Y871">
        <v>2</v>
      </c>
      <c r="Z871">
        <v>7</v>
      </c>
      <c r="AA871" t="str">
        <f t="shared" si="73"/>
        <v>Mid Tenure</v>
      </c>
      <c r="AB871" s="5">
        <v>44882</v>
      </c>
      <c r="AC871">
        <f t="shared" si="74"/>
        <v>0</v>
      </c>
      <c r="AD871" t="s">
        <v>49</v>
      </c>
      <c r="AE871">
        <f>VLOOKUP(A871,'Employee Engagement Survey'!A785:B2254,2,FALSE)</f>
        <v>3</v>
      </c>
      <c r="AF871">
        <f>VLOOKUP(A871,'Employee Engagement Survey'!A785:C2254,3,FALSE)</f>
        <v>3</v>
      </c>
      <c r="AG871">
        <f>VLOOKUP(A871,'Employee Engagement Survey'!A785:D2254,4,FALSE)</f>
        <v>2</v>
      </c>
      <c r="AH871">
        <f>VLOOKUP(A871,'Employee Engagement Survey'!A785:E2254,5,FALSE)</f>
        <v>3</v>
      </c>
      <c r="AI871">
        <f t="shared" si="72"/>
        <v>2.75</v>
      </c>
    </row>
    <row r="872" spans="1:35" hidden="1" x14ac:dyDescent="0.4">
      <c r="A872">
        <v>121</v>
      </c>
      <c r="B872" t="s">
        <v>34</v>
      </c>
      <c r="C872">
        <f t="shared" si="70"/>
        <v>1</v>
      </c>
      <c r="D872" t="s">
        <v>57</v>
      </c>
      <c r="E872">
        <f t="shared" si="71"/>
        <v>0</v>
      </c>
      <c r="F872" t="s">
        <v>40</v>
      </c>
      <c r="G872">
        <v>7</v>
      </c>
      <c r="H872" s="1">
        <v>74508</v>
      </c>
      <c r="I872" s="10">
        <v>0.12</v>
      </c>
      <c r="J872">
        <v>37.5</v>
      </c>
      <c r="K872" t="s">
        <v>26</v>
      </c>
      <c r="L872">
        <v>30</v>
      </c>
      <c r="M872" t="s">
        <v>47</v>
      </c>
      <c r="N872" t="s">
        <v>48</v>
      </c>
      <c r="O872" t="s">
        <v>31</v>
      </c>
      <c r="P872">
        <v>4</v>
      </c>
      <c r="Q872" t="s">
        <v>36</v>
      </c>
      <c r="R872" t="s">
        <v>33</v>
      </c>
      <c r="S872">
        <v>3</v>
      </c>
      <c r="T872">
        <v>3</v>
      </c>
      <c r="U872">
        <v>11</v>
      </c>
      <c r="V872">
        <v>4</v>
      </c>
      <c r="W872">
        <v>11</v>
      </c>
      <c r="X872">
        <v>8</v>
      </c>
      <c r="Y872">
        <v>2</v>
      </c>
      <c r="Z872">
        <v>7</v>
      </c>
      <c r="AA872" t="str">
        <f t="shared" si="73"/>
        <v>Long Tenure</v>
      </c>
      <c r="AB872" s="5">
        <v>45962</v>
      </c>
      <c r="AC872">
        <f t="shared" si="74"/>
        <v>1</v>
      </c>
      <c r="AD872" t="s">
        <v>38</v>
      </c>
      <c r="AE872">
        <f>VLOOKUP(A872,'Employee Engagement Survey'!A786:B2255,2,FALSE)</f>
        <v>3</v>
      </c>
      <c r="AF872">
        <f>VLOOKUP(A872,'Employee Engagement Survey'!A786:C2255,3,FALSE)</f>
        <v>2</v>
      </c>
      <c r="AG872">
        <f>VLOOKUP(A872,'Employee Engagement Survey'!A786:D2255,4,FALSE)</f>
        <v>2</v>
      </c>
      <c r="AH872">
        <f>VLOOKUP(A872,'Employee Engagement Survey'!A786:E2255,5,FALSE)</f>
        <v>2</v>
      </c>
      <c r="AI872">
        <f t="shared" si="72"/>
        <v>2.25</v>
      </c>
    </row>
    <row r="873" spans="1:35" hidden="1" x14ac:dyDescent="0.4">
      <c r="A873">
        <v>1124</v>
      </c>
      <c r="B873" t="s">
        <v>34</v>
      </c>
      <c r="C873">
        <f t="shared" si="70"/>
        <v>1</v>
      </c>
      <c r="D873" t="s">
        <v>110</v>
      </c>
      <c r="E873">
        <f t="shared" si="71"/>
        <v>1</v>
      </c>
      <c r="F873" t="s">
        <v>40</v>
      </c>
      <c r="G873">
        <v>4</v>
      </c>
      <c r="H873" s="1">
        <v>221580</v>
      </c>
      <c r="I873" s="10">
        <v>0.12</v>
      </c>
      <c r="J873">
        <v>37.5</v>
      </c>
      <c r="K873" t="s">
        <v>34</v>
      </c>
      <c r="L873">
        <v>46</v>
      </c>
      <c r="M873" t="s">
        <v>29</v>
      </c>
      <c r="N873" t="s">
        <v>42</v>
      </c>
      <c r="O873" t="s">
        <v>31</v>
      </c>
      <c r="P873">
        <v>3</v>
      </c>
      <c r="Q873" t="s">
        <v>32</v>
      </c>
      <c r="R873" t="s">
        <v>56</v>
      </c>
      <c r="S873">
        <v>3</v>
      </c>
      <c r="T873">
        <v>1</v>
      </c>
      <c r="U873">
        <v>23</v>
      </c>
      <c r="V873">
        <v>3</v>
      </c>
      <c r="W873">
        <v>12</v>
      </c>
      <c r="X873">
        <v>9</v>
      </c>
      <c r="Y873">
        <v>4</v>
      </c>
      <c r="Z873">
        <v>9</v>
      </c>
      <c r="AA873" t="str">
        <f t="shared" si="73"/>
        <v>Long Tenure</v>
      </c>
      <c r="AB873" s="5">
        <v>45700</v>
      </c>
      <c r="AC873">
        <f t="shared" si="74"/>
        <v>1</v>
      </c>
      <c r="AD873" t="s">
        <v>49</v>
      </c>
      <c r="AE873">
        <f>VLOOKUP(A873,'Employee Engagement Survey'!A787:B2256,2,FALSE)</f>
        <v>1</v>
      </c>
      <c r="AF873">
        <f>VLOOKUP(A873,'Employee Engagement Survey'!A787:C2256,3,FALSE)</f>
        <v>3</v>
      </c>
      <c r="AG873">
        <f>VLOOKUP(A873,'Employee Engagement Survey'!A787:D2256,4,FALSE)</f>
        <v>4</v>
      </c>
      <c r="AH873">
        <f>VLOOKUP(A873,'Employee Engagement Survey'!A787:E2256,5,FALSE)</f>
        <v>3</v>
      </c>
      <c r="AI873">
        <f t="shared" si="72"/>
        <v>2.75</v>
      </c>
    </row>
    <row r="874" spans="1:35" hidden="1" x14ac:dyDescent="0.4">
      <c r="A874">
        <v>1125</v>
      </c>
      <c r="B874" t="s">
        <v>34</v>
      </c>
      <c r="C874">
        <f t="shared" si="70"/>
        <v>1</v>
      </c>
      <c r="D874" t="s">
        <v>57</v>
      </c>
      <c r="E874">
        <f t="shared" si="71"/>
        <v>0</v>
      </c>
      <c r="F874" t="s">
        <v>40</v>
      </c>
      <c r="G874">
        <v>9</v>
      </c>
      <c r="H874" s="1">
        <v>100212</v>
      </c>
      <c r="I874" s="10">
        <v>0.16</v>
      </c>
      <c r="J874">
        <v>37.5</v>
      </c>
      <c r="K874" t="s">
        <v>34</v>
      </c>
      <c r="L874">
        <v>38</v>
      </c>
      <c r="M874" t="s">
        <v>29</v>
      </c>
      <c r="N874" t="s">
        <v>30</v>
      </c>
      <c r="O874" t="s">
        <v>31</v>
      </c>
      <c r="P874">
        <v>2</v>
      </c>
      <c r="Q874" t="s">
        <v>36</v>
      </c>
      <c r="R874" t="s">
        <v>56</v>
      </c>
      <c r="S874">
        <v>3</v>
      </c>
      <c r="T874">
        <v>0</v>
      </c>
      <c r="U874">
        <v>10</v>
      </c>
      <c r="V874">
        <v>2</v>
      </c>
      <c r="W874">
        <v>1</v>
      </c>
      <c r="X874">
        <v>0</v>
      </c>
      <c r="Y874">
        <v>0</v>
      </c>
      <c r="Z874">
        <v>0</v>
      </c>
      <c r="AA874" t="str">
        <f t="shared" si="73"/>
        <v>Early Tenure</v>
      </c>
      <c r="AB874" s="5">
        <v>45422</v>
      </c>
      <c r="AC874">
        <f t="shared" si="74"/>
        <v>1</v>
      </c>
      <c r="AD874" t="s">
        <v>38</v>
      </c>
      <c r="AE874">
        <f>VLOOKUP(A874,'Employee Engagement Survey'!A788:B2257,2,FALSE)</f>
        <v>4</v>
      </c>
      <c r="AF874">
        <f>VLOOKUP(A874,'Employee Engagement Survey'!A788:C2257,3,FALSE)</f>
        <v>2</v>
      </c>
      <c r="AG874">
        <f>VLOOKUP(A874,'Employee Engagement Survey'!A788:D2257,4,FALSE)</f>
        <v>3</v>
      </c>
      <c r="AH874">
        <f>VLOOKUP(A874,'Employee Engagement Survey'!A788:E2257,5,FALSE)</f>
        <v>3</v>
      </c>
      <c r="AI874">
        <f t="shared" si="72"/>
        <v>3</v>
      </c>
    </row>
    <row r="875" spans="1:35" hidden="1" x14ac:dyDescent="0.4">
      <c r="A875">
        <v>436</v>
      </c>
      <c r="B875" t="s">
        <v>34</v>
      </c>
      <c r="C875">
        <f t="shared" si="70"/>
        <v>1</v>
      </c>
      <c r="D875" t="s">
        <v>57</v>
      </c>
      <c r="E875">
        <f t="shared" si="71"/>
        <v>0</v>
      </c>
      <c r="F875" t="s">
        <v>40</v>
      </c>
      <c r="G875">
        <v>7</v>
      </c>
      <c r="H875" s="1">
        <v>74736</v>
      </c>
      <c r="I875" s="10">
        <v>0.11</v>
      </c>
      <c r="J875">
        <v>37.5</v>
      </c>
      <c r="K875" t="s">
        <v>26</v>
      </c>
      <c r="L875">
        <v>32</v>
      </c>
      <c r="M875" t="s">
        <v>47</v>
      </c>
      <c r="N875" t="s">
        <v>42</v>
      </c>
      <c r="O875" t="s">
        <v>31</v>
      </c>
      <c r="P875">
        <v>8</v>
      </c>
      <c r="Q875" t="s">
        <v>36</v>
      </c>
      <c r="R875" t="s">
        <v>45</v>
      </c>
      <c r="S875">
        <v>3</v>
      </c>
      <c r="T875">
        <v>0</v>
      </c>
      <c r="U875">
        <v>13</v>
      </c>
      <c r="V875">
        <v>2</v>
      </c>
      <c r="W875">
        <v>13</v>
      </c>
      <c r="X875">
        <v>12</v>
      </c>
      <c r="Y875">
        <v>11</v>
      </c>
      <c r="Z875">
        <v>9</v>
      </c>
      <c r="AA875" t="str">
        <f t="shared" si="73"/>
        <v>Long Tenure</v>
      </c>
      <c r="AB875" s="5">
        <v>44964</v>
      </c>
      <c r="AC875">
        <f t="shared" si="74"/>
        <v>0</v>
      </c>
      <c r="AD875" t="s">
        <v>38</v>
      </c>
      <c r="AE875">
        <f>VLOOKUP(A875,'Employee Engagement Survey'!A789:B2258,2,FALSE)</f>
        <v>3</v>
      </c>
      <c r="AF875">
        <f>VLOOKUP(A875,'Employee Engagement Survey'!A789:C2258,3,FALSE)</f>
        <v>2</v>
      </c>
      <c r="AG875">
        <f>VLOOKUP(A875,'Employee Engagement Survey'!A789:D2258,4,FALSE)</f>
        <v>4</v>
      </c>
      <c r="AH875">
        <f>VLOOKUP(A875,'Employee Engagement Survey'!A789:E2258,5,FALSE)</f>
        <v>3</v>
      </c>
      <c r="AI875">
        <f t="shared" si="72"/>
        <v>3</v>
      </c>
    </row>
    <row r="876" spans="1:35" hidden="1" x14ac:dyDescent="0.4">
      <c r="A876">
        <v>823</v>
      </c>
      <c r="B876" t="s">
        <v>34</v>
      </c>
      <c r="C876">
        <f t="shared" si="70"/>
        <v>1</v>
      </c>
      <c r="D876" t="s">
        <v>54</v>
      </c>
      <c r="E876">
        <f t="shared" si="71"/>
        <v>1</v>
      </c>
      <c r="F876" t="s">
        <v>28</v>
      </c>
      <c r="G876">
        <v>7</v>
      </c>
      <c r="H876" s="1">
        <v>74736</v>
      </c>
      <c r="I876" s="10">
        <v>0.15</v>
      </c>
      <c r="J876">
        <v>37.5</v>
      </c>
      <c r="K876" t="s">
        <v>34</v>
      </c>
      <c r="L876">
        <v>36</v>
      </c>
      <c r="M876" t="s">
        <v>47</v>
      </c>
      <c r="N876" t="s">
        <v>42</v>
      </c>
      <c r="O876" t="s">
        <v>31</v>
      </c>
      <c r="P876">
        <v>1</v>
      </c>
      <c r="Q876" t="s">
        <v>43</v>
      </c>
      <c r="R876" t="s">
        <v>53</v>
      </c>
      <c r="S876">
        <v>3</v>
      </c>
      <c r="T876">
        <v>1</v>
      </c>
      <c r="U876">
        <v>10</v>
      </c>
      <c r="V876">
        <v>2</v>
      </c>
      <c r="W876">
        <v>9</v>
      </c>
      <c r="X876">
        <v>7</v>
      </c>
      <c r="Y876">
        <v>0</v>
      </c>
      <c r="Z876">
        <v>5</v>
      </c>
      <c r="AA876" t="str">
        <f t="shared" si="73"/>
        <v>Mid Tenure</v>
      </c>
      <c r="AB876" s="5">
        <v>45576</v>
      </c>
      <c r="AC876">
        <f t="shared" si="74"/>
        <v>1</v>
      </c>
      <c r="AD876" t="s">
        <v>49</v>
      </c>
      <c r="AE876">
        <f>VLOOKUP(A876,'Employee Engagement Survey'!A790:B2259,2,FALSE)</f>
        <v>3</v>
      </c>
      <c r="AF876">
        <f>VLOOKUP(A876,'Employee Engagement Survey'!A790:C2259,3,FALSE)</f>
        <v>2</v>
      </c>
      <c r="AG876">
        <f>VLOOKUP(A876,'Employee Engagement Survey'!A790:D2259,4,FALSE)</f>
        <v>1</v>
      </c>
      <c r="AH876">
        <f>VLOOKUP(A876,'Employee Engagement Survey'!A790:E2259,5,FALSE)</f>
        <v>3</v>
      </c>
      <c r="AI876">
        <f t="shared" si="72"/>
        <v>2.25</v>
      </c>
    </row>
    <row r="877" spans="1:35" hidden="1" x14ac:dyDescent="0.4">
      <c r="A877">
        <v>894</v>
      </c>
      <c r="B877" t="s">
        <v>34</v>
      </c>
      <c r="C877">
        <f t="shared" si="70"/>
        <v>1</v>
      </c>
      <c r="D877" t="s">
        <v>46</v>
      </c>
      <c r="E877">
        <f t="shared" si="71"/>
        <v>0</v>
      </c>
      <c r="F877" t="s">
        <v>28</v>
      </c>
      <c r="G877">
        <v>7</v>
      </c>
      <c r="H877" s="1">
        <v>74772</v>
      </c>
      <c r="I877" s="10">
        <v>0.13</v>
      </c>
      <c r="J877">
        <v>37.5</v>
      </c>
      <c r="K877" t="s">
        <v>26</v>
      </c>
      <c r="L877">
        <v>42</v>
      </c>
      <c r="M877" t="s">
        <v>47</v>
      </c>
      <c r="N877" t="s">
        <v>42</v>
      </c>
      <c r="O877" t="s">
        <v>31</v>
      </c>
      <c r="P877">
        <v>3</v>
      </c>
      <c r="Q877" t="s">
        <v>43</v>
      </c>
      <c r="R877" t="s">
        <v>37</v>
      </c>
      <c r="S877">
        <v>3</v>
      </c>
      <c r="T877">
        <v>1</v>
      </c>
      <c r="U877">
        <v>17</v>
      </c>
      <c r="V877">
        <v>1</v>
      </c>
      <c r="W877">
        <v>5</v>
      </c>
      <c r="X877">
        <v>3</v>
      </c>
      <c r="Y877">
        <v>1</v>
      </c>
      <c r="Z877">
        <v>3</v>
      </c>
      <c r="AA877" t="str">
        <f t="shared" si="73"/>
        <v>Mid Tenure</v>
      </c>
      <c r="AB877" s="5">
        <v>45490</v>
      </c>
      <c r="AC877">
        <f t="shared" si="74"/>
        <v>1</v>
      </c>
      <c r="AD877" t="s">
        <v>38</v>
      </c>
      <c r="AE877">
        <f>VLOOKUP(A877,'Employee Engagement Survey'!A791:B2260,2,FALSE)</f>
        <v>3</v>
      </c>
      <c r="AF877">
        <f>VLOOKUP(A877,'Employee Engagement Survey'!A791:C2260,3,FALSE)</f>
        <v>4</v>
      </c>
      <c r="AG877">
        <f>VLOOKUP(A877,'Employee Engagement Survey'!A791:D2260,4,FALSE)</f>
        <v>2</v>
      </c>
      <c r="AH877">
        <f>VLOOKUP(A877,'Employee Engagement Survey'!A791:E2260,5,FALSE)</f>
        <v>2</v>
      </c>
      <c r="AI877">
        <f t="shared" si="72"/>
        <v>2.75</v>
      </c>
    </row>
    <row r="878" spans="1:35" hidden="1" x14ac:dyDescent="0.4">
      <c r="A878">
        <v>1736</v>
      </c>
      <c r="B878" t="s">
        <v>34</v>
      </c>
      <c r="C878">
        <f t="shared" si="70"/>
        <v>1</v>
      </c>
      <c r="D878" t="s">
        <v>54</v>
      </c>
      <c r="E878">
        <f t="shared" si="71"/>
        <v>1</v>
      </c>
      <c r="F878" t="s">
        <v>28</v>
      </c>
      <c r="G878">
        <v>7</v>
      </c>
      <c r="H878" s="1">
        <v>74856</v>
      </c>
      <c r="I878" s="10">
        <v>0.2</v>
      </c>
      <c r="J878">
        <v>37.5</v>
      </c>
      <c r="K878" t="s">
        <v>34</v>
      </c>
      <c r="L878">
        <v>31</v>
      </c>
      <c r="M878" t="s">
        <v>47</v>
      </c>
      <c r="N878" t="s">
        <v>30</v>
      </c>
      <c r="O878" t="s">
        <v>44</v>
      </c>
      <c r="P878">
        <v>24</v>
      </c>
      <c r="Q878" t="s">
        <v>32</v>
      </c>
      <c r="R878" t="s">
        <v>45</v>
      </c>
      <c r="S878">
        <v>4</v>
      </c>
      <c r="T878">
        <v>0</v>
      </c>
      <c r="U878">
        <v>9</v>
      </c>
      <c r="V878">
        <v>3</v>
      </c>
      <c r="W878">
        <v>5</v>
      </c>
      <c r="X878">
        <v>4</v>
      </c>
      <c r="Y878">
        <v>1</v>
      </c>
      <c r="Z878">
        <v>4</v>
      </c>
      <c r="AA878" t="str">
        <f t="shared" si="73"/>
        <v>Mid Tenure</v>
      </c>
      <c r="AB878" s="5">
        <v>44755</v>
      </c>
      <c r="AC878">
        <f t="shared" si="74"/>
        <v>0</v>
      </c>
      <c r="AD878" t="s">
        <v>38</v>
      </c>
      <c r="AE878">
        <f>VLOOKUP(A878,'Employee Engagement Survey'!A794:B2263,2,FALSE)</f>
        <v>4</v>
      </c>
      <c r="AF878">
        <f>VLOOKUP(A878,'Employee Engagement Survey'!A794:C2263,3,FALSE)</f>
        <v>4</v>
      </c>
      <c r="AG878">
        <f>VLOOKUP(A878,'Employee Engagement Survey'!A794:D2263,4,FALSE)</f>
        <v>4</v>
      </c>
      <c r="AH878">
        <f>VLOOKUP(A878,'Employee Engagement Survey'!A794:E2263,5,FALSE)</f>
        <v>2</v>
      </c>
      <c r="AI878">
        <f t="shared" si="72"/>
        <v>3.5</v>
      </c>
    </row>
    <row r="879" spans="1:35" hidden="1" x14ac:dyDescent="0.4">
      <c r="A879">
        <v>1128</v>
      </c>
      <c r="B879" t="s">
        <v>34</v>
      </c>
      <c r="C879">
        <f t="shared" si="70"/>
        <v>1</v>
      </c>
      <c r="D879" t="s">
        <v>60</v>
      </c>
      <c r="E879">
        <f t="shared" si="71"/>
        <v>1</v>
      </c>
      <c r="F879" t="s">
        <v>28</v>
      </c>
      <c r="G879">
        <v>5</v>
      </c>
      <c r="H879" s="1">
        <v>247512</v>
      </c>
      <c r="I879" s="10">
        <v>0.14000000000000001</v>
      </c>
      <c r="J879">
        <v>37.5</v>
      </c>
      <c r="K879" t="s">
        <v>34</v>
      </c>
      <c r="L879">
        <v>40</v>
      </c>
      <c r="M879" t="s">
        <v>29</v>
      </c>
      <c r="N879" t="s">
        <v>30</v>
      </c>
      <c r="O879" t="s">
        <v>31</v>
      </c>
      <c r="P879">
        <v>14</v>
      </c>
      <c r="Q879" t="s">
        <v>43</v>
      </c>
      <c r="R879" t="s">
        <v>33</v>
      </c>
      <c r="S879">
        <v>3</v>
      </c>
      <c r="T879">
        <v>0</v>
      </c>
      <c r="U879">
        <v>21</v>
      </c>
      <c r="V879">
        <v>2</v>
      </c>
      <c r="W879">
        <v>20</v>
      </c>
      <c r="X879">
        <v>7</v>
      </c>
      <c r="Y879">
        <v>4</v>
      </c>
      <c r="Z879">
        <v>9</v>
      </c>
      <c r="AA879" t="str">
        <f t="shared" si="73"/>
        <v>Long Tenure</v>
      </c>
      <c r="AB879" s="5">
        <v>45432</v>
      </c>
      <c r="AC879">
        <f t="shared" si="74"/>
        <v>1</v>
      </c>
      <c r="AD879" t="s">
        <v>38</v>
      </c>
      <c r="AE879">
        <f>VLOOKUP(A879,'Employee Engagement Survey'!A795:B2264,2,FALSE)</f>
        <v>3</v>
      </c>
      <c r="AF879">
        <f>VLOOKUP(A879,'Employee Engagement Survey'!A795:C2264,3,FALSE)</f>
        <v>3</v>
      </c>
      <c r="AG879">
        <f>VLOOKUP(A879,'Employee Engagement Survey'!A795:D2264,4,FALSE)</f>
        <v>1</v>
      </c>
      <c r="AH879">
        <f>VLOOKUP(A879,'Employee Engagement Survey'!A795:E2264,5,FALSE)</f>
        <v>4</v>
      </c>
      <c r="AI879">
        <f t="shared" si="72"/>
        <v>2.75</v>
      </c>
    </row>
    <row r="880" spans="1:35" hidden="1" x14ac:dyDescent="0.4">
      <c r="A880">
        <v>1132</v>
      </c>
      <c r="B880" t="s">
        <v>34</v>
      </c>
      <c r="C880">
        <f t="shared" si="70"/>
        <v>1</v>
      </c>
      <c r="D880" t="s">
        <v>46</v>
      </c>
      <c r="E880">
        <f t="shared" si="71"/>
        <v>0</v>
      </c>
      <c r="F880" t="s">
        <v>28</v>
      </c>
      <c r="G880">
        <v>8</v>
      </c>
      <c r="H880" s="1">
        <v>93384</v>
      </c>
      <c r="I880" s="10">
        <v>0.15</v>
      </c>
      <c r="J880">
        <v>37.5</v>
      </c>
      <c r="K880" t="s">
        <v>34</v>
      </c>
      <c r="L880">
        <v>39</v>
      </c>
      <c r="M880" t="s">
        <v>29</v>
      </c>
      <c r="N880" t="s">
        <v>30</v>
      </c>
      <c r="O880" t="s">
        <v>35</v>
      </c>
      <c r="P880">
        <v>9</v>
      </c>
      <c r="Q880" t="s">
        <v>43</v>
      </c>
      <c r="R880" t="s">
        <v>37</v>
      </c>
      <c r="S880">
        <v>3</v>
      </c>
      <c r="T880">
        <v>0</v>
      </c>
      <c r="U880">
        <v>9</v>
      </c>
      <c r="V880">
        <v>2</v>
      </c>
      <c r="W880">
        <v>5</v>
      </c>
      <c r="X880">
        <v>4</v>
      </c>
      <c r="Y880">
        <v>0</v>
      </c>
      <c r="Z880">
        <v>3</v>
      </c>
      <c r="AA880" t="str">
        <f t="shared" si="73"/>
        <v>Mid Tenure</v>
      </c>
      <c r="AB880" s="5">
        <v>44842</v>
      </c>
      <c r="AC880">
        <f t="shared" si="74"/>
        <v>0</v>
      </c>
      <c r="AD880" t="s">
        <v>49</v>
      </c>
      <c r="AE880">
        <f>VLOOKUP(A880,'Employee Engagement Survey'!A796:B2265,2,FALSE)</f>
        <v>3</v>
      </c>
      <c r="AF880">
        <f>VLOOKUP(A880,'Employee Engagement Survey'!A796:C2265,3,FALSE)</f>
        <v>2</v>
      </c>
      <c r="AG880">
        <f>VLOOKUP(A880,'Employee Engagement Survey'!A796:D2265,4,FALSE)</f>
        <v>3</v>
      </c>
      <c r="AH880">
        <f>VLOOKUP(A880,'Employee Engagement Survey'!A796:E2265,5,FALSE)</f>
        <v>2</v>
      </c>
      <c r="AI880">
        <f t="shared" si="72"/>
        <v>2.5</v>
      </c>
    </row>
    <row r="881" spans="1:35" hidden="1" x14ac:dyDescent="0.4">
      <c r="A881">
        <v>448</v>
      </c>
      <c r="B881" t="s">
        <v>34</v>
      </c>
      <c r="C881">
        <f t="shared" si="70"/>
        <v>1</v>
      </c>
      <c r="D881" t="s">
        <v>46</v>
      </c>
      <c r="E881">
        <f t="shared" si="71"/>
        <v>0</v>
      </c>
      <c r="F881" t="s">
        <v>28</v>
      </c>
      <c r="G881">
        <v>7</v>
      </c>
      <c r="H881" s="1">
        <v>75084</v>
      </c>
      <c r="I881" s="10">
        <v>0.11</v>
      </c>
      <c r="J881">
        <v>37.5</v>
      </c>
      <c r="K881" t="s">
        <v>34</v>
      </c>
      <c r="L881">
        <v>43</v>
      </c>
      <c r="M881" t="s">
        <v>47</v>
      </c>
      <c r="N881" t="s">
        <v>48</v>
      </c>
      <c r="O881" t="s">
        <v>44</v>
      </c>
      <c r="P881">
        <v>10</v>
      </c>
      <c r="Q881" t="s">
        <v>51</v>
      </c>
      <c r="R881" t="s">
        <v>37</v>
      </c>
      <c r="S881">
        <v>3</v>
      </c>
      <c r="T881">
        <v>1</v>
      </c>
      <c r="U881">
        <v>9</v>
      </c>
      <c r="V881">
        <v>3</v>
      </c>
      <c r="W881">
        <v>9</v>
      </c>
      <c r="X881">
        <v>7</v>
      </c>
      <c r="Y881">
        <v>0</v>
      </c>
      <c r="Z881">
        <v>0</v>
      </c>
      <c r="AA881" t="str">
        <f t="shared" si="73"/>
        <v>Mid Tenure</v>
      </c>
      <c r="AB881" s="5">
        <v>45948</v>
      </c>
      <c r="AC881">
        <f t="shared" si="74"/>
        <v>1</v>
      </c>
      <c r="AD881" t="s">
        <v>49</v>
      </c>
      <c r="AE881">
        <f>VLOOKUP(A881,'Employee Engagement Survey'!A797:B2266,2,FALSE)</f>
        <v>3</v>
      </c>
      <c r="AF881">
        <f>VLOOKUP(A881,'Employee Engagement Survey'!A797:C2266,3,FALSE)</f>
        <v>3</v>
      </c>
      <c r="AG881">
        <f>VLOOKUP(A881,'Employee Engagement Survey'!A797:D2266,4,FALSE)</f>
        <v>2</v>
      </c>
      <c r="AH881">
        <f>VLOOKUP(A881,'Employee Engagement Survey'!A797:E2266,5,FALSE)</f>
        <v>4</v>
      </c>
      <c r="AI881">
        <f t="shared" si="72"/>
        <v>3</v>
      </c>
    </row>
    <row r="882" spans="1:35" x14ac:dyDescent="0.4">
      <c r="A882">
        <v>487</v>
      </c>
      <c r="B882" t="s">
        <v>34</v>
      </c>
      <c r="C882">
        <f t="shared" ref="C882:C945" si="75">IF(B882="No",1,0)</f>
        <v>1</v>
      </c>
      <c r="D882" t="s">
        <v>54</v>
      </c>
      <c r="E882">
        <f t="shared" si="71"/>
        <v>1</v>
      </c>
      <c r="F882" t="s">
        <v>28</v>
      </c>
      <c r="G882">
        <v>7</v>
      </c>
      <c r="H882" s="1">
        <v>75096</v>
      </c>
      <c r="I882" s="10">
        <v>0.14000000000000001</v>
      </c>
      <c r="J882">
        <v>37.5</v>
      </c>
      <c r="K882" t="s">
        <v>34</v>
      </c>
      <c r="L882">
        <v>46</v>
      </c>
      <c r="M882" t="s">
        <v>47</v>
      </c>
      <c r="N882" t="s">
        <v>42</v>
      </c>
      <c r="O882" t="s">
        <v>35</v>
      </c>
      <c r="P882">
        <v>7</v>
      </c>
      <c r="Q882" t="s">
        <v>51</v>
      </c>
      <c r="R882" t="s">
        <v>33</v>
      </c>
      <c r="S882">
        <v>3</v>
      </c>
      <c r="T882">
        <v>0</v>
      </c>
      <c r="U882">
        <v>7</v>
      </c>
      <c r="V882">
        <v>2</v>
      </c>
      <c r="W882">
        <v>1</v>
      </c>
      <c r="X882">
        <v>0</v>
      </c>
      <c r="Y882">
        <v>0</v>
      </c>
      <c r="Z882">
        <v>0</v>
      </c>
      <c r="AA882" t="str">
        <f t="shared" si="73"/>
        <v>Early Tenure</v>
      </c>
      <c r="AB882" s="5">
        <v>44785</v>
      </c>
      <c r="AC882">
        <f t="shared" si="74"/>
        <v>0</v>
      </c>
      <c r="AD882" t="s">
        <v>38</v>
      </c>
      <c r="AE882">
        <f>VLOOKUP(A882,'Employee Engagement Survey'!A798:B2267,2,FALSE)</f>
        <v>3</v>
      </c>
      <c r="AF882">
        <f>VLOOKUP(A882,'Employee Engagement Survey'!A798:C2267,3,FALSE)</f>
        <v>3</v>
      </c>
      <c r="AG882">
        <f>VLOOKUP(A882,'Employee Engagement Survey'!A798:D2267,4,FALSE)</f>
        <v>3</v>
      </c>
      <c r="AH882">
        <f>VLOOKUP(A882,'Employee Engagement Survey'!A798:E2267,5,FALSE)</f>
        <v>4</v>
      </c>
      <c r="AI882">
        <f t="shared" si="72"/>
        <v>3.25</v>
      </c>
    </row>
    <row r="883" spans="1:35" hidden="1" x14ac:dyDescent="0.4">
      <c r="A883">
        <v>270</v>
      </c>
      <c r="B883" t="s">
        <v>34</v>
      </c>
      <c r="C883">
        <f t="shared" si="75"/>
        <v>1</v>
      </c>
      <c r="D883" t="s">
        <v>54</v>
      </c>
      <c r="E883">
        <f t="shared" si="71"/>
        <v>1</v>
      </c>
      <c r="F883" t="s">
        <v>28</v>
      </c>
      <c r="G883">
        <v>7</v>
      </c>
      <c r="H883" s="1">
        <v>75180</v>
      </c>
      <c r="I883" s="10">
        <v>0.16</v>
      </c>
      <c r="J883">
        <v>37.5</v>
      </c>
      <c r="K883" t="s">
        <v>34</v>
      </c>
      <c r="L883">
        <v>42</v>
      </c>
      <c r="M883" t="s">
        <v>47</v>
      </c>
      <c r="N883" t="s">
        <v>48</v>
      </c>
      <c r="O883" t="s">
        <v>35</v>
      </c>
      <c r="P883">
        <v>21</v>
      </c>
      <c r="Q883" t="s">
        <v>36</v>
      </c>
      <c r="R883" t="s">
        <v>33</v>
      </c>
      <c r="S883">
        <v>3</v>
      </c>
      <c r="T883">
        <v>1</v>
      </c>
      <c r="U883">
        <v>11</v>
      </c>
      <c r="V883">
        <v>5</v>
      </c>
      <c r="W883">
        <v>5</v>
      </c>
      <c r="X883">
        <v>3</v>
      </c>
      <c r="Y883">
        <v>0</v>
      </c>
      <c r="Z883">
        <v>2</v>
      </c>
      <c r="AA883" t="str">
        <f t="shared" si="73"/>
        <v>Mid Tenure</v>
      </c>
      <c r="AB883" s="5">
        <v>45912</v>
      </c>
      <c r="AC883">
        <f t="shared" si="74"/>
        <v>1</v>
      </c>
      <c r="AD883" t="s">
        <v>38</v>
      </c>
      <c r="AE883">
        <f>VLOOKUP(A883,'Employee Engagement Survey'!A799:B2268,2,FALSE)</f>
        <v>3</v>
      </c>
      <c r="AF883">
        <f>VLOOKUP(A883,'Employee Engagement Survey'!A799:C2268,3,FALSE)</f>
        <v>3</v>
      </c>
      <c r="AG883">
        <f>VLOOKUP(A883,'Employee Engagement Survey'!A799:D2268,4,FALSE)</f>
        <v>2</v>
      </c>
      <c r="AH883">
        <f>VLOOKUP(A883,'Employee Engagement Survey'!A799:E2268,5,FALSE)</f>
        <v>3</v>
      </c>
      <c r="AI883">
        <f t="shared" si="72"/>
        <v>2.75</v>
      </c>
    </row>
    <row r="884" spans="1:35" hidden="1" x14ac:dyDescent="0.4">
      <c r="A884">
        <v>1133</v>
      </c>
      <c r="B884" t="s">
        <v>34</v>
      </c>
      <c r="C884">
        <f t="shared" si="75"/>
        <v>1</v>
      </c>
      <c r="D884" t="s">
        <v>54</v>
      </c>
      <c r="E884">
        <f t="shared" si="71"/>
        <v>1</v>
      </c>
      <c r="F884" t="s">
        <v>28</v>
      </c>
      <c r="G884">
        <v>9</v>
      </c>
      <c r="H884" s="1">
        <v>105348</v>
      </c>
      <c r="I884" s="10">
        <v>0.2</v>
      </c>
      <c r="J884">
        <v>37.5</v>
      </c>
      <c r="K884" t="s">
        <v>34</v>
      </c>
      <c r="L884">
        <v>36</v>
      </c>
      <c r="M884" t="s">
        <v>29</v>
      </c>
      <c r="N884" t="s">
        <v>30</v>
      </c>
      <c r="O884" t="s">
        <v>35</v>
      </c>
      <c r="P884">
        <v>18</v>
      </c>
      <c r="Q884" t="s">
        <v>51</v>
      </c>
      <c r="R884" t="s">
        <v>37</v>
      </c>
      <c r="S884">
        <v>4</v>
      </c>
      <c r="T884">
        <v>0</v>
      </c>
      <c r="U884">
        <v>18</v>
      </c>
      <c r="V884">
        <v>0</v>
      </c>
      <c r="W884">
        <v>11</v>
      </c>
      <c r="X884">
        <v>9</v>
      </c>
      <c r="Y884">
        <v>0</v>
      </c>
      <c r="Z884">
        <v>9</v>
      </c>
      <c r="AA884" t="str">
        <f t="shared" si="73"/>
        <v>Long Tenure</v>
      </c>
      <c r="AB884" s="5">
        <v>45484</v>
      </c>
      <c r="AC884">
        <f t="shared" si="74"/>
        <v>1</v>
      </c>
      <c r="AD884" t="s">
        <v>38</v>
      </c>
      <c r="AE884">
        <f>VLOOKUP(A884,'Employee Engagement Survey'!A800:B2269,2,FALSE)</f>
        <v>1</v>
      </c>
      <c r="AF884">
        <f>VLOOKUP(A884,'Employee Engagement Survey'!A800:C2269,3,FALSE)</f>
        <v>4</v>
      </c>
      <c r="AG884">
        <f>VLOOKUP(A884,'Employee Engagement Survey'!A800:D2269,4,FALSE)</f>
        <v>1</v>
      </c>
      <c r="AH884">
        <f>VLOOKUP(A884,'Employee Engagement Survey'!A800:E2269,5,FALSE)</f>
        <v>3</v>
      </c>
      <c r="AI884">
        <f t="shared" si="72"/>
        <v>2.25</v>
      </c>
    </row>
    <row r="885" spans="1:35" hidden="1" x14ac:dyDescent="0.4">
      <c r="A885">
        <v>1135</v>
      </c>
      <c r="B885" t="s">
        <v>34</v>
      </c>
      <c r="C885">
        <f t="shared" si="75"/>
        <v>1</v>
      </c>
      <c r="D885" t="s">
        <v>39</v>
      </c>
      <c r="E885">
        <f t="shared" si="71"/>
        <v>0</v>
      </c>
      <c r="F885" t="s">
        <v>40</v>
      </c>
      <c r="G885">
        <v>5</v>
      </c>
      <c r="H885" s="1">
        <v>57492</v>
      </c>
      <c r="I885" s="10">
        <v>0.12</v>
      </c>
      <c r="J885">
        <v>37.5</v>
      </c>
      <c r="K885" t="s">
        <v>34</v>
      </c>
      <c r="L885">
        <v>31</v>
      </c>
      <c r="M885" t="s">
        <v>29</v>
      </c>
      <c r="N885" t="s">
        <v>42</v>
      </c>
      <c r="O885" t="s">
        <v>44</v>
      </c>
      <c r="P885">
        <v>20</v>
      </c>
      <c r="Q885" t="s">
        <v>43</v>
      </c>
      <c r="R885" t="s">
        <v>37</v>
      </c>
      <c r="S885">
        <v>3</v>
      </c>
      <c r="T885">
        <v>1</v>
      </c>
      <c r="U885">
        <v>3</v>
      </c>
      <c r="V885">
        <v>4</v>
      </c>
      <c r="W885">
        <v>2</v>
      </c>
      <c r="X885">
        <v>2</v>
      </c>
      <c r="Y885">
        <v>2</v>
      </c>
      <c r="Z885">
        <v>2</v>
      </c>
      <c r="AA885" t="str">
        <f t="shared" si="73"/>
        <v>Early Tenure</v>
      </c>
      <c r="AB885" s="5">
        <v>44850</v>
      </c>
      <c r="AC885">
        <f t="shared" si="74"/>
        <v>0</v>
      </c>
      <c r="AD885" t="s">
        <v>38</v>
      </c>
      <c r="AE885">
        <f>VLOOKUP(A885,'Employee Engagement Survey'!A801:B2270,2,FALSE)</f>
        <v>3</v>
      </c>
      <c r="AF885">
        <f>VLOOKUP(A885,'Employee Engagement Survey'!A801:C2270,3,FALSE)</f>
        <v>4</v>
      </c>
      <c r="AG885">
        <f>VLOOKUP(A885,'Employee Engagement Survey'!A801:D2270,4,FALSE)</f>
        <v>1</v>
      </c>
      <c r="AH885">
        <f>VLOOKUP(A885,'Employee Engagement Survey'!A801:E2270,5,FALSE)</f>
        <v>3</v>
      </c>
      <c r="AI885">
        <f t="shared" si="72"/>
        <v>2.75</v>
      </c>
    </row>
    <row r="886" spans="1:35" hidden="1" x14ac:dyDescent="0.4">
      <c r="A886">
        <v>1136</v>
      </c>
      <c r="B886" t="s">
        <v>34</v>
      </c>
      <c r="C886">
        <f t="shared" si="75"/>
        <v>1</v>
      </c>
      <c r="D886" t="s">
        <v>27</v>
      </c>
      <c r="E886">
        <f t="shared" si="71"/>
        <v>0</v>
      </c>
      <c r="F886" t="s">
        <v>28</v>
      </c>
      <c r="G886">
        <v>6</v>
      </c>
      <c r="H886" s="1">
        <v>62412</v>
      </c>
      <c r="I886" s="10">
        <v>0.17</v>
      </c>
      <c r="J886">
        <v>37.5</v>
      </c>
      <c r="K886" t="s">
        <v>34</v>
      </c>
      <c r="L886">
        <v>28</v>
      </c>
      <c r="M886" t="s">
        <v>29</v>
      </c>
      <c r="N886" t="s">
        <v>42</v>
      </c>
      <c r="O886" t="s">
        <v>31</v>
      </c>
      <c r="P886">
        <v>2</v>
      </c>
      <c r="Q886" t="s">
        <v>32</v>
      </c>
      <c r="R886" t="s">
        <v>37</v>
      </c>
      <c r="S886">
        <v>3</v>
      </c>
      <c r="T886">
        <v>0</v>
      </c>
      <c r="U886">
        <v>6</v>
      </c>
      <c r="V886">
        <v>2</v>
      </c>
      <c r="W886">
        <v>5</v>
      </c>
      <c r="X886">
        <v>3</v>
      </c>
      <c r="Y886">
        <v>0</v>
      </c>
      <c r="Z886">
        <v>4</v>
      </c>
      <c r="AA886" t="str">
        <f t="shared" si="73"/>
        <v>Mid Tenure</v>
      </c>
      <c r="AB886" s="5">
        <v>45409</v>
      </c>
      <c r="AC886">
        <f t="shared" si="74"/>
        <v>1</v>
      </c>
      <c r="AD886" t="s">
        <v>49</v>
      </c>
      <c r="AE886">
        <f>VLOOKUP(A886,'Employee Engagement Survey'!A802:B2271,2,FALSE)</f>
        <v>1</v>
      </c>
      <c r="AF886">
        <f>VLOOKUP(A886,'Employee Engagement Survey'!A802:C2271,3,FALSE)</f>
        <v>2</v>
      </c>
      <c r="AG886">
        <f>VLOOKUP(A886,'Employee Engagement Survey'!A802:D2271,4,FALSE)</f>
        <v>1</v>
      </c>
      <c r="AH886">
        <f>VLOOKUP(A886,'Employee Engagement Survey'!A802:E2271,5,FALSE)</f>
        <v>1</v>
      </c>
      <c r="AI886">
        <f t="shared" si="72"/>
        <v>1.25</v>
      </c>
    </row>
    <row r="887" spans="1:35" hidden="1" x14ac:dyDescent="0.4">
      <c r="A887">
        <v>1137</v>
      </c>
      <c r="B887" t="s">
        <v>34</v>
      </c>
      <c r="C887">
        <f t="shared" si="75"/>
        <v>1</v>
      </c>
      <c r="D887" t="s">
        <v>57</v>
      </c>
      <c r="E887">
        <f t="shared" si="71"/>
        <v>0</v>
      </c>
      <c r="F887" t="s">
        <v>40</v>
      </c>
      <c r="G887">
        <v>7</v>
      </c>
      <c r="H887" s="1">
        <v>71616</v>
      </c>
      <c r="I887" s="10">
        <v>0.11</v>
      </c>
      <c r="J887">
        <v>37.5</v>
      </c>
      <c r="K887" t="s">
        <v>34</v>
      </c>
      <c r="L887">
        <v>35</v>
      </c>
      <c r="M887" t="s">
        <v>29</v>
      </c>
      <c r="N887" t="s">
        <v>48</v>
      </c>
      <c r="O887" t="s">
        <v>44</v>
      </c>
      <c r="P887">
        <v>11</v>
      </c>
      <c r="Q887" t="s">
        <v>36</v>
      </c>
      <c r="R887" t="s">
        <v>56</v>
      </c>
      <c r="S887">
        <v>3</v>
      </c>
      <c r="T887">
        <v>1</v>
      </c>
      <c r="U887">
        <v>5</v>
      </c>
      <c r="V887">
        <v>3</v>
      </c>
      <c r="W887">
        <v>5</v>
      </c>
      <c r="X887">
        <v>2</v>
      </c>
      <c r="Y887">
        <v>0</v>
      </c>
      <c r="Z887">
        <v>2</v>
      </c>
      <c r="AA887" t="str">
        <f t="shared" si="73"/>
        <v>Mid Tenure</v>
      </c>
      <c r="AB887" s="5">
        <v>45152</v>
      </c>
      <c r="AC887">
        <f t="shared" si="74"/>
        <v>0</v>
      </c>
      <c r="AD887" t="s">
        <v>49</v>
      </c>
      <c r="AE887">
        <f>VLOOKUP(A887,'Employee Engagement Survey'!A803:B2272,2,FALSE)</f>
        <v>4</v>
      </c>
      <c r="AF887">
        <f>VLOOKUP(A887,'Employee Engagement Survey'!A803:C2272,3,FALSE)</f>
        <v>4</v>
      </c>
      <c r="AG887">
        <f>VLOOKUP(A887,'Employee Engagement Survey'!A803:D2272,4,FALSE)</f>
        <v>4</v>
      </c>
      <c r="AH887">
        <f>VLOOKUP(A887,'Employee Engagement Survey'!A803:E2272,5,FALSE)</f>
        <v>3</v>
      </c>
      <c r="AI887">
        <f t="shared" si="72"/>
        <v>3.75</v>
      </c>
    </row>
    <row r="888" spans="1:35" hidden="1" x14ac:dyDescent="0.4">
      <c r="A888">
        <v>1138</v>
      </c>
      <c r="B888" t="s">
        <v>34</v>
      </c>
      <c r="C888">
        <f t="shared" si="75"/>
        <v>1</v>
      </c>
      <c r="D888" t="s">
        <v>57</v>
      </c>
      <c r="E888">
        <f t="shared" si="71"/>
        <v>0</v>
      </c>
      <c r="F888" t="s">
        <v>40</v>
      </c>
      <c r="G888">
        <v>10</v>
      </c>
      <c r="H888" s="1">
        <v>169440</v>
      </c>
      <c r="I888" s="10">
        <v>0.17</v>
      </c>
      <c r="J888">
        <v>37.5</v>
      </c>
      <c r="K888" t="s">
        <v>34</v>
      </c>
      <c r="L888">
        <v>49</v>
      </c>
      <c r="M888" t="s">
        <v>29</v>
      </c>
      <c r="N888" t="s">
        <v>42</v>
      </c>
      <c r="O888" t="s">
        <v>31</v>
      </c>
      <c r="P888">
        <v>8</v>
      </c>
      <c r="Q888" t="s">
        <v>51</v>
      </c>
      <c r="R888" t="s">
        <v>45</v>
      </c>
      <c r="S888">
        <v>3</v>
      </c>
      <c r="T888">
        <v>1</v>
      </c>
      <c r="U888">
        <v>22</v>
      </c>
      <c r="V888">
        <v>3</v>
      </c>
      <c r="W888">
        <v>9</v>
      </c>
      <c r="X888">
        <v>8</v>
      </c>
      <c r="Y888">
        <v>2</v>
      </c>
      <c r="Z888">
        <v>3</v>
      </c>
      <c r="AA888" t="str">
        <f t="shared" si="73"/>
        <v>Mid Tenure</v>
      </c>
      <c r="AB888" s="5">
        <v>44798</v>
      </c>
      <c r="AC888">
        <f t="shared" si="74"/>
        <v>0</v>
      </c>
      <c r="AD888" t="s">
        <v>38</v>
      </c>
      <c r="AE888">
        <f>VLOOKUP(A888,'Employee Engagement Survey'!A804:B2273,2,FALSE)</f>
        <v>4</v>
      </c>
      <c r="AF888">
        <f>VLOOKUP(A888,'Employee Engagement Survey'!A804:C2273,3,FALSE)</f>
        <v>2</v>
      </c>
      <c r="AG888">
        <f>VLOOKUP(A888,'Employee Engagement Survey'!A804:D2273,4,FALSE)</f>
        <v>2</v>
      </c>
      <c r="AH888">
        <f>VLOOKUP(A888,'Employee Engagement Survey'!A804:E2273,5,FALSE)</f>
        <v>3</v>
      </c>
      <c r="AI888">
        <f t="shared" si="72"/>
        <v>2.75</v>
      </c>
    </row>
    <row r="889" spans="1:35" hidden="1" x14ac:dyDescent="0.4">
      <c r="A889">
        <v>1140</v>
      </c>
      <c r="B889" t="s">
        <v>34</v>
      </c>
      <c r="C889">
        <f t="shared" si="75"/>
        <v>1</v>
      </c>
      <c r="D889" t="s">
        <v>54</v>
      </c>
      <c r="E889">
        <f t="shared" si="71"/>
        <v>1</v>
      </c>
      <c r="F889" t="s">
        <v>28</v>
      </c>
      <c r="G889">
        <v>6</v>
      </c>
      <c r="H889" s="1">
        <v>60396</v>
      </c>
      <c r="I889" s="10">
        <v>0.11</v>
      </c>
      <c r="J889">
        <v>37.5</v>
      </c>
      <c r="K889" t="s">
        <v>34</v>
      </c>
      <c r="L889">
        <v>34</v>
      </c>
      <c r="M889" t="s">
        <v>29</v>
      </c>
      <c r="N889" t="s">
        <v>30</v>
      </c>
      <c r="O889" t="s">
        <v>44</v>
      </c>
      <c r="P889">
        <v>2</v>
      </c>
      <c r="Q889" t="s">
        <v>36</v>
      </c>
      <c r="R889" t="s">
        <v>37</v>
      </c>
      <c r="S889">
        <v>3</v>
      </c>
      <c r="T889">
        <v>0</v>
      </c>
      <c r="U889">
        <v>5</v>
      </c>
      <c r="V889">
        <v>3</v>
      </c>
      <c r="W889">
        <v>3</v>
      </c>
      <c r="X889">
        <v>2</v>
      </c>
      <c r="Y889">
        <v>0</v>
      </c>
      <c r="Z889">
        <v>2</v>
      </c>
      <c r="AA889" t="str">
        <f t="shared" si="73"/>
        <v>Mid Tenure</v>
      </c>
      <c r="AB889" s="5">
        <v>45914</v>
      </c>
      <c r="AC889">
        <f t="shared" si="74"/>
        <v>1</v>
      </c>
      <c r="AD889" t="s">
        <v>38</v>
      </c>
      <c r="AE889">
        <f>VLOOKUP(A889,'Employee Engagement Survey'!A805:B2274,2,FALSE)</f>
        <v>4</v>
      </c>
      <c r="AF889">
        <f>VLOOKUP(A889,'Employee Engagement Survey'!A805:C2274,3,FALSE)</f>
        <v>3</v>
      </c>
      <c r="AG889">
        <f>VLOOKUP(A889,'Employee Engagement Survey'!A805:D2274,4,FALSE)</f>
        <v>4</v>
      </c>
      <c r="AH889">
        <f>VLOOKUP(A889,'Employee Engagement Survey'!A805:E2274,5,FALSE)</f>
        <v>2</v>
      </c>
      <c r="AI889">
        <f t="shared" si="72"/>
        <v>3.25</v>
      </c>
    </row>
    <row r="890" spans="1:35" hidden="1" x14ac:dyDescent="0.4">
      <c r="A890">
        <v>1148</v>
      </c>
      <c r="B890" t="s">
        <v>34</v>
      </c>
      <c r="C890">
        <f t="shared" si="75"/>
        <v>1</v>
      </c>
      <c r="D890" t="s">
        <v>46</v>
      </c>
      <c r="E890">
        <f t="shared" si="71"/>
        <v>0</v>
      </c>
      <c r="F890" t="s">
        <v>28</v>
      </c>
      <c r="G890">
        <v>6</v>
      </c>
      <c r="H890" s="1">
        <v>63264</v>
      </c>
      <c r="I890" s="10">
        <v>0.19</v>
      </c>
      <c r="J890">
        <v>37.5</v>
      </c>
      <c r="K890" t="s">
        <v>34</v>
      </c>
      <c r="L890">
        <v>42</v>
      </c>
      <c r="M890" t="s">
        <v>29</v>
      </c>
      <c r="N890" t="s">
        <v>30</v>
      </c>
      <c r="O890" t="s">
        <v>31</v>
      </c>
      <c r="P890">
        <v>29</v>
      </c>
      <c r="Q890" t="s">
        <v>43</v>
      </c>
      <c r="R890" t="s">
        <v>33</v>
      </c>
      <c r="S890">
        <v>3</v>
      </c>
      <c r="T890">
        <v>0</v>
      </c>
      <c r="U890">
        <v>16</v>
      </c>
      <c r="V890">
        <v>3</v>
      </c>
      <c r="W890">
        <v>1</v>
      </c>
      <c r="X890">
        <v>0</v>
      </c>
      <c r="Y890">
        <v>0</v>
      </c>
      <c r="Z890">
        <v>0</v>
      </c>
      <c r="AA890" t="str">
        <f t="shared" si="73"/>
        <v>Early Tenure</v>
      </c>
      <c r="AB890" s="5">
        <v>45919</v>
      </c>
      <c r="AC890">
        <f t="shared" si="74"/>
        <v>1</v>
      </c>
      <c r="AD890" t="s">
        <v>38</v>
      </c>
      <c r="AE890">
        <f>VLOOKUP(A890,'Employee Engagement Survey'!A806:B2275,2,FALSE)</f>
        <v>2</v>
      </c>
      <c r="AF890">
        <f>VLOOKUP(A890,'Employee Engagement Survey'!A806:C2275,3,FALSE)</f>
        <v>4</v>
      </c>
      <c r="AG890">
        <f>VLOOKUP(A890,'Employee Engagement Survey'!A806:D2275,4,FALSE)</f>
        <v>1</v>
      </c>
      <c r="AH890">
        <f>VLOOKUP(A890,'Employee Engagement Survey'!A806:E2275,5,FALSE)</f>
        <v>3</v>
      </c>
      <c r="AI890">
        <f t="shared" si="72"/>
        <v>2.5</v>
      </c>
    </row>
    <row r="891" spans="1:35" hidden="1" x14ac:dyDescent="0.4">
      <c r="A891">
        <v>1150</v>
      </c>
      <c r="B891" t="s">
        <v>34</v>
      </c>
      <c r="C891">
        <f t="shared" si="75"/>
        <v>1</v>
      </c>
      <c r="D891" t="s">
        <v>54</v>
      </c>
      <c r="E891">
        <f t="shared" si="71"/>
        <v>1</v>
      </c>
      <c r="F891" t="s">
        <v>28</v>
      </c>
      <c r="G891">
        <v>7</v>
      </c>
      <c r="H891" s="1">
        <v>72672</v>
      </c>
      <c r="I891" s="10">
        <v>0.15</v>
      </c>
      <c r="J891">
        <v>37.5</v>
      </c>
      <c r="K891" t="s">
        <v>26</v>
      </c>
      <c r="L891">
        <v>29</v>
      </c>
      <c r="M891" t="s">
        <v>29</v>
      </c>
      <c r="N891" t="s">
        <v>42</v>
      </c>
      <c r="O891" t="s">
        <v>31</v>
      </c>
      <c r="P891">
        <v>8</v>
      </c>
      <c r="Q891" t="s">
        <v>32</v>
      </c>
      <c r="R891" t="s">
        <v>33</v>
      </c>
      <c r="S891">
        <v>3</v>
      </c>
      <c r="T891">
        <v>1</v>
      </c>
      <c r="U891">
        <v>10</v>
      </c>
      <c r="V891">
        <v>2</v>
      </c>
      <c r="W891">
        <v>10</v>
      </c>
      <c r="X891">
        <v>7</v>
      </c>
      <c r="Y891">
        <v>1</v>
      </c>
      <c r="Z891">
        <v>2</v>
      </c>
      <c r="AA891" t="str">
        <f t="shared" si="73"/>
        <v>Long Tenure</v>
      </c>
      <c r="AB891" s="5">
        <v>45513</v>
      </c>
      <c r="AC891">
        <f t="shared" si="74"/>
        <v>1</v>
      </c>
      <c r="AD891" t="s">
        <v>49</v>
      </c>
      <c r="AE891">
        <f>VLOOKUP(A891,'Employee Engagement Survey'!A807:B2276,2,FALSE)</f>
        <v>2</v>
      </c>
      <c r="AF891">
        <f>VLOOKUP(A891,'Employee Engagement Survey'!A807:C2276,3,FALSE)</f>
        <v>4</v>
      </c>
      <c r="AG891">
        <f>VLOOKUP(A891,'Employee Engagement Survey'!A807:D2276,4,FALSE)</f>
        <v>3</v>
      </c>
      <c r="AH891">
        <f>VLOOKUP(A891,'Employee Engagement Survey'!A807:E2276,5,FALSE)</f>
        <v>2</v>
      </c>
      <c r="AI891">
        <f t="shared" si="72"/>
        <v>2.75</v>
      </c>
    </row>
    <row r="892" spans="1:35" hidden="1" x14ac:dyDescent="0.4">
      <c r="A892">
        <v>1152</v>
      </c>
      <c r="B892" t="s">
        <v>34</v>
      </c>
      <c r="C892">
        <f t="shared" si="75"/>
        <v>1</v>
      </c>
      <c r="D892" t="s">
        <v>106</v>
      </c>
      <c r="E892">
        <f t="shared" si="71"/>
        <v>0</v>
      </c>
      <c r="F892" t="s">
        <v>59</v>
      </c>
      <c r="G892">
        <v>5</v>
      </c>
      <c r="H892" s="1">
        <v>58128</v>
      </c>
      <c r="I892" s="10">
        <v>0.13</v>
      </c>
      <c r="J892">
        <v>37.5</v>
      </c>
      <c r="K892" t="s">
        <v>34</v>
      </c>
      <c r="L892">
        <v>38</v>
      </c>
      <c r="M892" t="s">
        <v>29</v>
      </c>
      <c r="N892" t="s">
        <v>42</v>
      </c>
      <c r="O892" t="s">
        <v>31</v>
      </c>
      <c r="P892">
        <v>1</v>
      </c>
      <c r="Q892" t="s">
        <v>43</v>
      </c>
      <c r="R892" t="s">
        <v>59</v>
      </c>
      <c r="S892">
        <v>3</v>
      </c>
      <c r="T892">
        <v>1</v>
      </c>
      <c r="U892">
        <v>7</v>
      </c>
      <c r="V892">
        <v>2</v>
      </c>
      <c r="W892">
        <v>7</v>
      </c>
      <c r="X892">
        <v>6</v>
      </c>
      <c r="Y892">
        <v>5</v>
      </c>
      <c r="Z892">
        <v>0</v>
      </c>
      <c r="AA892" t="str">
        <f t="shared" si="73"/>
        <v>Mid Tenure</v>
      </c>
      <c r="AB892" s="5">
        <v>45188</v>
      </c>
      <c r="AC892">
        <f t="shared" si="74"/>
        <v>0</v>
      </c>
      <c r="AD892" t="s">
        <v>38</v>
      </c>
      <c r="AE892">
        <f>VLOOKUP(A892,'Employee Engagement Survey'!A809:B2278,2,FALSE)</f>
        <v>3</v>
      </c>
      <c r="AF892">
        <f>VLOOKUP(A892,'Employee Engagement Survey'!A809:C2278,3,FALSE)</f>
        <v>3</v>
      </c>
      <c r="AG892">
        <f>VLOOKUP(A892,'Employee Engagement Survey'!A809:D2278,4,FALSE)</f>
        <v>4</v>
      </c>
      <c r="AH892">
        <f>VLOOKUP(A892,'Employee Engagement Survey'!A809:E2278,5,FALSE)</f>
        <v>4</v>
      </c>
      <c r="AI892">
        <f t="shared" si="72"/>
        <v>3.5</v>
      </c>
    </row>
    <row r="893" spans="1:35" hidden="1" x14ac:dyDescent="0.4">
      <c r="A893">
        <v>107</v>
      </c>
      <c r="B893" t="s">
        <v>34</v>
      </c>
      <c r="C893">
        <f t="shared" si="75"/>
        <v>1</v>
      </c>
      <c r="D893" t="s">
        <v>27</v>
      </c>
      <c r="E893">
        <f t="shared" si="71"/>
        <v>0</v>
      </c>
      <c r="F893" t="s">
        <v>28</v>
      </c>
      <c r="G893">
        <v>7</v>
      </c>
      <c r="H893" s="1">
        <v>75948</v>
      </c>
      <c r="I893" s="10">
        <v>0.12</v>
      </c>
      <c r="J893">
        <v>37.5</v>
      </c>
      <c r="K893" t="s">
        <v>26</v>
      </c>
      <c r="L893">
        <v>38</v>
      </c>
      <c r="M893" t="s">
        <v>47</v>
      </c>
      <c r="N893" t="s">
        <v>48</v>
      </c>
      <c r="O893" t="s">
        <v>35</v>
      </c>
      <c r="P893">
        <v>6</v>
      </c>
      <c r="Q893" t="s">
        <v>43</v>
      </c>
      <c r="R893" t="s">
        <v>33</v>
      </c>
      <c r="S893">
        <v>3</v>
      </c>
      <c r="T893">
        <v>3</v>
      </c>
      <c r="U893">
        <v>17</v>
      </c>
      <c r="V893">
        <v>3</v>
      </c>
      <c r="W893">
        <v>13</v>
      </c>
      <c r="X893">
        <v>11</v>
      </c>
      <c r="Y893">
        <v>1</v>
      </c>
      <c r="Z893">
        <v>9</v>
      </c>
      <c r="AA893" t="str">
        <f t="shared" si="73"/>
        <v>Long Tenure</v>
      </c>
      <c r="AB893" s="5">
        <v>44591</v>
      </c>
      <c r="AC893">
        <f t="shared" si="74"/>
        <v>0</v>
      </c>
      <c r="AD893" t="s">
        <v>49</v>
      </c>
      <c r="AE893">
        <f>VLOOKUP(A893,'Employee Engagement Survey'!A810:B2279,2,FALSE)</f>
        <v>2</v>
      </c>
      <c r="AF893">
        <f>VLOOKUP(A893,'Employee Engagement Survey'!A810:C2279,3,FALSE)</f>
        <v>4</v>
      </c>
      <c r="AG893">
        <f>VLOOKUP(A893,'Employee Engagement Survey'!A810:D2279,4,FALSE)</f>
        <v>4</v>
      </c>
      <c r="AH893">
        <f>VLOOKUP(A893,'Employee Engagement Survey'!A810:E2279,5,FALSE)</f>
        <v>3</v>
      </c>
      <c r="AI893">
        <f t="shared" si="72"/>
        <v>3.25</v>
      </c>
    </row>
    <row r="894" spans="1:35" hidden="1" x14ac:dyDescent="0.4">
      <c r="A894">
        <v>1154</v>
      </c>
      <c r="B894" t="s">
        <v>34</v>
      </c>
      <c r="C894">
        <f t="shared" si="75"/>
        <v>1</v>
      </c>
      <c r="D894" t="s">
        <v>27</v>
      </c>
      <c r="E894">
        <f t="shared" si="71"/>
        <v>0</v>
      </c>
      <c r="F894" t="s">
        <v>28</v>
      </c>
      <c r="G894">
        <v>5</v>
      </c>
      <c r="H894" s="1">
        <v>56436</v>
      </c>
      <c r="I894" s="10">
        <v>0.14000000000000001</v>
      </c>
      <c r="J894">
        <v>37.5</v>
      </c>
      <c r="K894" t="s">
        <v>26</v>
      </c>
      <c r="L894">
        <v>28</v>
      </c>
      <c r="M894" t="s">
        <v>29</v>
      </c>
      <c r="N894" t="s">
        <v>48</v>
      </c>
      <c r="O894" t="s">
        <v>44</v>
      </c>
      <c r="P894">
        <v>6</v>
      </c>
      <c r="Q894" t="s">
        <v>43</v>
      </c>
      <c r="R894" t="s">
        <v>37</v>
      </c>
      <c r="S894">
        <v>3</v>
      </c>
      <c r="T894">
        <v>1</v>
      </c>
      <c r="U894">
        <v>3</v>
      </c>
      <c r="V894">
        <v>2</v>
      </c>
      <c r="W894">
        <v>3</v>
      </c>
      <c r="X894">
        <v>1</v>
      </c>
      <c r="Y894">
        <v>0</v>
      </c>
      <c r="Z894">
        <v>2</v>
      </c>
      <c r="AA894" t="str">
        <f t="shared" si="73"/>
        <v>Mid Tenure</v>
      </c>
      <c r="AB894" s="5">
        <v>45359</v>
      </c>
      <c r="AC894">
        <f t="shared" si="74"/>
        <v>1</v>
      </c>
      <c r="AD894" t="s">
        <v>38</v>
      </c>
      <c r="AE894">
        <f>VLOOKUP(A894,'Employee Engagement Survey'!A811:B2280,2,FALSE)</f>
        <v>3</v>
      </c>
      <c r="AF894">
        <f>VLOOKUP(A894,'Employee Engagement Survey'!A811:C2280,3,FALSE)</f>
        <v>3</v>
      </c>
      <c r="AG894">
        <f>VLOOKUP(A894,'Employee Engagement Survey'!A811:D2280,4,FALSE)</f>
        <v>4</v>
      </c>
      <c r="AH894">
        <f>VLOOKUP(A894,'Employee Engagement Survey'!A811:E2280,5,FALSE)</f>
        <v>3</v>
      </c>
      <c r="AI894">
        <f t="shared" si="72"/>
        <v>3.25</v>
      </c>
    </row>
    <row r="895" spans="1:35" hidden="1" x14ac:dyDescent="0.4">
      <c r="A895">
        <v>1158</v>
      </c>
      <c r="B895" t="s">
        <v>34</v>
      </c>
      <c r="C895">
        <f t="shared" si="75"/>
        <v>1</v>
      </c>
      <c r="D895" t="s">
        <v>46</v>
      </c>
      <c r="E895">
        <f t="shared" si="71"/>
        <v>0</v>
      </c>
      <c r="F895" t="s">
        <v>28</v>
      </c>
      <c r="G895">
        <v>6</v>
      </c>
      <c r="H895" s="1">
        <v>69192</v>
      </c>
      <c r="I895" s="10">
        <v>0.11</v>
      </c>
      <c r="J895">
        <v>37.5</v>
      </c>
      <c r="K895" t="s">
        <v>26</v>
      </c>
      <c r="L895">
        <v>41</v>
      </c>
      <c r="M895" t="s">
        <v>29</v>
      </c>
      <c r="N895" t="s">
        <v>42</v>
      </c>
      <c r="O895" t="s">
        <v>31</v>
      </c>
      <c r="P895">
        <v>12</v>
      </c>
      <c r="Q895" t="s">
        <v>51</v>
      </c>
      <c r="R895" t="s">
        <v>37</v>
      </c>
      <c r="S895">
        <v>3</v>
      </c>
      <c r="T895">
        <v>1</v>
      </c>
      <c r="U895">
        <v>6</v>
      </c>
      <c r="V895">
        <v>4</v>
      </c>
      <c r="W895">
        <v>1</v>
      </c>
      <c r="X895">
        <v>0</v>
      </c>
      <c r="Y895">
        <v>0</v>
      </c>
      <c r="Z895">
        <v>0</v>
      </c>
      <c r="AA895" t="str">
        <f t="shared" si="73"/>
        <v>Early Tenure</v>
      </c>
      <c r="AB895" s="5">
        <v>45730</v>
      </c>
      <c r="AC895">
        <f t="shared" si="74"/>
        <v>1</v>
      </c>
      <c r="AD895" t="s">
        <v>49</v>
      </c>
      <c r="AE895">
        <f>VLOOKUP(A895,'Employee Engagement Survey'!A813:B2282,2,FALSE)</f>
        <v>2</v>
      </c>
      <c r="AF895">
        <f>VLOOKUP(A895,'Employee Engagement Survey'!A813:C2282,3,FALSE)</f>
        <v>4</v>
      </c>
      <c r="AG895">
        <f>VLOOKUP(A895,'Employee Engagement Survey'!A813:D2282,4,FALSE)</f>
        <v>1</v>
      </c>
      <c r="AH895">
        <f>VLOOKUP(A895,'Employee Engagement Survey'!A813:E2282,5,FALSE)</f>
        <v>3</v>
      </c>
      <c r="AI895">
        <f t="shared" si="72"/>
        <v>2.5</v>
      </c>
    </row>
    <row r="896" spans="1:35" hidden="1" x14ac:dyDescent="0.4">
      <c r="A896">
        <v>2041</v>
      </c>
      <c r="B896" t="s">
        <v>34</v>
      </c>
      <c r="C896">
        <f t="shared" si="75"/>
        <v>1</v>
      </c>
      <c r="D896" t="s">
        <v>57</v>
      </c>
      <c r="E896">
        <f t="shared" si="71"/>
        <v>0</v>
      </c>
      <c r="F896" t="s">
        <v>40</v>
      </c>
      <c r="G896">
        <v>7</v>
      </c>
      <c r="H896" s="1">
        <v>76116</v>
      </c>
      <c r="I896" s="10">
        <v>0.11</v>
      </c>
      <c r="J896">
        <v>37.5</v>
      </c>
      <c r="K896" t="s">
        <v>34</v>
      </c>
      <c r="L896">
        <v>38</v>
      </c>
      <c r="M896" t="s">
        <v>47</v>
      </c>
      <c r="N896" t="s">
        <v>42</v>
      </c>
      <c r="O896" t="s">
        <v>31</v>
      </c>
      <c r="P896">
        <v>10</v>
      </c>
      <c r="Q896" t="s">
        <v>36</v>
      </c>
      <c r="R896" t="s">
        <v>37</v>
      </c>
      <c r="S896">
        <v>3</v>
      </c>
      <c r="T896">
        <v>1</v>
      </c>
      <c r="U896">
        <v>10</v>
      </c>
      <c r="V896">
        <v>1</v>
      </c>
      <c r="W896">
        <v>10</v>
      </c>
      <c r="X896">
        <v>7</v>
      </c>
      <c r="Y896">
        <v>1</v>
      </c>
      <c r="Z896">
        <v>9</v>
      </c>
      <c r="AA896" t="str">
        <f t="shared" si="73"/>
        <v>Long Tenure</v>
      </c>
      <c r="AB896" s="5">
        <v>45498</v>
      </c>
      <c r="AC896">
        <f t="shared" si="74"/>
        <v>1</v>
      </c>
      <c r="AD896" t="s">
        <v>38</v>
      </c>
      <c r="AE896">
        <f>VLOOKUP(A896,'Employee Engagement Survey'!A814:B2283,2,FALSE)</f>
        <v>1</v>
      </c>
      <c r="AF896">
        <f>VLOOKUP(A896,'Employee Engagement Survey'!A814:C2283,3,FALSE)</f>
        <v>4</v>
      </c>
      <c r="AG896">
        <f>VLOOKUP(A896,'Employee Engagement Survey'!A814:D2283,4,FALSE)</f>
        <v>3</v>
      </c>
      <c r="AH896">
        <f>VLOOKUP(A896,'Employee Engagement Survey'!A814:E2283,5,FALSE)</f>
        <v>3</v>
      </c>
      <c r="AI896">
        <f t="shared" si="72"/>
        <v>2.75</v>
      </c>
    </row>
    <row r="897" spans="1:35" hidden="1" x14ac:dyDescent="0.4">
      <c r="A897">
        <v>1162</v>
      </c>
      <c r="B897" t="s">
        <v>34</v>
      </c>
      <c r="C897">
        <f t="shared" si="75"/>
        <v>1</v>
      </c>
      <c r="D897" t="s">
        <v>27</v>
      </c>
      <c r="E897">
        <f t="shared" si="71"/>
        <v>0</v>
      </c>
      <c r="F897" t="s">
        <v>28</v>
      </c>
      <c r="G897">
        <v>4</v>
      </c>
      <c r="H897" s="1">
        <v>54468</v>
      </c>
      <c r="I897" s="10">
        <v>0.13</v>
      </c>
      <c r="J897">
        <v>37.5</v>
      </c>
      <c r="K897" t="s">
        <v>34</v>
      </c>
      <c r="L897">
        <v>27</v>
      </c>
      <c r="M897" t="s">
        <v>29</v>
      </c>
      <c r="N897" t="s">
        <v>42</v>
      </c>
      <c r="O897" t="s">
        <v>31</v>
      </c>
      <c r="P897">
        <v>6</v>
      </c>
      <c r="Q897" t="s">
        <v>43</v>
      </c>
      <c r="R897" t="s">
        <v>37</v>
      </c>
      <c r="S897">
        <v>3</v>
      </c>
      <c r="T897">
        <v>1</v>
      </c>
      <c r="U897">
        <v>4</v>
      </c>
      <c r="V897">
        <v>0</v>
      </c>
      <c r="W897">
        <v>4</v>
      </c>
      <c r="X897">
        <v>2</v>
      </c>
      <c r="Y897">
        <v>2</v>
      </c>
      <c r="Z897">
        <v>2</v>
      </c>
      <c r="AA897" t="str">
        <f t="shared" si="73"/>
        <v>Mid Tenure</v>
      </c>
      <c r="AB897" s="5">
        <v>44849</v>
      </c>
      <c r="AC897">
        <f t="shared" si="74"/>
        <v>0</v>
      </c>
      <c r="AD897" t="s">
        <v>38</v>
      </c>
      <c r="AE897">
        <f>VLOOKUP(A897,'Employee Engagement Survey'!A817:B2286,2,FALSE)</f>
        <v>4</v>
      </c>
      <c r="AF897">
        <f>VLOOKUP(A897,'Employee Engagement Survey'!A817:C2286,3,FALSE)</f>
        <v>3</v>
      </c>
      <c r="AG897">
        <f>VLOOKUP(A897,'Employee Engagement Survey'!A817:D2286,4,FALSE)</f>
        <v>3</v>
      </c>
      <c r="AH897">
        <f>VLOOKUP(A897,'Employee Engagement Survey'!A817:E2286,5,FALSE)</f>
        <v>3</v>
      </c>
      <c r="AI897">
        <f t="shared" si="72"/>
        <v>3.25</v>
      </c>
    </row>
    <row r="898" spans="1:35" hidden="1" x14ac:dyDescent="0.4">
      <c r="A898">
        <v>1369</v>
      </c>
      <c r="B898" t="s">
        <v>34</v>
      </c>
      <c r="C898">
        <f t="shared" si="75"/>
        <v>1</v>
      </c>
      <c r="D898" t="s">
        <v>46</v>
      </c>
      <c r="E898">
        <f t="shared" ref="E898:E961" si="76">IF(OR(D898="Manager, HR", D898="Manager, Sales", D898="Manager, R&amp;D", D898="Manufacturing Director",D898="Research Director", D898="VP, HR", D898="CEO"),1,0)</f>
        <v>0</v>
      </c>
      <c r="F898" t="s">
        <v>28</v>
      </c>
      <c r="G898">
        <v>7</v>
      </c>
      <c r="H898" s="1">
        <v>76356</v>
      </c>
      <c r="I898" s="10">
        <v>0.12</v>
      </c>
      <c r="J898">
        <v>37.5</v>
      </c>
      <c r="K898" t="s">
        <v>34</v>
      </c>
      <c r="L898">
        <v>35</v>
      </c>
      <c r="M898" t="s">
        <v>47</v>
      </c>
      <c r="N898" t="s">
        <v>42</v>
      </c>
      <c r="O898" t="s">
        <v>31</v>
      </c>
      <c r="P898">
        <v>1</v>
      </c>
      <c r="Q898" t="s">
        <v>43</v>
      </c>
      <c r="R898" t="s">
        <v>33</v>
      </c>
      <c r="S898">
        <v>3</v>
      </c>
      <c r="T898">
        <v>1</v>
      </c>
      <c r="U898">
        <v>10</v>
      </c>
      <c r="V898">
        <v>0</v>
      </c>
      <c r="W898">
        <v>9</v>
      </c>
      <c r="X898">
        <v>7</v>
      </c>
      <c r="Y898">
        <v>0</v>
      </c>
      <c r="Z898">
        <v>0</v>
      </c>
      <c r="AA898" t="str">
        <f t="shared" si="73"/>
        <v>Mid Tenure</v>
      </c>
      <c r="AB898" s="5">
        <v>45103</v>
      </c>
      <c r="AC898">
        <f t="shared" si="74"/>
        <v>0</v>
      </c>
      <c r="AD898" t="s">
        <v>38</v>
      </c>
      <c r="AE898">
        <f>VLOOKUP(A898,'Employee Engagement Survey'!A818:B2287,2,FALSE)</f>
        <v>4</v>
      </c>
      <c r="AF898">
        <f>VLOOKUP(A898,'Employee Engagement Survey'!A818:C2287,3,FALSE)</f>
        <v>4</v>
      </c>
      <c r="AG898">
        <f>VLOOKUP(A898,'Employee Engagement Survey'!A818:D2287,4,FALSE)</f>
        <v>2</v>
      </c>
      <c r="AH898">
        <f>VLOOKUP(A898,'Employee Engagement Survey'!A818:E2287,5,FALSE)</f>
        <v>3</v>
      </c>
      <c r="AI898">
        <f t="shared" ref="AI898:AI961" si="77">AVERAGE(AE898:AH898)</f>
        <v>3.25</v>
      </c>
    </row>
    <row r="899" spans="1:35" hidden="1" x14ac:dyDescent="0.4">
      <c r="A899">
        <v>1681</v>
      </c>
      <c r="B899" t="s">
        <v>34</v>
      </c>
      <c r="C899">
        <f t="shared" si="75"/>
        <v>1</v>
      </c>
      <c r="D899" t="s">
        <v>57</v>
      </c>
      <c r="E899">
        <f t="shared" si="76"/>
        <v>0</v>
      </c>
      <c r="F899" t="s">
        <v>40</v>
      </c>
      <c r="G899">
        <v>7</v>
      </c>
      <c r="H899" s="1">
        <v>76416</v>
      </c>
      <c r="I899" s="10">
        <v>0.25</v>
      </c>
      <c r="J899">
        <v>37.5</v>
      </c>
      <c r="K899" t="s">
        <v>26</v>
      </c>
      <c r="L899">
        <v>33</v>
      </c>
      <c r="M899" t="s">
        <v>47</v>
      </c>
      <c r="N899" t="s">
        <v>48</v>
      </c>
      <c r="O899" t="s">
        <v>35</v>
      </c>
      <c r="P899">
        <v>16</v>
      </c>
      <c r="Q899" t="s">
        <v>43</v>
      </c>
      <c r="R899" t="s">
        <v>37</v>
      </c>
      <c r="S899">
        <v>4</v>
      </c>
      <c r="T899">
        <v>1</v>
      </c>
      <c r="U899">
        <v>7</v>
      </c>
      <c r="V899">
        <v>2</v>
      </c>
      <c r="W899">
        <v>6</v>
      </c>
      <c r="X899">
        <v>5</v>
      </c>
      <c r="Y899">
        <v>1</v>
      </c>
      <c r="Z899">
        <v>2</v>
      </c>
      <c r="AA899" t="str">
        <f t="shared" ref="AA899:AA962" si="78">IF(W899&lt;=2,"Early Tenure",IF(W899&lt;=9,"Mid Tenure","Long Tenure"))</f>
        <v>Mid Tenure</v>
      </c>
      <c r="AB899" s="5">
        <v>45736</v>
      </c>
      <c r="AC899">
        <f t="shared" ref="AC899:AC962" si="79">IF(AND(AB899&lt;&gt;"",AB899&gt;DATE(2024,1,1)),1,0)</f>
        <v>1</v>
      </c>
      <c r="AD899" t="s">
        <v>38</v>
      </c>
      <c r="AE899">
        <f>VLOOKUP(A899,'Employee Engagement Survey'!A819:B2288,2,FALSE)</f>
        <v>3</v>
      </c>
      <c r="AF899">
        <f>VLOOKUP(A899,'Employee Engagement Survey'!A819:C2288,3,FALSE)</f>
        <v>4</v>
      </c>
      <c r="AG899">
        <f>VLOOKUP(A899,'Employee Engagement Survey'!A819:D2288,4,FALSE)</f>
        <v>3</v>
      </c>
      <c r="AH899">
        <f>VLOOKUP(A899,'Employee Engagement Survey'!A819:E2288,5,FALSE)</f>
        <v>3</v>
      </c>
      <c r="AI899">
        <f t="shared" si="77"/>
        <v>3.25</v>
      </c>
    </row>
    <row r="900" spans="1:35" hidden="1" x14ac:dyDescent="0.4">
      <c r="A900">
        <v>1164</v>
      </c>
      <c r="B900" t="s">
        <v>34</v>
      </c>
      <c r="C900">
        <f t="shared" si="75"/>
        <v>1</v>
      </c>
      <c r="D900" t="s">
        <v>106</v>
      </c>
      <c r="E900">
        <f t="shared" si="76"/>
        <v>0</v>
      </c>
      <c r="F900" t="s">
        <v>59</v>
      </c>
      <c r="G900">
        <v>6</v>
      </c>
      <c r="H900" s="1">
        <v>63876</v>
      </c>
      <c r="I900" s="10">
        <v>0.17</v>
      </c>
      <c r="J900">
        <v>37.5</v>
      </c>
      <c r="K900" t="s">
        <v>34</v>
      </c>
      <c r="L900">
        <v>35</v>
      </c>
      <c r="M900" t="s">
        <v>29</v>
      </c>
      <c r="N900" t="s">
        <v>30</v>
      </c>
      <c r="O900" t="s">
        <v>31</v>
      </c>
      <c r="P900">
        <v>8</v>
      </c>
      <c r="Q900" t="s">
        <v>51</v>
      </c>
      <c r="R900" t="s">
        <v>45</v>
      </c>
      <c r="S900">
        <v>3</v>
      </c>
      <c r="T900">
        <v>0</v>
      </c>
      <c r="U900">
        <v>6</v>
      </c>
      <c r="V900">
        <v>2</v>
      </c>
      <c r="W900">
        <v>5</v>
      </c>
      <c r="X900">
        <v>4</v>
      </c>
      <c r="Y900">
        <v>1</v>
      </c>
      <c r="Z900">
        <v>4</v>
      </c>
      <c r="AA900" t="str">
        <f t="shared" si="78"/>
        <v>Mid Tenure</v>
      </c>
      <c r="AB900" s="5">
        <v>44623</v>
      </c>
      <c r="AC900">
        <f t="shared" si="79"/>
        <v>0</v>
      </c>
      <c r="AD900" t="s">
        <v>49</v>
      </c>
      <c r="AE900">
        <f>VLOOKUP(A900,'Employee Engagement Survey'!A820:B2289,2,FALSE)</f>
        <v>3</v>
      </c>
      <c r="AF900">
        <f>VLOOKUP(A900,'Employee Engagement Survey'!A820:C2289,3,FALSE)</f>
        <v>3</v>
      </c>
      <c r="AG900">
        <f>VLOOKUP(A900,'Employee Engagement Survey'!A820:D2289,4,FALSE)</f>
        <v>2</v>
      </c>
      <c r="AH900">
        <f>VLOOKUP(A900,'Employee Engagement Survey'!A820:E2289,5,FALSE)</f>
        <v>1</v>
      </c>
      <c r="AI900">
        <f t="shared" si="77"/>
        <v>2.25</v>
      </c>
    </row>
    <row r="901" spans="1:35" hidden="1" x14ac:dyDescent="0.4">
      <c r="A901">
        <v>52</v>
      </c>
      <c r="B901" t="s">
        <v>34</v>
      </c>
      <c r="C901">
        <f t="shared" si="75"/>
        <v>1</v>
      </c>
      <c r="D901" t="s">
        <v>57</v>
      </c>
      <c r="E901">
        <f t="shared" si="76"/>
        <v>0</v>
      </c>
      <c r="F901" t="s">
        <v>40</v>
      </c>
      <c r="G901">
        <v>7</v>
      </c>
      <c r="H901" s="1">
        <v>76512</v>
      </c>
      <c r="I901" s="10">
        <v>0.19</v>
      </c>
      <c r="J901">
        <v>37.5</v>
      </c>
      <c r="K901" t="s">
        <v>34</v>
      </c>
      <c r="L901">
        <v>33</v>
      </c>
      <c r="M901" t="s">
        <v>47</v>
      </c>
      <c r="N901" t="s">
        <v>42</v>
      </c>
      <c r="O901" t="s">
        <v>44</v>
      </c>
      <c r="P901">
        <v>1</v>
      </c>
      <c r="Q901" t="s">
        <v>43</v>
      </c>
      <c r="R901" t="s">
        <v>37</v>
      </c>
      <c r="S901">
        <v>3</v>
      </c>
      <c r="T901">
        <v>2</v>
      </c>
      <c r="U901">
        <v>10</v>
      </c>
      <c r="V901">
        <v>3</v>
      </c>
      <c r="W901">
        <v>5</v>
      </c>
      <c r="X901">
        <v>3</v>
      </c>
      <c r="Y901">
        <v>1</v>
      </c>
      <c r="Z901">
        <v>3</v>
      </c>
      <c r="AA901" t="str">
        <f t="shared" si="78"/>
        <v>Mid Tenure</v>
      </c>
      <c r="AB901" s="5">
        <v>45423</v>
      </c>
      <c r="AC901">
        <f t="shared" si="79"/>
        <v>1</v>
      </c>
      <c r="AD901" t="s">
        <v>49</v>
      </c>
      <c r="AE901">
        <f>VLOOKUP(A901,'Employee Engagement Survey'!A821:B2290,2,FALSE)</f>
        <v>3</v>
      </c>
      <c r="AF901">
        <f>VLOOKUP(A901,'Employee Engagement Survey'!A821:C2290,3,FALSE)</f>
        <v>1</v>
      </c>
      <c r="AG901">
        <f>VLOOKUP(A901,'Employee Engagement Survey'!A821:D2290,4,FALSE)</f>
        <v>1</v>
      </c>
      <c r="AH901">
        <f>VLOOKUP(A901,'Employee Engagement Survey'!A821:E2290,5,FALSE)</f>
        <v>3</v>
      </c>
      <c r="AI901">
        <f t="shared" si="77"/>
        <v>2</v>
      </c>
    </row>
    <row r="902" spans="1:35" hidden="1" x14ac:dyDescent="0.4">
      <c r="A902">
        <v>1935</v>
      </c>
      <c r="B902" t="s">
        <v>34</v>
      </c>
      <c r="C902">
        <f t="shared" si="75"/>
        <v>1</v>
      </c>
      <c r="D902" t="s">
        <v>57</v>
      </c>
      <c r="E902">
        <f t="shared" si="76"/>
        <v>0</v>
      </c>
      <c r="F902" t="s">
        <v>40</v>
      </c>
      <c r="G902">
        <v>7</v>
      </c>
      <c r="H902" s="1">
        <v>76560</v>
      </c>
      <c r="I902" s="10">
        <v>0.16</v>
      </c>
      <c r="J902">
        <v>37.5</v>
      </c>
      <c r="K902" t="s">
        <v>34</v>
      </c>
      <c r="L902">
        <v>56</v>
      </c>
      <c r="M902" t="s">
        <v>47</v>
      </c>
      <c r="N902" t="s">
        <v>42</v>
      </c>
      <c r="O902" t="s">
        <v>31</v>
      </c>
      <c r="P902">
        <v>11</v>
      </c>
      <c r="Q902" t="s">
        <v>58</v>
      </c>
      <c r="R902" t="s">
        <v>56</v>
      </c>
      <c r="S902">
        <v>3</v>
      </c>
      <c r="T902">
        <v>1</v>
      </c>
      <c r="U902">
        <v>6</v>
      </c>
      <c r="V902">
        <v>3</v>
      </c>
      <c r="W902">
        <v>0</v>
      </c>
      <c r="X902">
        <v>0</v>
      </c>
      <c r="Y902">
        <v>0</v>
      </c>
      <c r="Z902">
        <v>0</v>
      </c>
      <c r="AA902" t="str">
        <f t="shared" si="78"/>
        <v>Early Tenure</v>
      </c>
      <c r="AB902" s="5">
        <v>45695</v>
      </c>
      <c r="AC902">
        <f t="shared" si="79"/>
        <v>1</v>
      </c>
      <c r="AD902" t="s">
        <v>38</v>
      </c>
      <c r="AE902">
        <f>VLOOKUP(A902,'Employee Engagement Survey'!A823:B2292,2,FALSE)</f>
        <v>4</v>
      </c>
      <c r="AF902">
        <f>VLOOKUP(A902,'Employee Engagement Survey'!A823:C2292,3,FALSE)</f>
        <v>1</v>
      </c>
      <c r="AG902">
        <f>VLOOKUP(A902,'Employee Engagement Survey'!A823:D2292,4,FALSE)</f>
        <v>3</v>
      </c>
      <c r="AH902">
        <f>VLOOKUP(A902,'Employee Engagement Survey'!A823:E2292,5,FALSE)</f>
        <v>3</v>
      </c>
      <c r="AI902">
        <f t="shared" si="77"/>
        <v>2.75</v>
      </c>
    </row>
    <row r="903" spans="1:35" hidden="1" x14ac:dyDescent="0.4">
      <c r="A903">
        <v>1171</v>
      </c>
      <c r="B903" t="s">
        <v>34</v>
      </c>
      <c r="C903">
        <f t="shared" si="75"/>
        <v>1</v>
      </c>
      <c r="D903" t="s">
        <v>57</v>
      </c>
      <c r="E903">
        <f t="shared" si="76"/>
        <v>0</v>
      </c>
      <c r="F903" t="s">
        <v>40</v>
      </c>
      <c r="G903">
        <v>7</v>
      </c>
      <c r="H903" s="1">
        <v>73860</v>
      </c>
      <c r="I903" s="10">
        <v>0.13</v>
      </c>
      <c r="J903">
        <v>37.5</v>
      </c>
      <c r="K903" t="s">
        <v>34</v>
      </c>
      <c r="L903">
        <v>42</v>
      </c>
      <c r="M903" t="s">
        <v>29</v>
      </c>
      <c r="N903" t="s">
        <v>30</v>
      </c>
      <c r="O903" t="s">
        <v>31</v>
      </c>
      <c r="P903">
        <v>4</v>
      </c>
      <c r="Q903" t="s">
        <v>51</v>
      </c>
      <c r="R903" t="s">
        <v>56</v>
      </c>
      <c r="S903">
        <v>3</v>
      </c>
      <c r="T903">
        <v>0</v>
      </c>
      <c r="U903">
        <v>9</v>
      </c>
      <c r="V903">
        <v>3</v>
      </c>
      <c r="W903">
        <v>6</v>
      </c>
      <c r="X903">
        <v>4</v>
      </c>
      <c r="Y903">
        <v>1</v>
      </c>
      <c r="Z903">
        <v>5</v>
      </c>
      <c r="AA903" t="str">
        <f t="shared" si="78"/>
        <v>Mid Tenure</v>
      </c>
      <c r="AB903" s="5">
        <v>45357</v>
      </c>
      <c r="AC903">
        <f t="shared" si="79"/>
        <v>1</v>
      </c>
      <c r="AD903" t="s">
        <v>38</v>
      </c>
      <c r="AE903">
        <f>VLOOKUP(A903,'Employee Engagement Survey'!A824:B2293,2,FALSE)</f>
        <v>2</v>
      </c>
      <c r="AF903">
        <f>VLOOKUP(A903,'Employee Engagement Survey'!A824:C2293,3,FALSE)</f>
        <v>1</v>
      </c>
      <c r="AG903">
        <f>VLOOKUP(A903,'Employee Engagement Survey'!A824:D2293,4,FALSE)</f>
        <v>4</v>
      </c>
      <c r="AH903">
        <f>VLOOKUP(A903,'Employee Engagement Survey'!A824:E2293,5,FALSE)</f>
        <v>4</v>
      </c>
      <c r="AI903">
        <f t="shared" si="77"/>
        <v>2.75</v>
      </c>
    </row>
    <row r="904" spans="1:35" hidden="1" x14ac:dyDescent="0.4">
      <c r="A904">
        <v>1172</v>
      </c>
      <c r="B904" t="s">
        <v>34</v>
      </c>
      <c r="C904">
        <f t="shared" si="75"/>
        <v>1</v>
      </c>
      <c r="D904" t="s">
        <v>46</v>
      </c>
      <c r="E904">
        <f t="shared" si="76"/>
        <v>0</v>
      </c>
      <c r="F904" t="s">
        <v>28</v>
      </c>
      <c r="G904">
        <v>4</v>
      </c>
      <c r="H904" s="1">
        <v>51096</v>
      </c>
      <c r="I904" s="10">
        <v>0.12</v>
      </c>
      <c r="J904">
        <v>37.5</v>
      </c>
      <c r="K904" t="s">
        <v>34</v>
      </c>
      <c r="L904">
        <v>35</v>
      </c>
      <c r="M904" t="s">
        <v>29</v>
      </c>
      <c r="N904" t="s">
        <v>42</v>
      </c>
      <c r="O904" t="s">
        <v>31</v>
      </c>
      <c r="P904">
        <v>1</v>
      </c>
      <c r="Q904" t="s">
        <v>51</v>
      </c>
      <c r="R904" t="s">
        <v>33</v>
      </c>
      <c r="S904">
        <v>3</v>
      </c>
      <c r="T904">
        <v>1</v>
      </c>
      <c r="U904">
        <v>10</v>
      </c>
      <c r="V904">
        <v>2</v>
      </c>
      <c r="W904">
        <v>8</v>
      </c>
      <c r="X904">
        <v>0</v>
      </c>
      <c r="Y904">
        <v>1</v>
      </c>
      <c r="Z904">
        <v>7</v>
      </c>
      <c r="AA904" t="str">
        <f t="shared" si="78"/>
        <v>Mid Tenure</v>
      </c>
      <c r="AB904" s="5">
        <v>45669</v>
      </c>
      <c r="AC904">
        <f t="shared" si="79"/>
        <v>1</v>
      </c>
      <c r="AD904" t="s">
        <v>49</v>
      </c>
      <c r="AE904">
        <f>VLOOKUP(A904,'Employee Engagement Survey'!A825:B2294,2,FALSE)</f>
        <v>4</v>
      </c>
      <c r="AF904">
        <f>VLOOKUP(A904,'Employee Engagement Survey'!A825:C2294,3,FALSE)</f>
        <v>3</v>
      </c>
      <c r="AG904">
        <f>VLOOKUP(A904,'Employee Engagement Survey'!A825:D2294,4,FALSE)</f>
        <v>2</v>
      </c>
      <c r="AH904">
        <f>VLOOKUP(A904,'Employee Engagement Survey'!A825:E2294,5,FALSE)</f>
        <v>3</v>
      </c>
      <c r="AI904">
        <f t="shared" si="77"/>
        <v>3</v>
      </c>
    </row>
    <row r="905" spans="1:35" hidden="1" x14ac:dyDescent="0.4">
      <c r="A905">
        <v>1173</v>
      </c>
      <c r="B905" t="s">
        <v>34</v>
      </c>
      <c r="C905">
        <f t="shared" si="75"/>
        <v>1</v>
      </c>
      <c r="D905" t="s">
        <v>46</v>
      </c>
      <c r="E905">
        <f t="shared" si="76"/>
        <v>0</v>
      </c>
      <c r="F905" t="s">
        <v>28</v>
      </c>
      <c r="G905">
        <v>6</v>
      </c>
      <c r="H905" s="1">
        <v>67164</v>
      </c>
      <c r="I905" s="10">
        <v>0.22</v>
      </c>
      <c r="J905">
        <v>37.5</v>
      </c>
      <c r="K905" t="s">
        <v>34</v>
      </c>
      <c r="L905">
        <v>24</v>
      </c>
      <c r="M905" t="s">
        <v>29</v>
      </c>
      <c r="N905" t="s">
        <v>30</v>
      </c>
      <c r="O905" t="s">
        <v>31</v>
      </c>
      <c r="P905">
        <v>24</v>
      </c>
      <c r="Q905" t="s">
        <v>43</v>
      </c>
      <c r="R905" t="s">
        <v>33</v>
      </c>
      <c r="S905">
        <v>4</v>
      </c>
      <c r="T905">
        <v>0</v>
      </c>
      <c r="U905">
        <v>6</v>
      </c>
      <c r="V905">
        <v>2</v>
      </c>
      <c r="W905">
        <v>4</v>
      </c>
      <c r="X905">
        <v>3</v>
      </c>
      <c r="Y905">
        <v>1</v>
      </c>
      <c r="Z905">
        <v>2</v>
      </c>
      <c r="AA905" t="str">
        <f t="shared" si="78"/>
        <v>Mid Tenure</v>
      </c>
      <c r="AB905" s="5">
        <v>45302</v>
      </c>
      <c r="AC905">
        <f t="shared" si="79"/>
        <v>1</v>
      </c>
      <c r="AD905" t="s">
        <v>49</v>
      </c>
      <c r="AE905">
        <f>VLOOKUP(A905,'Employee Engagement Survey'!A826:B2295,2,FALSE)</f>
        <v>4</v>
      </c>
      <c r="AF905">
        <f>VLOOKUP(A905,'Employee Engagement Survey'!A826:C2295,3,FALSE)</f>
        <v>2</v>
      </c>
      <c r="AG905">
        <f>VLOOKUP(A905,'Employee Engagement Survey'!A826:D2295,4,FALSE)</f>
        <v>4</v>
      </c>
      <c r="AH905">
        <f>VLOOKUP(A905,'Employee Engagement Survey'!A826:E2295,5,FALSE)</f>
        <v>3</v>
      </c>
      <c r="AI905">
        <f t="shared" si="77"/>
        <v>3.25</v>
      </c>
    </row>
    <row r="906" spans="1:35" hidden="1" x14ac:dyDescent="0.4">
      <c r="A906">
        <v>1177</v>
      </c>
      <c r="B906" t="s">
        <v>34</v>
      </c>
      <c r="C906">
        <f t="shared" si="75"/>
        <v>1</v>
      </c>
      <c r="D906" t="s">
        <v>46</v>
      </c>
      <c r="E906">
        <f t="shared" si="76"/>
        <v>0</v>
      </c>
      <c r="F906" t="s">
        <v>28</v>
      </c>
      <c r="G906">
        <v>6</v>
      </c>
      <c r="H906" s="1">
        <v>65040</v>
      </c>
      <c r="I906" s="10">
        <v>0.22</v>
      </c>
      <c r="J906">
        <v>37.5</v>
      </c>
      <c r="K906" t="s">
        <v>34</v>
      </c>
      <c r="L906">
        <v>26</v>
      </c>
      <c r="M906" t="s">
        <v>29</v>
      </c>
      <c r="N906" t="s">
        <v>42</v>
      </c>
      <c r="O906" t="s">
        <v>31</v>
      </c>
      <c r="P906">
        <v>3</v>
      </c>
      <c r="Q906" t="s">
        <v>51</v>
      </c>
      <c r="R906" t="s">
        <v>33</v>
      </c>
      <c r="S906">
        <v>4</v>
      </c>
      <c r="T906">
        <v>1</v>
      </c>
      <c r="U906">
        <v>8</v>
      </c>
      <c r="V906">
        <v>2</v>
      </c>
      <c r="W906">
        <v>8</v>
      </c>
      <c r="X906">
        <v>7</v>
      </c>
      <c r="Y906">
        <v>0</v>
      </c>
      <c r="Z906">
        <v>7</v>
      </c>
      <c r="AA906" t="str">
        <f t="shared" si="78"/>
        <v>Mid Tenure</v>
      </c>
      <c r="AB906" s="5">
        <v>46004</v>
      </c>
      <c r="AC906">
        <f t="shared" si="79"/>
        <v>1</v>
      </c>
      <c r="AD906" t="s">
        <v>38</v>
      </c>
      <c r="AE906">
        <f>VLOOKUP(A906,'Employee Engagement Survey'!A827:B2296,2,FALSE)</f>
        <v>1</v>
      </c>
      <c r="AF906">
        <f>VLOOKUP(A906,'Employee Engagement Survey'!A827:C2296,3,FALSE)</f>
        <v>4</v>
      </c>
      <c r="AG906">
        <f>VLOOKUP(A906,'Employee Engagement Survey'!A827:D2296,4,FALSE)</f>
        <v>2</v>
      </c>
      <c r="AH906">
        <f>VLOOKUP(A906,'Employee Engagement Survey'!A827:E2296,5,FALSE)</f>
        <v>3</v>
      </c>
      <c r="AI906">
        <f t="shared" si="77"/>
        <v>2.5</v>
      </c>
    </row>
    <row r="907" spans="1:35" hidden="1" x14ac:dyDescent="0.4">
      <c r="A907">
        <v>1179</v>
      </c>
      <c r="B907" t="s">
        <v>34</v>
      </c>
      <c r="C907">
        <f t="shared" si="75"/>
        <v>1</v>
      </c>
      <c r="D907" t="s">
        <v>57</v>
      </c>
      <c r="E907">
        <f t="shared" si="76"/>
        <v>0</v>
      </c>
      <c r="F907" t="s">
        <v>40</v>
      </c>
      <c r="G907">
        <v>8</v>
      </c>
      <c r="H907" s="1">
        <v>90936</v>
      </c>
      <c r="I907" s="10">
        <v>0.18</v>
      </c>
      <c r="J907">
        <v>37.5</v>
      </c>
      <c r="K907" t="s">
        <v>34</v>
      </c>
      <c r="L907">
        <v>30</v>
      </c>
      <c r="M907" t="s">
        <v>29</v>
      </c>
      <c r="N907" t="s">
        <v>42</v>
      </c>
      <c r="O907" t="s">
        <v>31</v>
      </c>
      <c r="P907">
        <v>10</v>
      </c>
      <c r="Q907" t="s">
        <v>43</v>
      </c>
      <c r="R907" t="s">
        <v>56</v>
      </c>
      <c r="S907">
        <v>3</v>
      </c>
      <c r="T907">
        <v>1</v>
      </c>
      <c r="U907">
        <v>10</v>
      </c>
      <c r="V907">
        <v>3</v>
      </c>
      <c r="W907">
        <v>10</v>
      </c>
      <c r="X907">
        <v>3</v>
      </c>
      <c r="Y907">
        <v>1</v>
      </c>
      <c r="Z907">
        <v>4</v>
      </c>
      <c r="AA907" t="str">
        <f t="shared" si="78"/>
        <v>Long Tenure</v>
      </c>
      <c r="AB907" s="5">
        <v>45629</v>
      </c>
      <c r="AC907">
        <f t="shared" si="79"/>
        <v>1</v>
      </c>
      <c r="AD907" t="s">
        <v>38</v>
      </c>
      <c r="AE907">
        <f>VLOOKUP(A907,'Employee Engagement Survey'!A828:B2297,2,FALSE)</f>
        <v>3</v>
      </c>
      <c r="AF907">
        <f>VLOOKUP(A907,'Employee Engagement Survey'!A828:C2297,3,FALSE)</f>
        <v>3</v>
      </c>
      <c r="AG907">
        <f>VLOOKUP(A907,'Employee Engagement Survey'!A828:D2297,4,FALSE)</f>
        <v>1</v>
      </c>
      <c r="AH907">
        <f>VLOOKUP(A907,'Employee Engagement Survey'!A828:E2297,5,FALSE)</f>
        <v>3</v>
      </c>
      <c r="AI907">
        <f t="shared" si="77"/>
        <v>2.5</v>
      </c>
    </row>
    <row r="908" spans="1:35" hidden="1" x14ac:dyDescent="0.4">
      <c r="A908">
        <v>1835</v>
      </c>
      <c r="B908" t="s">
        <v>34</v>
      </c>
      <c r="C908">
        <f t="shared" si="75"/>
        <v>1</v>
      </c>
      <c r="D908" t="s">
        <v>39</v>
      </c>
      <c r="E908">
        <f t="shared" si="76"/>
        <v>0</v>
      </c>
      <c r="F908" t="s">
        <v>40</v>
      </c>
      <c r="G908">
        <v>7</v>
      </c>
      <c r="H908" s="1">
        <v>76860</v>
      </c>
      <c r="I908" s="10">
        <v>0.2</v>
      </c>
      <c r="J908">
        <v>37.5</v>
      </c>
      <c r="K908" t="s">
        <v>26</v>
      </c>
      <c r="L908">
        <v>38</v>
      </c>
      <c r="M908" t="s">
        <v>47</v>
      </c>
      <c r="N908" t="s">
        <v>42</v>
      </c>
      <c r="O908" t="s">
        <v>31</v>
      </c>
      <c r="P908">
        <v>2</v>
      </c>
      <c r="Q908" t="s">
        <v>51</v>
      </c>
      <c r="R908" t="s">
        <v>56</v>
      </c>
      <c r="S908">
        <v>4</v>
      </c>
      <c r="T908">
        <v>2</v>
      </c>
      <c r="U908">
        <v>20</v>
      </c>
      <c r="V908">
        <v>4</v>
      </c>
      <c r="W908">
        <v>4</v>
      </c>
      <c r="X908">
        <v>2</v>
      </c>
      <c r="Y908">
        <v>0</v>
      </c>
      <c r="Z908">
        <v>3</v>
      </c>
      <c r="AA908" t="str">
        <f t="shared" si="78"/>
        <v>Mid Tenure</v>
      </c>
      <c r="AB908" s="5">
        <v>45703</v>
      </c>
      <c r="AC908">
        <f t="shared" si="79"/>
        <v>1</v>
      </c>
      <c r="AD908" t="s">
        <v>38</v>
      </c>
      <c r="AE908">
        <f>VLOOKUP(A908,'Employee Engagement Survey'!A829:B2298,2,FALSE)</f>
        <v>2</v>
      </c>
      <c r="AF908">
        <f>VLOOKUP(A908,'Employee Engagement Survey'!A829:C2298,3,FALSE)</f>
        <v>4</v>
      </c>
      <c r="AG908">
        <f>VLOOKUP(A908,'Employee Engagement Survey'!A829:D2298,4,FALSE)</f>
        <v>1</v>
      </c>
      <c r="AH908">
        <f>VLOOKUP(A908,'Employee Engagement Survey'!A829:E2298,5,FALSE)</f>
        <v>2</v>
      </c>
      <c r="AI908">
        <f t="shared" si="77"/>
        <v>2.25</v>
      </c>
    </row>
    <row r="909" spans="1:35" hidden="1" x14ac:dyDescent="0.4">
      <c r="A909">
        <v>1182</v>
      </c>
      <c r="B909" t="s">
        <v>34</v>
      </c>
      <c r="C909">
        <f t="shared" si="75"/>
        <v>1</v>
      </c>
      <c r="D909" t="s">
        <v>54</v>
      </c>
      <c r="E909">
        <f t="shared" si="76"/>
        <v>1</v>
      </c>
      <c r="F909" t="s">
        <v>28</v>
      </c>
      <c r="G909">
        <v>9</v>
      </c>
      <c r="H909" s="1">
        <v>135288</v>
      </c>
      <c r="I909" s="10">
        <v>0.18</v>
      </c>
      <c r="J909">
        <v>37.5</v>
      </c>
      <c r="K909" t="s">
        <v>34</v>
      </c>
      <c r="L909">
        <v>35</v>
      </c>
      <c r="M909" t="s">
        <v>29</v>
      </c>
      <c r="N909" t="s">
        <v>48</v>
      </c>
      <c r="O909" t="s">
        <v>31</v>
      </c>
      <c r="P909">
        <v>2</v>
      </c>
      <c r="Q909" t="s">
        <v>43</v>
      </c>
      <c r="R909" t="s">
        <v>37</v>
      </c>
      <c r="S909">
        <v>3</v>
      </c>
      <c r="T909">
        <v>1</v>
      </c>
      <c r="U909">
        <v>15</v>
      </c>
      <c r="V909">
        <v>2</v>
      </c>
      <c r="W909">
        <v>7</v>
      </c>
      <c r="X909">
        <v>7</v>
      </c>
      <c r="Y909">
        <v>6</v>
      </c>
      <c r="Z909">
        <v>4</v>
      </c>
      <c r="AA909" t="str">
        <f t="shared" si="78"/>
        <v>Mid Tenure</v>
      </c>
      <c r="AB909" s="5">
        <v>44866</v>
      </c>
      <c r="AC909">
        <f t="shared" si="79"/>
        <v>0</v>
      </c>
      <c r="AD909" t="s">
        <v>49</v>
      </c>
      <c r="AE909">
        <f>VLOOKUP(A909,'Employee Engagement Survey'!A830:B2299,2,FALSE)</f>
        <v>3</v>
      </c>
      <c r="AF909">
        <f>VLOOKUP(A909,'Employee Engagement Survey'!A830:C2299,3,FALSE)</f>
        <v>2</v>
      </c>
      <c r="AG909">
        <f>VLOOKUP(A909,'Employee Engagement Survey'!A830:D2299,4,FALSE)</f>
        <v>2</v>
      </c>
      <c r="AH909">
        <f>VLOOKUP(A909,'Employee Engagement Survey'!A830:E2299,5,FALSE)</f>
        <v>4</v>
      </c>
      <c r="AI909">
        <f t="shared" si="77"/>
        <v>2.75</v>
      </c>
    </row>
    <row r="910" spans="1:35" hidden="1" x14ac:dyDescent="0.4">
      <c r="A910">
        <v>1294</v>
      </c>
      <c r="B910" t="s">
        <v>34</v>
      </c>
      <c r="C910">
        <f t="shared" si="75"/>
        <v>1</v>
      </c>
      <c r="D910" t="s">
        <v>54</v>
      </c>
      <c r="E910">
        <f t="shared" si="76"/>
        <v>1</v>
      </c>
      <c r="F910" t="s">
        <v>28</v>
      </c>
      <c r="G910">
        <v>7</v>
      </c>
      <c r="H910" s="1">
        <v>76920</v>
      </c>
      <c r="I910" s="10">
        <v>0.11</v>
      </c>
      <c r="J910">
        <v>37.5</v>
      </c>
      <c r="K910" t="s">
        <v>26</v>
      </c>
      <c r="L910">
        <v>36</v>
      </c>
      <c r="M910" t="s">
        <v>47</v>
      </c>
      <c r="N910" t="s">
        <v>30</v>
      </c>
      <c r="O910" t="s">
        <v>31</v>
      </c>
      <c r="P910">
        <v>2</v>
      </c>
      <c r="Q910" t="s">
        <v>51</v>
      </c>
      <c r="R910" t="s">
        <v>37</v>
      </c>
      <c r="S910">
        <v>3</v>
      </c>
      <c r="T910">
        <v>0</v>
      </c>
      <c r="U910">
        <v>18</v>
      </c>
      <c r="V910">
        <v>2</v>
      </c>
      <c r="W910">
        <v>16</v>
      </c>
      <c r="X910">
        <v>14</v>
      </c>
      <c r="Y910">
        <v>5</v>
      </c>
      <c r="Z910">
        <v>12</v>
      </c>
      <c r="AA910" t="str">
        <f t="shared" si="78"/>
        <v>Long Tenure</v>
      </c>
      <c r="AB910" s="5">
        <v>45488</v>
      </c>
      <c r="AC910">
        <f t="shared" si="79"/>
        <v>1</v>
      </c>
      <c r="AD910" t="s">
        <v>38</v>
      </c>
      <c r="AE910">
        <f>VLOOKUP(A910,'Employee Engagement Survey'!A831:B2300,2,FALSE)</f>
        <v>3</v>
      </c>
      <c r="AF910">
        <f>VLOOKUP(A910,'Employee Engagement Survey'!A831:C2300,3,FALSE)</f>
        <v>2</v>
      </c>
      <c r="AG910">
        <f>VLOOKUP(A910,'Employee Engagement Survey'!A831:D2300,4,FALSE)</f>
        <v>4</v>
      </c>
      <c r="AH910">
        <f>VLOOKUP(A910,'Employee Engagement Survey'!A831:E2300,5,FALSE)</f>
        <v>3</v>
      </c>
      <c r="AI910">
        <f t="shared" si="77"/>
        <v>3</v>
      </c>
    </row>
    <row r="911" spans="1:35" hidden="1" x14ac:dyDescent="0.4">
      <c r="A911">
        <v>1184</v>
      </c>
      <c r="B911" t="s">
        <v>34</v>
      </c>
      <c r="C911">
        <f t="shared" si="75"/>
        <v>1</v>
      </c>
      <c r="D911" t="s">
        <v>55</v>
      </c>
      <c r="E911">
        <f t="shared" si="76"/>
        <v>0</v>
      </c>
      <c r="F911" t="s">
        <v>28</v>
      </c>
      <c r="G911">
        <v>7</v>
      </c>
      <c r="H911" s="1">
        <v>76116</v>
      </c>
      <c r="I911" s="10">
        <v>0.2</v>
      </c>
      <c r="J911">
        <v>37.5</v>
      </c>
      <c r="K911" t="s">
        <v>34</v>
      </c>
      <c r="L911">
        <v>34</v>
      </c>
      <c r="M911" t="s">
        <v>29</v>
      </c>
      <c r="N911" t="s">
        <v>30</v>
      </c>
      <c r="O911" t="s">
        <v>44</v>
      </c>
      <c r="P911">
        <v>1</v>
      </c>
      <c r="Q911" t="s">
        <v>43</v>
      </c>
      <c r="R911" t="s">
        <v>33</v>
      </c>
      <c r="S911">
        <v>4</v>
      </c>
      <c r="T911">
        <v>0</v>
      </c>
      <c r="U911">
        <v>14</v>
      </c>
      <c r="V911">
        <v>3</v>
      </c>
      <c r="W911">
        <v>13</v>
      </c>
      <c r="X911">
        <v>9</v>
      </c>
      <c r="Y911">
        <v>4</v>
      </c>
      <c r="Z911">
        <v>9</v>
      </c>
      <c r="AA911" t="str">
        <f t="shared" si="78"/>
        <v>Long Tenure</v>
      </c>
      <c r="AB911" s="5">
        <v>44709</v>
      </c>
      <c r="AC911">
        <f t="shared" si="79"/>
        <v>0</v>
      </c>
      <c r="AD911" t="s">
        <v>49</v>
      </c>
      <c r="AE911">
        <f>VLOOKUP(A911,'Employee Engagement Survey'!A832:B2301,2,FALSE)</f>
        <v>4</v>
      </c>
      <c r="AF911">
        <f>VLOOKUP(A911,'Employee Engagement Survey'!A832:C2301,3,FALSE)</f>
        <v>1</v>
      </c>
      <c r="AG911">
        <f>VLOOKUP(A911,'Employee Engagement Survey'!A832:D2301,4,FALSE)</f>
        <v>3</v>
      </c>
      <c r="AH911">
        <f>VLOOKUP(A911,'Employee Engagement Survey'!A832:E2301,5,FALSE)</f>
        <v>3</v>
      </c>
      <c r="AI911">
        <f t="shared" si="77"/>
        <v>2.75</v>
      </c>
    </row>
    <row r="912" spans="1:35" hidden="1" x14ac:dyDescent="0.4">
      <c r="A912">
        <v>1185</v>
      </c>
      <c r="B912" t="s">
        <v>34</v>
      </c>
      <c r="C912">
        <f t="shared" si="75"/>
        <v>1</v>
      </c>
      <c r="D912" t="s">
        <v>46</v>
      </c>
      <c r="E912">
        <f t="shared" si="76"/>
        <v>0</v>
      </c>
      <c r="F912" t="s">
        <v>28</v>
      </c>
      <c r="G912">
        <v>4</v>
      </c>
      <c r="H912" s="1">
        <v>52512</v>
      </c>
      <c r="I912" s="10">
        <v>0.13</v>
      </c>
      <c r="J912">
        <v>37.5</v>
      </c>
      <c r="K912" t="s">
        <v>34</v>
      </c>
      <c r="L912">
        <v>35</v>
      </c>
      <c r="M912" t="s">
        <v>29</v>
      </c>
      <c r="N912" t="s">
        <v>42</v>
      </c>
      <c r="O912" t="s">
        <v>44</v>
      </c>
      <c r="P912">
        <v>4</v>
      </c>
      <c r="Q912" t="s">
        <v>51</v>
      </c>
      <c r="R912" t="s">
        <v>53</v>
      </c>
      <c r="S912">
        <v>3</v>
      </c>
      <c r="T912">
        <v>1</v>
      </c>
      <c r="U912">
        <v>2</v>
      </c>
      <c r="V912">
        <v>2</v>
      </c>
      <c r="W912">
        <v>2</v>
      </c>
      <c r="X912">
        <v>2</v>
      </c>
      <c r="Y912">
        <v>2</v>
      </c>
      <c r="Z912">
        <v>2</v>
      </c>
      <c r="AA912" t="str">
        <f t="shared" si="78"/>
        <v>Early Tenure</v>
      </c>
      <c r="AB912" s="5">
        <v>45968</v>
      </c>
      <c r="AC912">
        <f t="shared" si="79"/>
        <v>1</v>
      </c>
      <c r="AD912" t="s">
        <v>38</v>
      </c>
      <c r="AE912">
        <f>VLOOKUP(A912,'Employee Engagement Survey'!A833:B2302,2,FALSE)</f>
        <v>4</v>
      </c>
      <c r="AF912">
        <f>VLOOKUP(A912,'Employee Engagement Survey'!A833:C2302,3,FALSE)</f>
        <v>4</v>
      </c>
      <c r="AG912">
        <f>VLOOKUP(A912,'Employee Engagement Survey'!A833:D2302,4,FALSE)</f>
        <v>2</v>
      </c>
      <c r="AH912">
        <f>VLOOKUP(A912,'Employee Engagement Survey'!A833:E2302,5,FALSE)</f>
        <v>4</v>
      </c>
      <c r="AI912">
        <f t="shared" si="77"/>
        <v>3.5</v>
      </c>
    </row>
    <row r="913" spans="1:35" hidden="1" x14ac:dyDescent="0.4">
      <c r="A913">
        <v>1193</v>
      </c>
      <c r="B913" t="s">
        <v>34</v>
      </c>
      <c r="C913">
        <f t="shared" si="75"/>
        <v>1</v>
      </c>
      <c r="D913" t="s">
        <v>27</v>
      </c>
      <c r="E913">
        <f t="shared" si="76"/>
        <v>0</v>
      </c>
      <c r="F913" t="s">
        <v>28</v>
      </c>
      <c r="G913">
        <v>4</v>
      </c>
      <c r="H913" s="1">
        <v>54624</v>
      </c>
      <c r="I913" s="10">
        <v>0.25</v>
      </c>
      <c r="J913">
        <v>37.5</v>
      </c>
      <c r="K913" t="s">
        <v>34</v>
      </c>
      <c r="L913">
        <v>19</v>
      </c>
      <c r="M913" t="s">
        <v>29</v>
      </c>
      <c r="N913" t="s">
        <v>30</v>
      </c>
      <c r="O913" t="s">
        <v>31</v>
      </c>
      <c r="P913">
        <v>9</v>
      </c>
      <c r="Q913" t="s">
        <v>36</v>
      </c>
      <c r="R913" t="s">
        <v>37</v>
      </c>
      <c r="S913">
        <v>4</v>
      </c>
      <c r="T913">
        <v>0</v>
      </c>
      <c r="U913">
        <v>1</v>
      </c>
      <c r="V913">
        <v>4</v>
      </c>
      <c r="W913">
        <v>1</v>
      </c>
      <c r="X913">
        <v>1</v>
      </c>
      <c r="Y913">
        <v>0</v>
      </c>
      <c r="Z913">
        <v>0</v>
      </c>
      <c r="AA913" t="str">
        <f t="shared" si="78"/>
        <v>Early Tenure</v>
      </c>
      <c r="AB913" s="5">
        <v>44859</v>
      </c>
      <c r="AC913">
        <f t="shared" si="79"/>
        <v>0</v>
      </c>
      <c r="AD913" t="s">
        <v>38</v>
      </c>
      <c r="AE913">
        <f>VLOOKUP(A913,'Employee Engagement Survey'!A834:B2303,2,FALSE)</f>
        <v>3</v>
      </c>
      <c r="AF913">
        <f>VLOOKUP(A913,'Employee Engagement Survey'!A834:C2303,3,FALSE)</f>
        <v>1</v>
      </c>
      <c r="AG913">
        <f>VLOOKUP(A913,'Employee Engagement Survey'!A834:D2303,4,FALSE)</f>
        <v>3</v>
      </c>
      <c r="AH913">
        <f>VLOOKUP(A913,'Employee Engagement Survey'!A834:E2303,5,FALSE)</f>
        <v>3</v>
      </c>
      <c r="AI913">
        <f t="shared" si="77"/>
        <v>2.5</v>
      </c>
    </row>
    <row r="914" spans="1:35" hidden="1" x14ac:dyDescent="0.4">
      <c r="A914">
        <v>1658</v>
      </c>
      <c r="B914" t="s">
        <v>34</v>
      </c>
      <c r="C914">
        <f t="shared" si="75"/>
        <v>1</v>
      </c>
      <c r="D914" t="s">
        <v>27</v>
      </c>
      <c r="E914">
        <f t="shared" si="76"/>
        <v>0</v>
      </c>
      <c r="F914" t="s">
        <v>28</v>
      </c>
      <c r="G914">
        <v>7</v>
      </c>
      <c r="H914" s="1">
        <v>77196</v>
      </c>
      <c r="I914" s="10">
        <v>0.12</v>
      </c>
      <c r="J914">
        <v>37.5</v>
      </c>
      <c r="K914" t="s">
        <v>34</v>
      </c>
      <c r="L914">
        <v>34</v>
      </c>
      <c r="M914" t="s">
        <v>47</v>
      </c>
      <c r="N914" t="s">
        <v>48</v>
      </c>
      <c r="O914" t="s">
        <v>31</v>
      </c>
      <c r="P914">
        <v>3</v>
      </c>
      <c r="Q914" t="s">
        <v>43</v>
      </c>
      <c r="R914" t="s">
        <v>37</v>
      </c>
      <c r="S914">
        <v>3</v>
      </c>
      <c r="T914">
        <v>1</v>
      </c>
      <c r="U914">
        <v>11</v>
      </c>
      <c r="V914">
        <v>2</v>
      </c>
      <c r="W914">
        <v>11</v>
      </c>
      <c r="X914">
        <v>8</v>
      </c>
      <c r="Y914">
        <v>7</v>
      </c>
      <c r="Z914">
        <v>9</v>
      </c>
      <c r="AA914" t="str">
        <f t="shared" si="78"/>
        <v>Long Tenure</v>
      </c>
      <c r="AB914" s="5">
        <v>44641</v>
      </c>
      <c r="AC914">
        <f t="shared" si="79"/>
        <v>0</v>
      </c>
      <c r="AD914" t="s">
        <v>49</v>
      </c>
      <c r="AE914">
        <f>VLOOKUP(A914,'Employee Engagement Survey'!A835:B2304,2,FALSE)</f>
        <v>4</v>
      </c>
      <c r="AF914">
        <f>VLOOKUP(A914,'Employee Engagement Survey'!A835:C2304,3,FALSE)</f>
        <v>2</v>
      </c>
      <c r="AG914">
        <f>VLOOKUP(A914,'Employee Engagement Survey'!A835:D2304,4,FALSE)</f>
        <v>3</v>
      </c>
      <c r="AH914">
        <f>VLOOKUP(A914,'Employee Engagement Survey'!A835:E2304,5,FALSE)</f>
        <v>3</v>
      </c>
      <c r="AI914">
        <f t="shared" si="77"/>
        <v>3</v>
      </c>
    </row>
    <row r="915" spans="1:35" hidden="1" x14ac:dyDescent="0.4">
      <c r="A915">
        <v>1198</v>
      </c>
      <c r="B915" t="s">
        <v>34</v>
      </c>
      <c r="C915">
        <f t="shared" si="75"/>
        <v>1</v>
      </c>
      <c r="D915" t="s">
        <v>46</v>
      </c>
      <c r="E915">
        <f t="shared" si="76"/>
        <v>0</v>
      </c>
      <c r="F915" t="s">
        <v>28</v>
      </c>
      <c r="G915">
        <v>6</v>
      </c>
      <c r="H915" s="1">
        <v>60396</v>
      </c>
      <c r="I915" s="10">
        <v>0.12</v>
      </c>
      <c r="J915">
        <v>37.5</v>
      </c>
      <c r="K915" t="s">
        <v>34</v>
      </c>
      <c r="L915">
        <v>20</v>
      </c>
      <c r="M915" t="s">
        <v>29</v>
      </c>
      <c r="N915" t="s">
        <v>30</v>
      </c>
      <c r="O915" t="s">
        <v>31</v>
      </c>
      <c r="P915">
        <v>3</v>
      </c>
      <c r="Q915" t="s">
        <v>43</v>
      </c>
      <c r="R915" t="s">
        <v>37</v>
      </c>
      <c r="S915">
        <v>3</v>
      </c>
      <c r="T915">
        <v>0</v>
      </c>
      <c r="U915">
        <v>2</v>
      </c>
      <c r="V915">
        <v>2</v>
      </c>
      <c r="W915">
        <v>2</v>
      </c>
      <c r="X915">
        <v>2</v>
      </c>
      <c r="Y915">
        <v>1</v>
      </c>
      <c r="Z915">
        <v>2</v>
      </c>
      <c r="AA915" t="str">
        <f t="shared" si="78"/>
        <v>Early Tenure</v>
      </c>
      <c r="AB915" s="5">
        <v>45238</v>
      </c>
      <c r="AC915">
        <f t="shared" si="79"/>
        <v>0</v>
      </c>
      <c r="AD915" t="s">
        <v>49</v>
      </c>
      <c r="AE915">
        <f>VLOOKUP(A915,'Employee Engagement Survey'!A836:B2305,2,FALSE)</f>
        <v>1</v>
      </c>
      <c r="AF915">
        <f>VLOOKUP(A915,'Employee Engagement Survey'!A836:C2305,3,FALSE)</f>
        <v>3</v>
      </c>
      <c r="AG915">
        <f>VLOOKUP(A915,'Employee Engagement Survey'!A836:D2305,4,FALSE)</f>
        <v>1</v>
      </c>
      <c r="AH915">
        <f>VLOOKUP(A915,'Employee Engagement Survey'!A836:E2305,5,FALSE)</f>
        <v>2</v>
      </c>
      <c r="AI915">
        <f t="shared" si="77"/>
        <v>1.75</v>
      </c>
    </row>
    <row r="916" spans="1:35" hidden="1" x14ac:dyDescent="0.4">
      <c r="A916">
        <v>68</v>
      </c>
      <c r="B916" t="s">
        <v>34</v>
      </c>
      <c r="C916">
        <f t="shared" si="75"/>
        <v>1</v>
      </c>
      <c r="D916" t="s">
        <v>57</v>
      </c>
      <c r="E916">
        <f t="shared" si="76"/>
        <v>0</v>
      </c>
      <c r="F916" t="s">
        <v>40</v>
      </c>
      <c r="G916">
        <v>7</v>
      </c>
      <c r="H916" s="1">
        <v>77448</v>
      </c>
      <c r="I916" s="10">
        <v>0.21</v>
      </c>
      <c r="J916">
        <v>37.5</v>
      </c>
      <c r="K916" t="s">
        <v>26</v>
      </c>
      <c r="L916">
        <v>44</v>
      </c>
      <c r="M916" t="s">
        <v>47</v>
      </c>
      <c r="N916" t="s">
        <v>48</v>
      </c>
      <c r="O916" t="s">
        <v>31</v>
      </c>
      <c r="P916">
        <v>1</v>
      </c>
      <c r="Q916" t="s">
        <v>58</v>
      </c>
      <c r="R916" t="s">
        <v>56</v>
      </c>
      <c r="S916">
        <v>4</v>
      </c>
      <c r="T916">
        <v>1</v>
      </c>
      <c r="U916">
        <v>9</v>
      </c>
      <c r="V916">
        <v>2</v>
      </c>
      <c r="W916">
        <v>4</v>
      </c>
      <c r="X916">
        <v>3</v>
      </c>
      <c r="Y916">
        <v>1</v>
      </c>
      <c r="Z916">
        <v>3</v>
      </c>
      <c r="AA916" t="str">
        <f t="shared" si="78"/>
        <v>Mid Tenure</v>
      </c>
      <c r="AB916" s="5">
        <v>45290</v>
      </c>
      <c r="AC916">
        <f t="shared" si="79"/>
        <v>0</v>
      </c>
      <c r="AD916" t="s">
        <v>49</v>
      </c>
      <c r="AE916">
        <f>VLOOKUP(A916,'Employee Engagement Survey'!A838:B2307,2,FALSE)</f>
        <v>2</v>
      </c>
      <c r="AF916">
        <f>VLOOKUP(A916,'Employee Engagement Survey'!A838:C2307,3,FALSE)</f>
        <v>1</v>
      </c>
      <c r="AG916">
        <f>VLOOKUP(A916,'Employee Engagement Survey'!A838:D2307,4,FALSE)</f>
        <v>3</v>
      </c>
      <c r="AH916">
        <f>VLOOKUP(A916,'Employee Engagement Survey'!A838:E2307,5,FALSE)</f>
        <v>2</v>
      </c>
      <c r="AI916">
        <f t="shared" si="77"/>
        <v>2</v>
      </c>
    </row>
    <row r="917" spans="1:35" hidden="1" x14ac:dyDescent="0.4">
      <c r="A917">
        <v>1392</v>
      </c>
      <c r="B917" t="s">
        <v>34</v>
      </c>
      <c r="C917">
        <f t="shared" si="75"/>
        <v>1</v>
      </c>
      <c r="D917" t="s">
        <v>27</v>
      </c>
      <c r="E917">
        <f t="shared" si="76"/>
        <v>0</v>
      </c>
      <c r="F917" t="s">
        <v>28</v>
      </c>
      <c r="G917">
        <v>7</v>
      </c>
      <c r="H917" s="1">
        <v>77604</v>
      </c>
      <c r="I917" s="10">
        <v>0.14000000000000001</v>
      </c>
      <c r="J917">
        <v>37.5</v>
      </c>
      <c r="K917" t="s">
        <v>26</v>
      </c>
      <c r="L917">
        <v>41</v>
      </c>
      <c r="M917" t="s">
        <v>47</v>
      </c>
      <c r="N917" t="s">
        <v>48</v>
      </c>
      <c r="O917" t="s">
        <v>44</v>
      </c>
      <c r="P917">
        <v>22</v>
      </c>
      <c r="Q917" t="s">
        <v>43</v>
      </c>
      <c r="R917" t="s">
        <v>37</v>
      </c>
      <c r="S917">
        <v>3</v>
      </c>
      <c r="T917">
        <v>2</v>
      </c>
      <c r="U917">
        <v>12</v>
      </c>
      <c r="V917">
        <v>4</v>
      </c>
      <c r="W917">
        <v>6</v>
      </c>
      <c r="X917">
        <v>2</v>
      </c>
      <c r="Y917">
        <v>3</v>
      </c>
      <c r="Z917">
        <v>3</v>
      </c>
      <c r="AA917" t="str">
        <f t="shared" si="78"/>
        <v>Mid Tenure</v>
      </c>
      <c r="AB917" s="5">
        <v>46015</v>
      </c>
      <c r="AC917">
        <f t="shared" si="79"/>
        <v>1</v>
      </c>
      <c r="AD917" t="s">
        <v>49</v>
      </c>
      <c r="AE917">
        <f>VLOOKUP(A917,'Employee Engagement Survey'!A840:B2309,2,FALSE)</f>
        <v>4</v>
      </c>
      <c r="AF917">
        <f>VLOOKUP(A917,'Employee Engagement Survey'!A840:C2309,3,FALSE)</f>
        <v>4</v>
      </c>
      <c r="AG917">
        <f>VLOOKUP(A917,'Employee Engagement Survey'!A840:D2309,4,FALSE)</f>
        <v>1</v>
      </c>
      <c r="AH917">
        <f>VLOOKUP(A917,'Employee Engagement Survey'!A840:E2309,5,FALSE)</f>
        <v>2</v>
      </c>
      <c r="AI917">
        <f t="shared" si="77"/>
        <v>2.75</v>
      </c>
    </row>
    <row r="918" spans="1:35" hidden="1" x14ac:dyDescent="0.4">
      <c r="A918">
        <v>1206</v>
      </c>
      <c r="B918" t="s">
        <v>34</v>
      </c>
      <c r="C918">
        <f t="shared" si="75"/>
        <v>1</v>
      </c>
      <c r="D918" t="s">
        <v>27</v>
      </c>
      <c r="E918">
        <f t="shared" si="76"/>
        <v>0</v>
      </c>
      <c r="F918" t="s">
        <v>28</v>
      </c>
      <c r="G918">
        <v>4</v>
      </c>
      <c r="H918" s="1">
        <v>51480</v>
      </c>
      <c r="I918" s="10">
        <v>0.13</v>
      </c>
      <c r="J918">
        <v>37.5</v>
      </c>
      <c r="K918" t="s">
        <v>34</v>
      </c>
      <c r="L918">
        <v>44</v>
      </c>
      <c r="M918" t="s">
        <v>29</v>
      </c>
      <c r="N918" t="s">
        <v>30</v>
      </c>
      <c r="O918" t="s">
        <v>35</v>
      </c>
      <c r="P918">
        <v>17</v>
      </c>
      <c r="Q918" t="s">
        <v>43</v>
      </c>
      <c r="R918" t="s">
        <v>37</v>
      </c>
      <c r="S918">
        <v>3</v>
      </c>
      <c r="T918">
        <v>0</v>
      </c>
      <c r="U918">
        <v>6</v>
      </c>
      <c r="V918">
        <v>3</v>
      </c>
      <c r="W918">
        <v>0</v>
      </c>
      <c r="X918">
        <v>0</v>
      </c>
      <c r="Y918">
        <v>0</v>
      </c>
      <c r="Z918">
        <v>0</v>
      </c>
      <c r="AA918" t="str">
        <f t="shared" si="78"/>
        <v>Early Tenure</v>
      </c>
      <c r="AB918" s="5">
        <v>45035</v>
      </c>
      <c r="AC918">
        <f t="shared" si="79"/>
        <v>0</v>
      </c>
      <c r="AD918" t="s">
        <v>38</v>
      </c>
      <c r="AE918">
        <f>VLOOKUP(A918,'Employee Engagement Survey'!A841:B2310,2,FALSE)</f>
        <v>4</v>
      </c>
      <c r="AF918">
        <f>VLOOKUP(A918,'Employee Engagement Survey'!A841:C2310,3,FALSE)</f>
        <v>3</v>
      </c>
      <c r="AG918">
        <f>VLOOKUP(A918,'Employee Engagement Survey'!A841:D2310,4,FALSE)</f>
        <v>4</v>
      </c>
      <c r="AH918">
        <f>VLOOKUP(A918,'Employee Engagement Survey'!A841:E2310,5,FALSE)</f>
        <v>3</v>
      </c>
      <c r="AI918">
        <f t="shared" si="77"/>
        <v>3.5</v>
      </c>
    </row>
    <row r="919" spans="1:35" hidden="1" x14ac:dyDescent="0.4">
      <c r="A919">
        <v>1784</v>
      </c>
      <c r="B919" t="s">
        <v>34</v>
      </c>
      <c r="C919">
        <f t="shared" si="75"/>
        <v>1</v>
      </c>
      <c r="D919" t="s">
        <v>57</v>
      </c>
      <c r="E919">
        <f t="shared" si="76"/>
        <v>0</v>
      </c>
      <c r="F919" t="s">
        <v>40</v>
      </c>
      <c r="G919">
        <v>7</v>
      </c>
      <c r="H919" s="1">
        <v>77616</v>
      </c>
      <c r="I919" s="10">
        <v>0.14000000000000001</v>
      </c>
      <c r="J919">
        <v>37.5</v>
      </c>
      <c r="K919" t="s">
        <v>34</v>
      </c>
      <c r="L919">
        <v>31</v>
      </c>
      <c r="M919" t="s">
        <v>47</v>
      </c>
      <c r="N919" t="s">
        <v>42</v>
      </c>
      <c r="O919" t="s">
        <v>31</v>
      </c>
      <c r="P919">
        <v>29</v>
      </c>
      <c r="Q919" t="s">
        <v>51</v>
      </c>
      <c r="R919" t="s">
        <v>56</v>
      </c>
      <c r="S919">
        <v>3</v>
      </c>
      <c r="T919">
        <v>2</v>
      </c>
      <c r="U919">
        <v>13</v>
      </c>
      <c r="V919">
        <v>3</v>
      </c>
      <c r="W919">
        <v>12</v>
      </c>
      <c r="X919">
        <v>7</v>
      </c>
      <c r="Y919">
        <v>5</v>
      </c>
      <c r="Z919">
        <v>7</v>
      </c>
      <c r="AA919" t="str">
        <f t="shared" si="78"/>
        <v>Long Tenure</v>
      </c>
      <c r="AB919" s="5">
        <v>45645</v>
      </c>
      <c r="AC919">
        <f t="shared" si="79"/>
        <v>1</v>
      </c>
      <c r="AD919" t="s">
        <v>49</v>
      </c>
      <c r="AE919">
        <f>VLOOKUP(A919,'Employee Engagement Survey'!A842:B2311,2,FALSE)</f>
        <v>1</v>
      </c>
      <c r="AF919">
        <f>VLOOKUP(A919,'Employee Engagement Survey'!A842:C2311,3,FALSE)</f>
        <v>4</v>
      </c>
      <c r="AG919">
        <f>VLOOKUP(A919,'Employee Engagement Survey'!A842:D2311,4,FALSE)</f>
        <v>1</v>
      </c>
      <c r="AH919">
        <f>VLOOKUP(A919,'Employee Engagement Survey'!A842:E2311,5,FALSE)</f>
        <v>3</v>
      </c>
      <c r="AI919">
        <f t="shared" si="77"/>
        <v>2.25</v>
      </c>
    </row>
    <row r="920" spans="1:35" hidden="1" x14ac:dyDescent="0.4">
      <c r="A920">
        <v>1207</v>
      </c>
      <c r="B920" t="s">
        <v>34</v>
      </c>
      <c r="C920">
        <f t="shared" si="75"/>
        <v>1</v>
      </c>
      <c r="D920" t="s">
        <v>106</v>
      </c>
      <c r="E920">
        <f t="shared" si="76"/>
        <v>0</v>
      </c>
      <c r="F920" t="s">
        <v>59</v>
      </c>
      <c r="G920">
        <v>6</v>
      </c>
      <c r="H920" s="1">
        <v>67200</v>
      </c>
      <c r="I920" s="10">
        <v>0.13</v>
      </c>
      <c r="J920">
        <v>37.5</v>
      </c>
      <c r="K920" t="s">
        <v>34</v>
      </c>
      <c r="L920">
        <v>33</v>
      </c>
      <c r="M920" t="s">
        <v>29</v>
      </c>
      <c r="N920" t="s">
        <v>42</v>
      </c>
      <c r="O920" t="s">
        <v>31</v>
      </c>
      <c r="P920">
        <v>2</v>
      </c>
      <c r="Q920" t="s">
        <v>43</v>
      </c>
      <c r="R920" t="s">
        <v>59</v>
      </c>
      <c r="S920">
        <v>3</v>
      </c>
      <c r="T920">
        <v>1</v>
      </c>
      <c r="U920">
        <v>5</v>
      </c>
      <c r="V920">
        <v>2</v>
      </c>
      <c r="W920">
        <v>5</v>
      </c>
      <c r="X920">
        <v>4</v>
      </c>
      <c r="Y920">
        <v>1</v>
      </c>
      <c r="Z920">
        <v>4</v>
      </c>
      <c r="AA920" t="str">
        <f t="shared" si="78"/>
        <v>Mid Tenure</v>
      </c>
      <c r="AB920" s="5">
        <v>45061</v>
      </c>
      <c r="AC920">
        <f t="shared" si="79"/>
        <v>0</v>
      </c>
      <c r="AD920" t="s">
        <v>49</v>
      </c>
      <c r="AE920">
        <f>VLOOKUP(A920,'Employee Engagement Survey'!A843:B2312,2,FALSE)</f>
        <v>2</v>
      </c>
      <c r="AF920">
        <f>VLOOKUP(A920,'Employee Engagement Survey'!A843:C2312,3,FALSE)</f>
        <v>3</v>
      </c>
      <c r="AG920">
        <f>VLOOKUP(A920,'Employee Engagement Survey'!A843:D2312,4,FALSE)</f>
        <v>4</v>
      </c>
      <c r="AH920">
        <f>VLOOKUP(A920,'Employee Engagement Survey'!A843:E2312,5,FALSE)</f>
        <v>3</v>
      </c>
      <c r="AI920">
        <f t="shared" si="77"/>
        <v>3</v>
      </c>
    </row>
    <row r="921" spans="1:35" hidden="1" x14ac:dyDescent="0.4">
      <c r="A921">
        <v>91</v>
      </c>
      <c r="B921" t="s">
        <v>34</v>
      </c>
      <c r="C921">
        <f t="shared" si="75"/>
        <v>1</v>
      </c>
      <c r="D921" t="s">
        <v>57</v>
      </c>
      <c r="E921">
        <f t="shared" si="76"/>
        <v>0</v>
      </c>
      <c r="F921" t="s">
        <v>40</v>
      </c>
      <c r="G921">
        <v>7</v>
      </c>
      <c r="H921" s="1">
        <v>77676</v>
      </c>
      <c r="I921" s="10">
        <v>0.11</v>
      </c>
      <c r="J921">
        <v>37.5</v>
      </c>
      <c r="K921" t="s">
        <v>34</v>
      </c>
      <c r="L921">
        <v>59</v>
      </c>
      <c r="M921" t="s">
        <v>47</v>
      </c>
      <c r="N921" t="s">
        <v>30</v>
      </c>
      <c r="O921" t="s">
        <v>44</v>
      </c>
      <c r="P921">
        <v>1</v>
      </c>
      <c r="Q921" t="s">
        <v>32</v>
      </c>
      <c r="R921" t="s">
        <v>37</v>
      </c>
      <c r="S921">
        <v>3</v>
      </c>
      <c r="T921">
        <v>0</v>
      </c>
      <c r="U921">
        <v>20</v>
      </c>
      <c r="V921">
        <v>2</v>
      </c>
      <c r="W921">
        <v>4</v>
      </c>
      <c r="X921">
        <v>3</v>
      </c>
      <c r="Y921">
        <v>1</v>
      </c>
      <c r="Z921">
        <v>3</v>
      </c>
      <c r="AA921" t="str">
        <f t="shared" si="78"/>
        <v>Mid Tenure</v>
      </c>
      <c r="AB921" s="5">
        <v>45106</v>
      </c>
      <c r="AC921">
        <f t="shared" si="79"/>
        <v>0</v>
      </c>
      <c r="AD921" t="s">
        <v>49</v>
      </c>
      <c r="AE921">
        <f>VLOOKUP(A921,'Employee Engagement Survey'!A845:B2314,2,FALSE)</f>
        <v>1</v>
      </c>
      <c r="AF921">
        <f>VLOOKUP(A921,'Employee Engagement Survey'!A845:C2314,3,FALSE)</f>
        <v>3</v>
      </c>
      <c r="AG921">
        <f>VLOOKUP(A921,'Employee Engagement Survey'!A845:D2314,4,FALSE)</f>
        <v>4</v>
      </c>
      <c r="AH921">
        <f>VLOOKUP(A921,'Employee Engagement Survey'!A845:E2314,5,FALSE)</f>
        <v>2</v>
      </c>
      <c r="AI921">
        <f t="shared" si="77"/>
        <v>2.5</v>
      </c>
    </row>
    <row r="922" spans="1:35" hidden="1" x14ac:dyDescent="0.4">
      <c r="A922">
        <v>1211</v>
      </c>
      <c r="B922" t="s">
        <v>34</v>
      </c>
      <c r="C922">
        <f t="shared" si="75"/>
        <v>1</v>
      </c>
      <c r="D922" t="s">
        <v>57</v>
      </c>
      <c r="E922">
        <f t="shared" si="76"/>
        <v>0</v>
      </c>
      <c r="F922" t="s">
        <v>40</v>
      </c>
      <c r="G922">
        <v>6</v>
      </c>
      <c r="H922" s="1">
        <v>61380</v>
      </c>
      <c r="I922" s="10">
        <v>0.19</v>
      </c>
      <c r="J922">
        <v>37.5</v>
      </c>
      <c r="K922" t="s">
        <v>34</v>
      </c>
      <c r="L922">
        <v>30</v>
      </c>
      <c r="M922" t="s">
        <v>29</v>
      </c>
      <c r="N922" t="s">
        <v>48</v>
      </c>
      <c r="O922" t="s">
        <v>31</v>
      </c>
      <c r="P922">
        <v>29</v>
      </c>
      <c r="Q922" t="s">
        <v>51</v>
      </c>
      <c r="R922" t="s">
        <v>37</v>
      </c>
      <c r="S922">
        <v>3</v>
      </c>
      <c r="T922">
        <v>3</v>
      </c>
      <c r="U922">
        <v>8</v>
      </c>
      <c r="V922">
        <v>3</v>
      </c>
      <c r="W922">
        <v>4</v>
      </c>
      <c r="X922">
        <v>3</v>
      </c>
      <c r="Y922">
        <v>0</v>
      </c>
      <c r="Z922">
        <v>3</v>
      </c>
      <c r="AA922" t="str">
        <f t="shared" si="78"/>
        <v>Mid Tenure</v>
      </c>
      <c r="AB922" s="5">
        <v>45618</v>
      </c>
      <c r="AC922">
        <f t="shared" si="79"/>
        <v>1</v>
      </c>
      <c r="AD922" t="s">
        <v>49</v>
      </c>
      <c r="AE922">
        <f>VLOOKUP(A922,'Employee Engagement Survey'!A846:B2315,2,FALSE)</f>
        <v>3</v>
      </c>
      <c r="AF922">
        <f>VLOOKUP(A922,'Employee Engagement Survey'!A846:C2315,3,FALSE)</f>
        <v>1</v>
      </c>
      <c r="AG922">
        <f>VLOOKUP(A922,'Employee Engagement Survey'!A846:D2315,4,FALSE)</f>
        <v>3</v>
      </c>
      <c r="AH922">
        <f>VLOOKUP(A922,'Employee Engagement Survey'!A846:E2315,5,FALSE)</f>
        <v>3</v>
      </c>
      <c r="AI922">
        <f t="shared" si="77"/>
        <v>2.5</v>
      </c>
    </row>
    <row r="923" spans="1:35" hidden="1" x14ac:dyDescent="0.4">
      <c r="A923">
        <v>1673</v>
      </c>
      <c r="B923" t="s">
        <v>34</v>
      </c>
      <c r="C923">
        <f t="shared" si="75"/>
        <v>1</v>
      </c>
      <c r="D923" t="s">
        <v>57</v>
      </c>
      <c r="E923">
        <f t="shared" si="76"/>
        <v>0</v>
      </c>
      <c r="F923" t="s">
        <v>40</v>
      </c>
      <c r="G923">
        <v>7</v>
      </c>
      <c r="H923" s="1">
        <v>77712</v>
      </c>
      <c r="I923" s="10">
        <v>0.11</v>
      </c>
      <c r="J923">
        <v>37.5</v>
      </c>
      <c r="K923" t="s">
        <v>34</v>
      </c>
      <c r="L923">
        <v>31</v>
      </c>
      <c r="M923" t="s">
        <v>47</v>
      </c>
      <c r="N923" t="s">
        <v>42</v>
      </c>
      <c r="O923" t="s">
        <v>31</v>
      </c>
      <c r="P923">
        <v>5</v>
      </c>
      <c r="Q923" t="s">
        <v>51</v>
      </c>
      <c r="R923" t="s">
        <v>37</v>
      </c>
      <c r="S923">
        <v>3</v>
      </c>
      <c r="T923">
        <v>2</v>
      </c>
      <c r="U923">
        <v>10</v>
      </c>
      <c r="V923">
        <v>2</v>
      </c>
      <c r="W923">
        <v>10</v>
      </c>
      <c r="X923">
        <v>0</v>
      </c>
      <c r="Y923">
        <v>0</v>
      </c>
      <c r="Z923">
        <v>2</v>
      </c>
      <c r="AA923" t="str">
        <f t="shared" si="78"/>
        <v>Long Tenure</v>
      </c>
      <c r="AB923" s="5">
        <v>45820</v>
      </c>
      <c r="AC923">
        <f t="shared" si="79"/>
        <v>1</v>
      </c>
      <c r="AD923" t="s">
        <v>38</v>
      </c>
      <c r="AE923">
        <f>VLOOKUP(A923,'Employee Engagement Survey'!A847:B2316,2,FALSE)</f>
        <v>1</v>
      </c>
      <c r="AF923">
        <f>VLOOKUP(A923,'Employee Engagement Survey'!A847:C2316,3,FALSE)</f>
        <v>4</v>
      </c>
      <c r="AG923">
        <f>VLOOKUP(A923,'Employee Engagement Survey'!A847:D2316,4,FALSE)</f>
        <v>1</v>
      </c>
      <c r="AH923">
        <f>VLOOKUP(A923,'Employee Engagement Survey'!A847:E2316,5,FALSE)</f>
        <v>3</v>
      </c>
      <c r="AI923">
        <f t="shared" si="77"/>
        <v>2.25</v>
      </c>
    </row>
    <row r="924" spans="1:35" hidden="1" x14ac:dyDescent="0.4">
      <c r="A924">
        <v>1212</v>
      </c>
      <c r="B924" t="s">
        <v>34</v>
      </c>
      <c r="C924">
        <f t="shared" si="75"/>
        <v>1</v>
      </c>
      <c r="D924" t="s">
        <v>57</v>
      </c>
      <c r="E924">
        <f t="shared" si="76"/>
        <v>0</v>
      </c>
      <c r="F924" t="s">
        <v>40</v>
      </c>
      <c r="G924">
        <v>6</v>
      </c>
      <c r="H924" s="1">
        <v>63924</v>
      </c>
      <c r="I924" s="10">
        <v>0.12</v>
      </c>
      <c r="J924">
        <v>37.5</v>
      </c>
      <c r="K924" t="s">
        <v>34</v>
      </c>
      <c r="L924">
        <v>40</v>
      </c>
      <c r="M924" t="s">
        <v>29</v>
      </c>
      <c r="N924" t="s">
        <v>42</v>
      </c>
      <c r="O924" t="s">
        <v>44</v>
      </c>
      <c r="P924">
        <v>2</v>
      </c>
      <c r="Q924" t="s">
        <v>51</v>
      </c>
      <c r="R924" t="s">
        <v>33</v>
      </c>
      <c r="S924">
        <v>3</v>
      </c>
      <c r="T924">
        <v>3</v>
      </c>
      <c r="U924">
        <v>5</v>
      </c>
      <c r="V924">
        <v>2</v>
      </c>
      <c r="W924">
        <v>0</v>
      </c>
      <c r="X924">
        <v>0</v>
      </c>
      <c r="Y924">
        <v>0</v>
      </c>
      <c r="Z924">
        <v>0</v>
      </c>
      <c r="AA924" t="str">
        <f t="shared" si="78"/>
        <v>Early Tenure</v>
      </c>
      <c r="AB924" s="5">
        <v>44596</v>
      </c>
      <c r="AC924">
        <f t="shared" si="79"/>
        <v>0</v>
      </c>
      <c r="AD924" t="s">
        <v>49</v>
      </c>
      <c r="AE924">
        <f>VLOOKUP(A924,'Employee Engagement Survey'!A848:B2317,2,FALSE)</f>
        <v>2</v>
      </c>
      <c r="AF924">
        <f>VLOOKUP(A924,'Employee Engagement Survey'!A848:C2317,3,FALSE)</f>
        <v>2</v>
      </c>
      <c r="AG924">
        <f>VLOOKUP(A924,'Employee Engagement Survey'!A848:D2317,4,FALSE)</f>
        <v>4</v>
      </c>
      <c r="AH924">
        <f>VLOOKUP(A924,'Employee Engagement Survey'!A848:E2317,5,FALSE)</f>
        <v>3</v>
      </c>
      <c r="AI924">
        <f t="shared" si="77"/>
        <v>2.75</v>
      </c>
    </row>
    <row r="925" spans="1:35" hidden="1" x14ac:dyDescent="0.4">
      <c r="A925">
        <v>1216</v>
      </c>
      <c r="B925" t="s">
        <v>34</v>
      </c>
      <c r="C925">
        <f t="shared" si="75"/>
        <v>1</v>
      </c>
      <c r="D925" t="s">
        <v>46</v>
      </c>
      <c r="E925">
        <f t="shared" si="76"/>
        <v>0</v>
      </c>
      <c r="F925" t="s">
        <v>28</v>
      </c>
      <c r="G925">
        <v>6</v>
      </c>
      <c r="H925" s="1">
        <v>62352</v>
      </c>
      <c r="I925" s="10">
        <v>0.12</v>
      </c>
      <c r="J925">
        <v>37.5</v>
      </c>
      <c r="K925" t="s">
        <v>34</v>
      </c>
      <c r="L925">
        <v>28</v>
      </c>
      <c r="M925" t="s">
        <v>29</v>
      </c>
      <c r="N925" t="s">
        <v>42</v>
      </c>
      <c r="O925" t="s">
        <v>31</v>
      </c>
      <c r="P925">
        <v>19</v>
      </c>
      <c r="Q925" t="s">
        <v>51</v>
      </c>
      <c r="R925" t="s">
        <v>33</v>
      </c>
      <c r="S925">
        <v>3</v>
      </c>
      <c r="T925">
        <v>3</v>
      </c>
      <c r="U925">
        <v>6</v>
      </c>
      <c r="V925">
        <v>2</v>
      </c>
      <c r="W925">
        <v>6</v>
      </c>
      <c r="X925">
        <v>5</v>
      </c>
      <c r="Y925">
        <v>3</v>
      </c>
      <c r="Z925">
        <v>3</v>
      </c>
      <c r="AA925" t="str">
        <f t="shared" si="78"/>
        <v>Mid Tenure</v>
      </c>
      <c r="AB925" s="5">
        <v>45186</v>
      </c>
      <c r="AC925">
        <f t="shared" si="79"/>
        <v>0</v>
      </c>
      <c r="AD925" t="s">
        <v>38</v>
      </c>
      <c r="AE925">
        <f>VLOOKUP(A925,'Employee Engagement Survey'!A849:B2318,2,FALSE)</f>
        <v>4</v>
      </c>
      <c r="AF925">
        <f>VLOOKUP(A925,'Employee Engagement Survey'!A849:C2318,3,FALSE)</f>
        <v>1</v>
      </c>
      <c r="AG925">
        <f>VLOOKUP(A925,'Employee Engagement Survey'!A849:D2318,4,FALSE)</f>
        <v>3</v>
      </c>
      <c r="AH925">
        <f>VLOOKUP(A925,'Employee Engagement Survey'!A849:E2318,5,FALSE)</f>
        <v>3</v>
      </c>
      <c r="AI925">
        <f t="shared" si="77"/>
        <v>2.75</v>
      </c>
    </row>
    <row r="926" spans="1:35" hidden="1" x14ac:dyDescent="0.4">
      <c r="A926">
        <v>1217</v>
      </c>
      <c r="B926" t="s">
        <v>34</v>
      </c>
      <c r="C926">
        <f t="shared" si="75"/>
        <v>1</v>
      </c>
      <c r="D926" t="s">
        <v>60</v>
      </c>
      <c r="E926">
        <f t="shared" si="76"/>
        <v>1</v>
      </c>
      <c r="F926" t="s">
        <v>28</v>
      </c>
      <c r="G926">
        <v>5</v>
      </c>
      <c r="H926" s="1">
        <v>240972</v>
      </c>
      <c r="I926" s="10">
        <v>0.11</v>
      </c>
      <c r="J926">
        <v>37.5</v>
      </c>
      <c r="K926" t="s">
        <v>34</v>
      </c>
      <c r="L926">
        <v>46</v>
      </c>
      <c r="M926" t="s">
        <v>29</v>
      </c>
      <c r="N926" t="s">
        <v>42</v>
      </c>
      <c r="O926" t="s">
        <v>31</v>
      </c>
      <c r="P926">
        <v>15</v>
      </c>
      <c r="Q926" t="s">
        <v>36</v>
      </c>
      <c r="R926" t="s">
        <v>37</v>
      </c>
      <c r="S926">
        <v>3</v>
      </c>
      <c r="T926">
        <v>1</v>
      </c>
      <c r="U926">
        <v>25</v>
      </c>
      <c r="V926">
        <v>2</v>
      </c>
      <c r="W926">
        <v>4</v>
      </c>
      <c r="X926">
        <v>2</v>
      </c>
      <c r="Y926">
        <v>0</v>
      </c>
      <c r="Z926">
        <v>3</v>
      </c>
      <c r="AA926" t="str">
        <f t="shared" si="78"/>
        <v>Mid Tenure</v>
      </c>
      <c r="AB926" s="5">
        <v>45568</v>
      </c>
      <c r="AC926">
        <f t="shared" si="79"/>
        <v>1</v>
      </c>
      <c r="AD926" t="s">
        <v>49</v>
      </c>
      <c r="AE926">
        <f>VLOOKUP(A926,'Employee Engagement Survey'!A850:B2319,2,FALSE)</f>
        <v>4</v>
      </c>
      <c r="AF926">
        <f>VLOOKUP(A926,'Employee Engagement Survey'!A850:C2319,3,FALSE)</f>
        <v>2</v>
      </c>
      <c r="AG926">
        <f>VLOOKUP(A926,'Employee Engagement Survey'!A850:D2319,4,FALSE)</f>
        <v>1</v>
      </c>
      <c r="AH926">
        <f>VLOOKUP(A926,'Employee Engagement Survey'!A850:E2319,5,FALSE)</f>
        <v>3</v>
      </c>
      <c r="AI926">
        <f t="shared" si="77"/>
        <v>2.5</v>
      </c>
    </row>
    <row r="927" spans="1:35" hidden="1" x14ac:dyDescent="0.4">
      <c r="A927">
        <v>799</v>
      </c>
      <c r="B927" t="s">
        <v>34</v>
      </c>
      <c r="C927">
        <f t="shared" si="75"/>
        <v>1</v>
      </c>
      <c r="D927" t="s">
        <v>54</v>
      </c>
      <c r="E927">
        <f t="shared" si="76"/>
        <v>1</v>
      </c>
      <c r="F927" t="s">
        <v>28</v>
      </c>
      <c r="G927">
        <v>7</v>
      </c>
      <c r="H927" s="1">
        <v>77820</v>
      </c>
      <c r="I927" s="10">
        <v>0.11</v>
      </c>
      <c r="J927">
        <v>37.5</v>
      </c>
      <c r="K927" t="s">
        <v>26</v>
      </c>
      <c r="L927">
        <v>54</v>
      </c>
      <c r="M927" t="s">
        <v>47</v>
      </c>
      <c r="N927" t="s">
        <v>48</v>
      </c>
      <c r="O927" t="s">
        <v>31</v>
      </c>
      <c r="P927">
        <v>19</v>
      </c>
      <c r="Q927" t="s">
        <v>51</v>
      </c>
      <c r="R927" t="s">
        <v>33</v>
      </c>
      <c r="S927">
        <v>3</v>
      </c>
      <c r="T927">
        <v>2</v>
      </c>
      <c r="U927">
        <v>9</v>
      </c>
      <c r="V927">
        <v>4</v>
      </c>
      <c r="W927">
        <v>5</v>
      </c>
      <c r="X927">
        <v>3</v>
      </c>
      <c r="Y927">
        <v>1</v>
      </c>
      <c r="Z927">
        <v>4</v>
      </c>
      <c r="AA927" t="str">
        <f t="shared" si="78"/>
        <v>Mid Tenure</v>
      </c>
      <c r="AB927" s="5">
        <v>45423</v>
      </c>
      <c r="AC927">
        <f t="shared" si="79"/>
        <v>1</v>
      </c>
      <c r="AD927" t="s">
        <v>49</v>
      </c>
      <c r="AE927">
        <f>VLOOKUP(A927,'Employee Engagement Survey'!A851:B2320,2,FALSE)</f>
        <v>4</v>
      </c>
      <c r="AF927">
        <f>VLOOKUP(A927,'Employee Engagement Survey'!A851:C2320,3,FALSE)</f>
        <v>1</v>
      </c>
      <c r="AG927">
        <f>VLOOKUP(A927,'Employee Engagement Survey'!A851:D2320,4,FALSE)</f>
        <v>2</v>
      </c>
      <c r="AH927">
        <f>VLOOKUP(A927,'Employee Engagement Survey'!A851:E2320,5,FALSE)</f>
        <v>3</v>
      </c>
      <c r="AI927">
        <f t="shared" si="77"/>
        <v>2.5</v>
      </c>
    </row>
    <row r="928" spans="1:35" hidden="1" x14ac:dyDescent="0.4">
      <c r="A928">
        <v>1218</v>
      </c>
      <c r="B928" t="s">
        <v>34</v>
      </c>
      <c r="C928">
        <f t="shared" si="75"/>
        <v>1</v>
      </c>
      <c r="D928" t="s">
        <v>57</v>
      </c>
      <c r="E928">
        <f t="shared" si="76"/>
        <v>0</v>
      </c>
      <c r="F928" t="s">
        <v>40</v>
      </c>
      <c r="G928">
        <v>9</v>
      </c>
      <c r="H928" s="1">
        <v>119592</v>
      </c>
      <c r="I928" s="10">
        <v>0.15</v>
      </c>
      <c r="J928">
        <v>37.5</v>
      </c>
      <c r="K928" t="s">
        <v>26</v>
      </c>
      <c r="L928">
        <v>35</v>
      </c>
      <c r="M928" t="s">
        <v>29</v>
      </c>
      <c r="N928" t="s">
        <v>42</v>
      </c>
      <c r="O928" t="s">
        <v>31</v>
      </c>
      <c r="P928">
        <v>17</v>
      </c>
      <c r="Q928" t="s">
        <v>51</v>
      </c>
      <c r="R928" t="s">
        <v>37</v>
      </c>
      <c r="S928">
        <v>3</v>
      </c>
      <c r="T928">
        <v>3</v>
      </c>
      <c r="U928">
        <v>15</v>
      </c>
      <c r="V928">
        <v>2</v>
      </c>
      <c r="W928">
        <v>7</v>
      </c>
      <c r="X928">
        <v>7</v>
      </c>
      <c r="Y928">
        <v>1</v>
      </c>
      <c r="Z928">
        <v>7</v>
      </c>
      <c r="AA928" t="str">
        <f t="shared" si="78"/>
        <v>Mid Tenure</v>
      </c>
      <c r="AB928" s="5">
        <v>45672</v>
      </c>
      <c r="AC928">
        <f t="shared" si="79"/>
        <v>1</v>
      </c>
      <c r="AD928" t="s">
        <v>49</v>
      </c>
      <c r="AE928">
        <f>VLOOKUP(A928,'Employee Engagement Survey'!A852:B2321,2,FALSE)</f>
        <v>3</v>
      </c>
      <c r="AF928">
        <f>VLOOKUP(A928,'Employee Engagement Survey'!A852:C2321,3,FALSE)</f>
        <v>1</v>
      </c>
      <c r="AG928">
        <f>VLOOKUP(A928,'Employee Engagement Survey'!A852:D2321,4,FALSE)</f>
        <v>4</v>
      </c>
      <c r="AH928">
        <f>VLOOKUP(A928,'Employee Engagement Survey'!A852:E2321,5,FALSE)</f>
        <v>3</v>
      </c>
      <c r="AI928">
        <f t="shared" si="77"/>
        <v>2.75</v>
      </c>
    </row>
    <row r="929" spans="1:35" hidden="1" x14ac:dyDescent="0.4">
      <c r="A929">
        <v>1221</v>
      </c>
      <c r="B929" t="s">
        <v>34</v>
      </c>
      <c r="C929">
        <f t="shared" si="75"/>
        <v>1</v>
      </c>
      <c r="D929" t="s">
        <v>46</v>
      </c>
      <c r="E929">
        <f t="shared" si="76"/>
        <v>0</v>
      </c>
      <c r="F929" t="s">
        <v>28</v>
      </c>
      <c r="G929">
        <v>5</v>
      </c>
      <c r="H929" s="1">
        <v>56892</v>
      </c>
      <c r="I929" s="10">
        <v>0.14000000000000001</v>
      </c>
      <c r="J929">
        <v>37.5</v>
      </c>
      <c r="K929" t="s">
        <v>34</v>
      </c>
      <c r="L929">
        <v>36</v>
      </c>
      <c r="M929" t="s">
        <v>29</v>
      </c>
      <c r="N929" t="s">
        <v>48</v>
      </c>
      <c r="O929" t="s">
        <v>31</v>
      </c>
      <c r="P929">
        <v>6</v>
      </c>
      <c r="Q929" t="s">
        <v>51</v>
      </c>
      <c r="R929" t="s">
        <v>37</v>
      </c>
      <c r="S929">
        <v>3</v>
      </c>
      <c r="T929">
        <v>1</v>
      </c>
      <c r="U929">
        <v>7</v>
      </c>
      <c r="V929">
        <v>4</v>
      </c>
      <c r="W929">
        <v>7</v>
      </c>
      <c r="X929">
        <v>7</v>
      </c>
      <c r="Y929">
        <v>1</v>
      </c>
      <c r="Z929">
        <v>7</v>
      </c>
      <c r="AA929" t="str">
        <f t="shared" si="78"/>
        <v>Mid Tenure</v>
      </c>
      <c r="AB929" s="5">
        <v>45825</v>
      </c>
      <c r="AC929">
        <f t="shared" si="79"/>
        <v>1</v>
      </c>
      <c r="AD929" t="s">
        <v>38</v>
      </c>
      <c r="AE929">
        <f>VLOOKUP(A929,'Employee Engagement Survey'!A853:B2322,2,FALSE)</f>
        <v>3</v>
      </c>
      <c r="AF929">
        <f>VLOOKUP(A929,'Employee Engagement Survey'!A853:C2322,3,FALSE)</f>
        <v>3</v>
      </c>
      <c r="AG929">
        <f>VLOOKUP(A929,'Employee Engagement Survey'!A853:D2322,4,FALSE)</f>
        <v>3</v>
      </c>
      <c r="AH929">
        <f>VLOOKUP(A929,'Employee Engagement Survey'!A853:E2322,5,FALSE)</f>
        <v>3</v>
      </c>
      <c r="AI929">
        <f t="shared" si="77"/>
        <v>3</v>
      </c>
    </row>
    <row r="930" spans="1:35" hidden="1" x14ac:dyDescent="0.4">
      <c r="A930">
        <v>998</v>
      </c>
      <c r="B930" t="s">
        <v>34</v>
      </c>
      <c r="C930">
        <f t="shared" si="75"/>
        <v>1</v>
      </c>
      <c r="D930" t="s">
        <v>55</v>
      </c>
      <c r="E930">
        <f t="shared" si="76"/>
        <v>0</v>
      </c>
      <c r="F930" t="s">
        <v>28</v>
      </c>
      <c r="G930">
        <v>7</v>
      </c>
      <c r="H930" s="1">
        <v>77856</v>
      </c>
      <c r="I930" s="10">
        <v>0.13</v>
      </c>
      <c r="J930">
        <v>37.5</v>
      </c>
      <c r="K930" t="s">
        <v>26</v>
      </c>
      <c r="L930">
        <v>33</v>
      </c>
      <c r="M930" t="s">
        <v>47</v>
      </c>
      <c r="N930" t="s">
        <v>42</v>
      </c>
      <c r="O930" t="s">
        <v>44</v>
      </c>
      <c r="P930">
        <v>1</v>
      </c>
      <c r="Q930" t="s">
        <v>51</v>
      </c>
      <c r="R930" t="s">
        <v>53</v>
      </c>
      <c r="S930">
        <v>3</v>
      </c>
      <c r="T930">
        <v>1</v>
      </c>
      <c r="U930">
        <v>6</v>
      </c>
      <c r="V930">
        <v>2</v>
      </c>
      <c r="W930">
        <v>6</v>
      </c>
      <c r="X930">
        <v>5</v>
      </c>
      <c r="Y930">
        <v>1</v>
      </c>
      <c r="Z930">
        <v>2</v>
      </c>
      <c r="AA930" t="str">
        <f t="shared" si="78"/>
        <v>Mid Tenure</v>
      </c>
      <c r="AB930" s="5">
        <v>45931</v>
      </c>
      <c r="AC930">
        <f t="shared" si="79"/>
        <v>1</v>
      </c>
      <c r="AD930" t="s">
        <v>49</v>
      </c>
      <c r="AE930">
        <f>VLOOKUP(A930,'Employee Engagement Survey'!A854:B2323,2,FALSE)</f>
        <v>3</v>
      </c>
      <c r="AF930">
        <f>VLOOKUP(A930,'Employee Engagement Survey'!A854:C2323,3,FALSE)</f>
        <v>2</v>
      </c>
      <c r="AG930">
        <f>VLOOKUP(A930,'Employee Engagement Survey'!A854:D2323,4,FALSE)</f>
        <v>1</v>
      </c>
      <c r="AH930">
        <f>VLOOKUP(A930,'Employee Engagement Survey'!A854:E2323,5,FALSE)</f>
        <v>3</v>
      </c>
      <c r="AI930">
        <f t="shared" si="77"/>
        <v>2.25</v>
      </c>
    </row>
    <row r="931" spans="1:35" hidden="1" x14ac:dyDescent="0.4">
      <c r="A931">
        <v>1224</v>
      </c>
      <c r="B931" t="s">
        <v>34</v>
      </c>
      <c r="C931">
        <f t="shared" si="75"/>
        <v>1</v>
      </c>
      <c r="D931" t="s">
        <v>46</v>
      </c>
      <c r="E931">
        <f t="shared" si="76"/>
        <v>0</v>
      </c>
      <c r="F931" t="s">
        <v>28</v>
      </c>
      <c r="G931">
        <v>6</v>
      </c>
      <c r="H931" s="1">
        <v>65892</v>
      </c>
      <c r="I931" s="10">
        <v>0.13</v>
      </c>
      <c r="J931">
        <v>37.5</v>
      </c>
      <c r="K931" t="s">
        <v>34</v>
      </c>
      <c r="L931">
        <v>30</v>
      </c>
      <c r="M931" t="s">
        <v>29</v>
      </c>
      <c r="N931" t="s">
        <v>48</v>
      </c>
      <c r="O931" t="s">
        <v>31</v>
      </c>
      <c r="P931">
        <v>7</v>
      </c>
      <c r="Q931" t="s">
        <v>51</v>
      </c>
      <c r="R931" t="s">
        <v>37</v>
      </c>
      <c r="S931">
        <v>3</v>
      </c>
      <c r="T931">
        <v>3</v>
      </c>
      <c r="U931">
        <v>10</v>
      </c>
      <c r="V931">
        <v>4</v>
      </c>
      <c r="W931">
        <v>10</v>
      </c>
      <c r="X931">
        <v>7</v>
      </c>
      <c r="Y931">
        <v>8</v>
      </c>
      <c r="Z931">
        <v>9</v>
      </c>
      <c r="AA931" t="str">
        <f t="shared" si="78"/>
        <v>Long Tenure</v>
      </c>
      <c r="AB931" s="5">
        <v>44708</v>
      </c>
      <c r="AC931">
        <f t="shared" si="79"/>
        <v>0</v>
      </c>
      <c r="AD931" t="s">
        <v>49</v>
      </c>
      <c r="AE931">
        <f>VLOOKUP(A931,'Employee Engagement Survey'!A855:B2324,2,FALSE)</f>
        <v>3</v>
      </c>
      <c r="AF931">
        <f>VLOOKUP(A931,'Employee Engagement Survey'!A855:C2324,3,FALSE)</f>
        <v>3</v>
      </c>
      <c r="AG931">
        <f>VLOOKUP(A931,'Employee Engagement Survey'!A855:D2324,4,FALSE)</f>
        <v>1</v>
      </c>
      <c r="AH931">
        <f>VLOOKUP(A931,'Employee Engagement Survey'!A855:E2324,5,FALSE)</f>
        <v>2</v>
      </c>
      <c r="AI931">
        <f t="shared" si="77"/>
        <v>2.25</v>
      </c>
    </row>
    <row r="932" spans="1:35" hidden="1" x14ac:dyDescent="0.4">
      <c r="A932">
        <v>1225</v>
      </c>
      <c r="B932" t="s">
        <v>34</v>
      </c>
      <c r="C932">
        <f t="shared" si="75"/>
        <v>1</v>
      </c>
      <c r="D932" t="s">
        <v>27</v>
      </c>
      <c r="E932">
        <f t="shared" si="76"/>
        <v>0</v>
      </c>
      <c r="F932" t="s">
        <v>28</v>
      </c>
      <c r="G932">
        <v>6</v>
      </c>
      <c r="H932" s="1">
        <v>66492</v>
      </c>
      <c r="I932" s="10">
        <v>0.25</v>
      </c>
      <c r="J932">
        <v>37.5</v>
      </c>
      <c r="K932" t="s">
        <v>34</v>
      </c>
      <c r="L932">
        <v>44</v>
      </c>
      <c r="M932" t="s">
        <v>29</v>
      </c>
      <c r="N932" t="s">
        <v>30</v>
      </c>
      <c r="O932" t="s">
        <v>31</v>
      </c>
      <c r="P932">
        <v>29</v>
      </c>
      <c r="Q932" t="s">
        <v>51</v>
      </c>
      <c r="R932" t="s">
        <v>53</v>
      </c>
      <c r="S932">
        <v>4</v>
      </c>
      <c r="T932">
        <v>0</v>
      </c>
      <c r="U932">
        <v>20</v>
      </c>
      <c r="V932">
        <v>3</v>
      </c>
      <c r="W932">
        <v>20</v>
      </c>
      <c r="X932">
        <v>11</v>
      </c>
      <c r="Y932">
        <v>13</v>
      </c>
      <c r="Z932">
        <v>17</v>
      </c>
      <c r="AA932" t="str">
        <f t="shared" si="78"/>
        <v>Long Tenure</v>
      </c>
      <c r="AB932" s="5">
        <v>45874</v>
      </c>
      <c r="AC932">
        <f t="shared" si="79"/>
        <v>1</v>
      </c>
      <c r="AD932" t="s">
        <v>49</v>
      </c>
      <c r="AE932">
        <f>VLOOKUP(A932,'Employee Engagement Survey'!A856:B2325,2,FALSE)</f>
        <v>4</v>
      </c>
      <c r="AF932">
        <f>VLOOKUP(A932,'Employee Engagement Survey'!A856:C2325,3,FALSE)</f>
        <v>4</v>
      </c>
      <c r="AG932">
        <f>VLOOKUP(A932,'Employee Engagement Survey'!A856:D2325,4,FALSE)</f>
        <v>2</v>
      </c>
      <c r="AH932">
        <f>VLOOKUP(A932,'Employee Engagement Survey'!A856:E2325,5,FALSE)</f>
        <v>3</v>
      </c>
      <c r="AI932">
        <f t="shared" si="77"/>
        <v>3.25</v>
      </c>
    </row>
    <row r="933" spans="1:35" hidden="1" x14ac:dyDescent="0.4">
      <c r="A933">
        <v>1226</v>
      </c>
      <c r="B933" t="s">
        <v>34</v>
      </c>
      <c r="C933">
        <f t="shared" si="75"/>
        <v>1</v>
      </c>
      <c r="D933" t="s">
        <v>39</v>
      </c>
      <c r="E933">
        <f t="shared" si="76"/>
        <v>0</v>
      </c>
      <c r="F933" t="s">
        <v>40</v>
      </c>
      <c r="G933">
        <v>5</v>
      </c>
      <c r="H933" s="1">
        <v>56136</v>
      </c>
      <c r="I933" s="10">
        <v>0.17</v>
      </c>
      <c r="J933">
        <v>37.5</v>
      </c>
      <c r="K933" t="s">
        <v>34</v>
      </c>
      <c r="L933">
        <v>20</v>
      </c>
      <c r="M933" t="s">
        <v>29</v>
      </c>
      <c r="N933" t="s">
        <v>30</v>
      </c>
      <c r="O933" t="s">
        <v>31</v>
      </c>
      <c r="P933">
        <v>21</v>
      </c>
      <c r="Q933" t="s">
        <v>43</v>
      </c>
      <c r="R933" t="s">
        <v>56</v>
      </c>
      <c r="S933">
        <v>3</v>
      </c>
      <c r="T933">
        <v>0</v>
      </c>
      <c r="U933">
        <v>2</v>
      </c>
      <c r="V933">
        <v>2</v>
      </c>
      <c r="W933">
        <v>2</v>
      </c>
      <c r="X933">
        <v>1</v>
      </c>
      <c r="Y933">
        <v>2</v>
      </c>
      <c r="Z933">
        <v>2</v>
      </c>
      <c r="AA933" t="str">
        <f t="shared" si="78"/>
        <v>Early Tenure</v>
      </c>
      <c r="AB933" s="5">
        <v>45667</v>
      </c>
      <c r="AC933">
        <f t="shared" si="79"/>
        <v>1</v>
      </c>
      <c r="AD933" t="s">
        <v>49</v>
      </c>
      <c r="AE933">
        <f>VLOOKUP(A933,'Employee Engagement Survey'!A857:B2326,2,FALSE)</f>
        <v>3</v>
      </c>
      <c r="AF933">
        <f>VLOOKUP(A933,'Employee Engagement Survey'!A857:C2326,3,FALSE)</f>
        <v>4</v>
      </c>
      <c r="AG933">
        <f>VLOOKUP(A933,'Employee Engagement Survey'!A857:D2326,4,FALSE)</f>
        <v>4</v>
      </c>
      <c r="AH933">
        <f>VLOOKUP(A933,'Employee Engagement Survey'!A857:E2326,5,FALSE)</f>
        <v>3</v>
      </c>
      <c r="AI933">
        <f t="shared" si="77"/>
        <v>3.5</v>
      </c>
    </row>
    <row r="934" spans="1:35" hidden="1" x14ac:dyDescent="0.4">
      <c r="A934">
        <v>690</v>
      </c>
      <c r="B934" t="s">
        <v>34</v>
      </c>
      <c r="C934">
        <f t="shared" si="75"/>
        <v>1</v>
      </c>
      <c r="D934" t="s">
        <v>57</v>
      </c>
      <c r="E934">
        <f t="shared" si="76"/>
        <v>0</v>
      </c>
      <c r="F934" t="s">
        <v>40</v>
      </c>
      <c r="G934">
        <v>7</v>
      </c>
      <c r="H934" s="1">
        <v>78732</v>
      </c>
      <c r="I934" s="10">
        <v>0.14000000000000001</v>
      </c>
      <c r="J934">
        <v>37.5</v>
      </c>
      <c r="K934" t="s">
        <v>34</v>
      </c>
      <c r="L934">
        <v>29</v>
      </c>
      <c r="M934" t="s">
        <v>47</v>
      </c>
      <c r="N934" t="s">
        <v>42</v>
      </c>
      <c r="O934" t="s">
        <v>31</v>
      </c>
      <c r="P934">
        <v>3</v>
      </c>
      <c r="Q934" t="s">
        <v>36</v>
      </c>
      <c r="R934" t="s">
        <v>33</v>
      </c>
      <c r="S934">
        <v>3</v>
      </c>
      <c r="T934">
        <v>1</v>
      </c>
      <c r="U934">
        <v>6</v>
      </c>
      <c r="V934">
        <v>5</v>
      </c>
      <c r="W934">
        <v>6</v>
      </c>
      <c r="X934">
        <v>0</v>
      </c>
      <c r="Y934">
        <v>1</v>
      </c>
      <c r="Z934">
        <v>2</v>
      </c>
      <c r="AA934" t="str">
        <f t="shared" si="78"/>
        <v>Mid Tenure</v>
      </c>
      <c r="AB934" s="5">
        <v>45562</v>
      </c>
      <c r="AC934">
        <f t="shared" si="79"/>
        <v>1</v>
      </c>
      <c r="AD934" t="s">
        <v>49</v>
      </c>
      <c r="AE934">
        <f>VLOOKUP(A934,'Employee Engagement Survey'!A858:B2327,2,FALSE)</f>
        <v>2</v>
      </c>
      <c r="AF934">
        <f>VLOOKUP(A934,'Employee Engagement Survey'!A858:C2327,3,FALSE)</f>
        <v>3</v>
      </c>
      <c r="AG934">
        <f>VLOOKUP(A934,'Employee Engagement Survey'!A858:D2327,4,FALSE)</f>
        <v>1</v>
      </c>
      <c r="AH934">
        <f>VLOOKUP(A934,'Employee Engagement Survey'!A858:E2327,5,FALSE)</f>
        <v>2</v>
      </c>
      <c r="AI934">
        <f t="shared" si="77"/>
        <v>2</v>
      </c>
    </row>
    <row r="935" spans="1:35" hidden="1" x14ac:dyDescent="0.4">
      <c r="A935">
        <v>1228</v>
      </c>
      <c r="B935" t="s">
        <v>34</v>
      </c>
      <c r="C935">
        <f t="shared" si="75"/>
        <v>1</v>
      </c>
      <c r="D935" t="s">
        <v>54</v>
      </c>
      <c r="E935">
        <f t="shared" si="76"/>
        <v>1</v>
      </c>
      <c r="F935" t="s">
        <v>28</v>
      </c>
      <c r="G935">
        <v>9</v>
      </c>
      <c r="H935" s="1">
        <v>100548</v>
      </c>
      <c r="I935" s="10">
        <v>0.11</v>
      </c>
      <c r="J935">
        <v>37.5</v>
      </c>
      <c r="K935" t="s">
        <v>34</v>
      </c>
      <c r="L935">
        <v>46</v>
      </c>
      <c r="M935" t="s">
        <v>29</v>
      </c>
      <c r="N935" t="s">
        <v>48</v>
      </c>
      <c r="O935" t="s">
        <v>31</v>
      </c>
      <c r="P935">
        <v>2</v>
      </c>
      <c r="Q935" t="s">
        <v>51</v>
      </c>
      <c r="R935" t="s">
        <v>45</v>
      </c>
      <c r="S935">
        <v>3</v>
      </c>
      <c r="T935">
        <v>1</v>
      </c>
      <c r="U935">
        <v>12</v>
      </c>
      <c r="V935">
        <v>3</v>
      </c>
      <c r="W935">
        <v>6</v>
      </c>
      <c r="X935">
        <v>3</v>
      </c>
      <c r="Y935">
        <v>1</v>
      </c>
      <c r="Z935">
        <v>4</v>
      </c>
      <c r="AA935" t="str">
        <f t="shared" si="78"/>
        <v>Mid Tenure</v>
      </c>
      <c r="AB935" s="5">
        <v>45813</v>
      </c>
      <c r="AC935">
        <f t="shared" si="79"/>
        <v>1</v>
      </c>
      <c r="AD935" t="s">
        <v>38</v>
      </c>
      <c r="AE935">
        <f>VLOOKUP(A935,'Employee Engagement Survey'!A859:B2328,2,FALSE)</f>
        <v>4</v>
      </c>
      <c r="AF935">
        <f>VLOOKUP(A935,'Employee Engagement Survey'!A859:C2328,3,FALSE)</f>
        <v>4</v>
      </c>
      <c r="AG935">
        <f>VLOOKUP(A935,'Employee Engagement Survey'!A859:D2328,4,FALSE)</f>
        <v>3</v>
      </c>
      <c r="AH935">
        <f>VLOOKUP(A935,'Employee Engagement Survey'!A859:E2328,5,FALSE)</f>
        <v>2</v>
      </c>
      <c r="AI935">
        <f t="shared" si="77"/>
        <v>3.25</v>
      </c>
    </row>
    <row r="936" spans="1:35" hidden="1" x14ac:dyDescent="0.4">
      <c r="A936">
        <v>902</v>
      </c>
      <c r="B936" t="s">
        <v>34</v>
      </c>
      <c r="C936">
        <f t="shared" si="75"/>
        <v>1</v>
      </c>
      <c r="D936" t="s">
        <v>55</v>
      </c>
      <c r="E936">
        <f t="shared" si="76"/>
        <v>0</v>
      </c>
      <c r="F936" t="s">
        <v>28</v>
      </c>
      <c r="G936">
        <v>7</v>
      </c>
      <c r="H936" s="1">
        <v>78744</v>
      </c>
      <c r="I936" s="10">
        <v>0.13</v>
      </c>
      <c r="J936">
        <v>37.5</v>
      </c>
      <c r="K936" t="s">
        <v>34</v>
      </c>
      <c r="L936">
        <v>43</v>
      </c>
      <c r="M936" t="s">
        <v>47</v>
      </c>
      <c r="N936" t="s">
        <v>42</v>
      </c>
      <c r="O936" t="s">
        <v>44</v>
      </c>
      <c r="P936">
        <v>1</v>
      </c>
      <c r="Q936" t="s">
        <v>43</v>
      </c>
      <c r="R936" t="s">
        <v>37</v>
      </c>
      <c r="S936">
        <v>3</v>
      </c>
      <c r="T936">
        <v>1</v>
      </c>
      <c r="U936">
        <v>12</v>
      </c>
      <c r="V936">
        <v>2</v>
      </c>
      <c r="W936">
        <v>5</v>
      </c>
      <c r="X936">
        <v>2</v>
      </c>
      <c r="Y936">
        <v>2</v>
      </c>
      <c r="Z936">
        <v>2</v>
      </c>
      <c r="AA936" t="str">
        <f t="shared" si="78"/>
        <v>Mid Tenure</v>
      </c>
      <c r="AB936" s="5">
        <v>45344</v>
      </c>
      <c r="AC936">
        <f t="shared" si="79"/>
        <v>1</v>
      </c>
      <c r="AD936" t="s">
        <v>49</v>
      </c>
      <c r="AE936">
        <f>VLOOKUP(A936,'Employee Engagement Survey'!A860:B2329,2,FALSE)</f>
        <v>4</v>
      </c>
      <c r="AF936">
        <f>VLOOKUP(A936,'Employee Engagement Survey'!A860:C2329,3,FALSE)</f>
        <v>4</v>
      </c>
      <c r="AG936">
        <f>VLOOKUP(A936,'Employee Engagement Survey'!A860:D2329,4,FALSE)</f>
        <v>2</v>
      </c>
      <c r="AH936">
        <f>VLOOKUP(A936,'Employee Engagement Survey'!A860:E2329,5,FALSE)</f>
        <v>2</v>
      </c>
      <c r="AI936">
        <f t="shared" si="77"/>
        <v>3</v>
      </c>
    </row>
    <row r="937" spans="1:35" hidden="1" x14ac:dyDescent="0.4">
      <c r="A937">
        <v>1231</v>
      </c>
      <c r="B937" t="s">
        <v>34</v>
      </c>
      <c r="C937">
        <f t="shared" si="75"/>
        <v>1</v>
      </c>
      <c r="D937" t="s">
        <v>105</v>
      </c>
      <c r="E937">
        <f t="shared" si="76"/>
        <v>0</v>
      </c>
      <c r="F937" t="s">
        <v>59</v>
      </c>
      <c r="G937">
        <v>8</v>
      </c>
      <c r="H937" s="1">
        <v>87264</v>
      </c>
      <c r="I937" s="10">
        <v>0.16</v>
      </c>
      <c r="J937">
        <v>37.5</v>
      </c>
      <c r="K937" t="s">
        <v>34</v>
      </c>
      <c r="L937">
        <v>42</v>
      </c>
      <c r="M937" t="s">
        <v>29</v>
      </c>
      <c r="N937" t="s">
        <v>42</v>
      </c>
      <c r="O937" t="s">
        <v>35</v>
      </c>
      <c r="P937">
        <v>2</v>
      </c>
      <c r="Q937" t="s">
        <v>58</v>
      </c>
      <c r="R937" t="s">
        <v>33</v>
      </c>
      <c r="S937">
        <v>3</v>
      </c>
      <c r="T937">
        <v>1</v>
      </c>
      <c r="U937">
        <v>10</v>
      </c>
      <c r="V937">
        <v>3</v>
      </c>
      <c r="W937">
        <v>4</v>
      </c>
      <c r="X937">
        <v>3</v>
      </c>
      <c r="Y937">
        <v>0</v>
      </c>
      <c r="Z937">
        <v>3</v>
      </c>
      <c r="AA937" t="str">
        <f t="shared" si="78"/>
        <v>Mid Tenure</v>
      </c>
      <c r="AB937" s="5">
        <v>44773</v>
      </c>
      <c r="AC937">
        <f t="shared" si="79"/>
        <v>0</v>
      </c>
      <c r="AD937" t="s">
        <v>38</v>
      </c>
      <c r="AE937">
        <f>VLOOKUP(A937,'Employee Engagement Survey'!A861:B2330,2,FALSE)</f>
        <v>4</v>
      </c>
      <c r="AF937">
        <f>VLOOKUP(A937,'Employee Engagement Survey'!A861:C2330,3,FALSE)</f>
        <v>1</v>
      </c>
      <c r="AG937">
        <f>VLOOKUP(A937,'Employee Engagement Survey'!A861:D2330,4,FALSE)</f>
        <v>1</v>
      </c>
      <c r="AH937">
        <f>VLOOKUP(A937,'Employee Engagement Survey'!A861:E2330,5,FALSE)</f>
        <v>4</v>
      </c>
      <c r="AI937">
        <f t="shared" si="77"/>
        <v>2.5</v>
      </c>
    </row>
    <row r="938" spans="1:35" hidden="1" x14ac:dyDescent="0.4">
      <c r="A938">
        <v>1233</v>
      </c>
      <c r="B938" t="s">
        <v>34</v>
      </c>
      <c r="C938">
        <f t="shared" si="75"/>
        <v>1</v>
      </c>
      <c r="D938" t="s">
        <v>57</v>
      </c>
      <c r="E938">
        <f t="shared" si="76"/>
        <v>0</v>
      </c>
      <c r="F938" t="s">
        <v>40</v>
      </c>
      <c r="G938">
        <v>7</v>
      </c>
      <c r="H938" s="1">
        <v>74640</v>
      </c>
      <c r="I938" s="10">
        <v>0.18</v>
      </c>
      <c r="J938">
        <v>37.5</v>
      </c>
      <c r="K938" t="s">
        <v>26</v>
      </c>
      <c r="L938">
        <v>60</v>
      </c>
      <c r="M938" t="s">
        <v>29</v>
      </c>
      <c r="N938" t="s">
        <v>48</v>
      </c>
      <c r="O938" t="s">
        <v>31</v>
      </c>
      <c r="P938">
        <v>7</v>
      </c>
      <c r="Q938" t="s">
        <v>51</v>
      </c>
      <c r="R938" t="s">
        <v>56</v>
      </c>
      <c r="S938">
        <v>3</v>
      </c>
      <c r="T938">
        <v>1</v>
      </c>
      <c r="U938">
        <v>12</v>
      </c>
      <c r="V938">
        <v>3</v>
      </c>
      <c r="W938">
        <v>11</v>
      </c>
      <c r="X938">
        <v>7</v>
      </c>
      <c r="Y938">
        <v>1</v>
      </c>
      <c r="Z938">
        <v>9</v>
      </c>
      <c r="AA938" t="str">
        <f t="shared" si="78"/>
        <v>Long Tenure</v>
      </c>
      <c r="AB938" s="5">
        <v>45746</v>
      </c>
      <c r="AC938">
        <f t="shared" si="79"/>
        <v>1</v>
      </c>
      <c r="AD938" t="s">
        <v>38</v>
      </c>
      <c r="AE938">
        <f>VLOOKUP(A938,'Employee Engagement Survey'!A862:B2331,2,FALSE)</f>
        <v>2</v>
      </c>
      <c r="AF938">
        <f>VLOOKUP(A938,'Employee Engagement Survey'!A862:C2331,3,FALSE)</f>
        <v>4</v>
      </c>
      <c r="AG938">
        <f>VLOOKUP(A938,'Employee Engagement Survey'!A862:D2331,4,FALSE)</f>
        <v>2</v>
      </c>
      <c r="AH938">
        <f>VLOOKUP(A938,'Employee Engagement Survey'!A862:E2331,5,FALSE)</f>
        <v>3</v>
      </c>
      <c r="AI938">
        <f t="shared" si="77"/>
        <v>2.75</v>
      </c>
    </row>
    <row r="939" spans="1:35" hidden="1" x14ac:dyDescent="0.4">
      <c r="A939">
        <v>1238</v>
      </c>
      <c r="B939" t="s">
        <v>34</v>
      </c>
      <c r="C939">
        <f t="shared" si="75"/>
        <v>1</v>
      </c>
      <c r="D939" t="s">
        <v>27</v>
      </c>
      <c r="E939">
        <f t="shared" si="76"/>
        <v>0</v>
      </c>
      <c r="F939" t="s">
        <v>28</v>
      </c>
      <c r="G939">
        <v>5</v>
      </c>
      <c r="H939" s="1">
        <v>57372</v>
      </c>
      <c r="I939" s="10">
        <v>0.13</v>
      </c>
      <c r="J939">
        <v>37.5</v>
      </c>
      <c r="K939" t="s">
        <v>34</v>
      </c>
      <c r="L939">
        <v>33</v>
      </c>
      <c r="M939" t="s">
        <v>29</v>
      </c>
      <c r="N939" t="s">
        <v>42</v>
      </c>
      <c r="O939" t="s">
        <v>31</v>
      </c>
      <c r="P939">
        <v>9</v>
      </c>
      <c r="Q939" t="s">
        <v>43</v>
      </c>
      <c r="R939" t="s">
        <v>33</v>
      </c>
      <c r="S939">
        <v>3</v>
      </c>
      <c r="T939">
        <v>1</v>
      </c>
      <c r="U939">
        <v>15</v>
      </c>
      <c r="V939">
        <v>5</v>
      </c>
      <c r="W939">
        <v>14</v>
      </c>
      <c r="X939">
        <v>10</v>
      </c>
      <c r="Y939">
        <v>4</v>
      </c>
      <c r="Z939">
        <v>10</v>
      </c>
      <c r="AA939" t="str">
        <f t="shared" si="78"/>
        <v>Long Tenure</v>
      </c>
      <c r="AB939" s="5">
        <v>44839</v>
      </c>
      <c r="AC939">
        <f t="shared" si="79"/>
        <v>0</v>
      </c>
      <c r="AD939" t="s">
        <v>38</v>
      </c>
      <c r="AE939">
        <f>VLOOKUP(A939,'Employee Engagement Survey'!A863:B2332,2,FALSE)</f>
        <v>1</v>
      </c>
      <c r="AF939">
        <f>VLOOKUP(A939,'Employee Engagement Survey'!A863:C2332,3,FALSE)</f>
        <v>4</v>
      </c>
      <c r="AG939">
        <f>VLOOKUP(A939,'Employee Engagement Survey'!A863:D2332,4,FALSE)</f>
        <v>2</v>
      </c>
      <c r="AH939">
        <f>VLOOKUP(A939,'Employee Engagement Survey'!A863:E2332,5,FALSE)</f>
        <v>3</v>
      </c>
      <c r="AI939">
        <f t="shared" si="77"/>
        <v>2.5</v>
      </c>
    </row>
    <row r="940" spans="1:35" hidden="1" x14ac:dyDescent="0.4">
      <c r="A940">
        <v>1240</v>
      </c>
      <c r="B940" t="s">
        <v>34</v>
      </c>
      <c r="C940">
        <f t="shared" si="75"/>
        <v>1</v>
      </c>
      <c r="D940" t="s">
        <v>57</v>
      </c>
      <c r="E940">
        <f t="shared" si="76"/>
        <v>0</v>
      </c>
      <c r="F940" t="s">
        <v>40</v>
      </c>
      <c r="G940">
        <v>7</v>
      </c>
      <c r="H940" s="1">
        <v>71400</v>
      </c>
      <c r="I940" s="10">
        <v>0.14000000000000001</v>
      </c>
      <c r="J940">
        <v>37.5</v>
      </c>
      <c r="K940" t="s">
        <v>34</v>
      </c>
      <c r="L940">
        <v>25</v>
      </c>
      <c r="M940" t="s">
        <v>29</v>
      </c>
      <c r="N940" t="s">
        <v>30</v>
      </c>
      <c r="O940" t="s">
        <v>31</v>
      </c>
      <c r="P940">
        <v>10</v>
      </c>
      <c r="Q940" t="s">
        <v>51</v>
      </c>
      <c r="R940" t="s">
        <v>37</v>
      </c>
      <c r="S940">
        <v>3</v>
      </c>
      <c r="T940">
        <v>0</v>
      </c>
      <c r="U940">
        <v>5</v>
      </c>
      <c r="V940">
        <v>4</v>
      </c>
      <c r="W940">
        <v>4</v>
      </c>
      <c r="X940">
        <v>3</v>
      </c>
      <c r="Y940">
        <v>1</v>
      </c>
      <c r="Z940">
        <v>1</v>
      </c>
      <c r="AA940" t="str">
        <f t="shared" si="78"/>
        <v>Mid Tenure</v>
      </c>
      <c r="AB940" s="5">
        <v>45540</v>
      </c>
      <c r="AC940">
        <f t="shared" si="79"/>
        <v>1</v>
      </c>
      <c r="AD940" t="s">
        <v>38</v>
      </c>
      <c r="AE940">
        <f>VLOOKUP(A940,'Employee Engagement Survey'!A864:B2333,2,FALSE)</f>
        <v>3</v>
      </c>
      <c r="AF940">
        <f>VLOOKUP(A940,'Employee Engagement Survey'!A864:C2333,3,FALSE)</f>
        <v>4</v>
      </c>
      <c r="AG940">
        <f>VLOOKUP(A940,'Employee Engagement Survey'!A864:D2333,4,FALSE)</f>
        <v>2</v>
      </c>
      <c r="AH940">
        <f>VLOOKUP(A940,'Employee Engagement Survey'!A864:E2333,5,FALSE)</f>
        <v>3</v>
      </c>
      <c r="AI940">
        <f t="shared" si="77"/>
        <v>3</v>
      </c>
    </row>
    <row r="941" spans="1:35" hidden="1" x14ac:dyDescent="0.4">
      <c r="A941">
        <v>1117</v>
      </c>
      <c r="B941" t="s">
        <v>34</v>
      </c>
      <c r="C941">
        <f t="shared" si="75"/>
        <v>1</v>
      </c>
      <c r="D941" t="s">
        <v>57</v>
      </c>
      <c r="E941">
        <f t="shared" si="76"/>
        <v>0</v>
      </c>
      <c r="F941" t="s">
        <v>40</v>
      </c>
      <c r="G941">
        <v>7</v>
      </c>
      <c r="H941" s="1">
        <v>79116</v>
      </c>
      <c r="I941" s="10">
        <v>0.13</v>
      </c>
      <c r="J941">
        <v>37.5</v>
      </c>
      <c r="K941" t="s">
        <v>34</v>
      </c>
      <c r="L941">
        <v>45</v>
      </c>
      <c r="M941" t="s">
        <v>47</v>
      </c>
      <c r="N941" t="s">
        <v>42</v>
      </c>
      <c r="O941" t="s">
        <v>35</v>
      </c>
      <c r="P941">
        <v>9</v>
      </c>
      <c r="Q941" t="s">
        <v>51</v>
      </c>
      <c r="R941" t="s">
        <v>37</v>
      </c>
      <c r="S941">
        <v>3</v>
      </c>
      <c r="T941">
        <v>1</v>
      </c>
      <c r="U941">
        <v>15</v>
      </c>
      <c r="V941">
        <v>2</v>
      </c>
      <c r="W941">
        <v>15</v>
      </c>
      <c r="X941">
        <v>10</v>
      </c>
      <c r="Y941">
        <v>4</v>
      </c>
      <c r="Z941">
        <v>12</v>
      </c>
      <c r="AA941" t="str">
        <f t="shared" si="78"/>
        <v>Long Tenure</v>
      </c>
      <c r="AB941" s="5">
        <v>45776</v>
      </c>
      <c r="AC941">
        <f t="shared" si="79"/>
        <v>1</v>
      </c>
      <c r="AD941" t="s">
        <v>49</v>
      </c>
      <c r="AE941">
        <f>VLOOKUP(A941,'Employee Engagement Survey'!A865:B2334,2,FALSE)</f>
        <v>2</v>
      </c>
      <c r="AF941">
        <f>VLOOKUP(A941,'Employee Engagement Survey'!A865:C2334,3,FALSE)</f>
        <v>3</v>
      </c>
      <c r="AG941">
        <f>VLOOKUP(A941,'Employee Engagement Survey'!A865:D2334,4,FALSE)</f>
        <v>4</v>
      </c>
      <c r="AH941">
        <f>VLOOKUP(A941,'Employee Engagement Survey'!A865:E2334,5,FALSE)</f>
        <v>3</v>
      </c>
      <c r="AI941">
        <f t="shared" si="77"/>
        <v>3</v>
      </c>
    </row>
    <row r="942" spans="1:35" hidden="1" x14ac:dyDescent="0.4">
      <c r="A942">
        <v>202</v>
      </c>
      <c r="B942" t="s">
        <v>34</v>
      </c>
      <c r="C942">
        <f t="shared" si="75"/>
        <v>1</v>
      </c>
      <c r="D942" t="s">
        <v>27</v>
      </c>
      <c r="E942">
        <f t="shared" si="76"/>
        <v>0</v>
      </c>
      <c r="F942" t="s">
        <v>28</v>
      </c>
      <c r="G942">
        <v>7</v>
      </c>
      <c r="H942" s="1">
        <v>79260</v>
      </c>
      <c r="I942" s="10">
        <v>0.11</v>
      </c>
      <c r="J942">
        <v>37.5</v>
      </c>
      <c r="K942" t="s">
        <v>34</v>
      </c>
      <c r="L942">
        <v>40</v>
      </c>
      <c r="M942" t="s">
        <v>47</v>
      </c>
      <c r="N942" t="s">
        <v>48</v>
      </c>
      <c r="O942" t="s">
        <v>44</v>
      </c>
      <c r="P942">
        <v>26</v>
      </c>
      <c r="Q942" t="s">
        <v>43</v>
      </c>
      <c r="R942" t="s">
        <v>33</v>
      </c>
      <c r="S942">
        <v>3</v>
      </c>
      <c r="T942">
        <v>1</v>
      </c>
      <c r="U942">
        <v>20</v>
      </c>
      <c r="V942">
        <v>2</v>
      </c>
      <c r="W942">
        <v>20</v>
      </c>
      <c r="X942">
        <v>7</v>
      </c>
      <c r="Y942">
        <v>2</v>
      </c>
      <c r="Z942">
        <v>13</v>
      </c>
      <c r="AA942" t="str">
        <f t="shared" si="78"/>
        <v>Long Tenure</v>
      </c>
      <c r="AB942" s="5">
        <v>45684</v>
      </c>
      <c r="AC942">
        <f t="shared" si="79"/>
        <v>1</v>
      </c>
      <c r="AD942" t="s">
        <v>38</v>
      </c>
      <c r="AE942">
        <f>VLOOKUP(A942,'Employee Engagement Survey'!A866:B2335,2,FALSE)</f>
        <v>2</v>
      </c>
      <c r="AF942">
        <f>VLOOKUP(A942,'Employee Engagement Survey'!A866:C2335,3,FALSE)</f>
        <v>2</v>
      </c>
      <c r="AG942">
        <f>VLOOKUP(A942,'Employee Engagement Survey'!A866:D2335,4,FALSE)</f>
        <v>1</v>
      </c>
      <c r="AH942">
        <f>VLOOKUP(A942,'Employee Engagement Survey'!A866:E2335,5,FALSE)</f>
        <v>3</v>
      </c>
      <c r="AI942">
        <f t="shared" si="77"/>
        <v>2</v>
      </c>
    </row>
    <row r="943" spans="1:35" hidden="1" x14ac:dyDescent="0.4">
      <c r="A943">
        <v>382</v>
      </c>
      <c r="B943" t="s">
        <v>34</v>
      </c>
      <c r="C943">
        <f t="shared" si="75"/>
        <v>1</v>
      </c>
      <c r="D943" t="s">
        <v>57</v>
      </c>
      <c r="E943">
        <f t="shared" si="76"/>
        <v>0</v>
      </c>
      <c r="F943" t="s">
        <v>40</v>
      </c>
      <c r="G943">
        <v>7</v>
      </c>
      <c r="H943" s="1">
        <v>79260</v>
      </c>
      <c r="I943" s="10">
        <v>0.24</v>
      </c>
      <c r="J943">
        <v>37.5</v>
      </c>
      <c r="K943" t="s">
        <v>26</v>
      </c>
      <c r="L943">
        <v>38</v>
      </c>
      <c r="M943" t="s">
        <v>47</v>
      </c>
      <c r="N943" t="s">
        <v>48</v>
      </c>
      <c r="O943" t="s">
        <v>31</v>
      </c>
      <c r="P943">
        <v>7</v>
      </c>
      <c r="Q943" t="s">
        <v>36</v>
      </c>
      <c r="R943" t="s">
        <v>33</v>
      </c>
      <c r="S943">
        <v>4</v>
      </c>
      <c r="T943">
        <v>1</v>
      </c>
      <c r="U943">
        <v>8</v>
      </c>
      <c r="V943">
        <v>3</v>
      </c>
      <c r="W943">
        <v>8</v>
      </c>
      <c r="X943">
        <v>0</v>
      </c>
      <c r="Y943">
        <v>7</v>
      </c>
      <c r="Z943">
        <v>7</v>
      </c>
      <c r="AA943" t="str">
        <f t="shared" si="78"/>
        <v>Mid Tenure</v>
      </c>
      <c r="AB943" s="5">
        <v>44853</v>
      </c>
      <c r="AC943">
        <f t="shared" si="79"/>
        <v>0</v>
      </c>
      <c r="AD943" t="s">
        <v>49</v>
      </c>
      <c r="AE943">
        <f>VLOOKUP(A943,'Employee Engagement Survey'!A867:B2336,2,FALSE)</f>
        <v>1</v>
      </c>
      <c r="AF943">
        <f>VLOOKUP(A943,'Employee Engagement Survey'!A867:C2336,3,FALSE)</f>
        <v>1</v>
      </c>
      <c r="AG943">
        <f>VLOOKUP(A943,'Employee Engagement Survey'!A867:D2336,4,FALSE)</f>
        <v>3</v>
      </c>
      <c r="AH943">
        <f>VLOOKUP(A943,'Employee Engagement Survey'!A867:E2336,5,FALSE)</f>
        <v>3</v>
      </c>
      <c r="AI943">
        <f t="shared" si="77"/>
        <v>2</v>
      </c>
    </row>
    <row r="944" spans="1:35" hidden="1" x14ac:dyDescent="0.4">
      <c r="A944">
        <v>1241</v>
      </c>
      <c r="B944" t="s">
        <v>34</v>
      </c>
      <c r="C944">
        <f t="shared" si="75"/>
        <v>1</v>
      </c>
      <c r="D944" t="s">
        <v>27</v>
      </c>
      <c r="E944">
        <f t="shared" si="76"/>
        <v>0</v>
      </c>
      <c r="F944" t="s">
        <v>28</v>
      </c>
      <c r="G944">
        <v>6</v>
      </c>
      <c r="H944" s="1">
        <v>66948</v>
      </c>
      <c r="I944" s="10">
        <v>0.21</v>
      </c>
      <c r="J944">
        <v>37.5</v>
      </c>
      <c r="K944" t="s">
        <v>26</v>
      </c>
      <c r="L944">
        <v>30</v>
      </c>
      <c r="M944" t="s">
        <v>29</v>
      </c>
      <c r="N944" t="s">
        <v>42</v>
      </c>
      <c r="O944" t="s">
        <v>31</v>
      </c>
      <c r="P944">
        <v>1</v>
      </c>
      <c r="Q944" t="s">
        <v>43</v>
      </c>
      <c r="R944" t="s">
        <v>33</v>
      </c>
      <c r="S944">
        <v>4</v>
      </c>
      <c r="T944">
        <v>1</v>
      </c>
      <c r="U944">
        <v>12</v>
      </c>
      <c r="V944">
        <v>2</v>
      </c>
      <c r="W944">
        <v>11</v>
      </c>
      <c r="X944">
        <v>9</v>
      </c>
      <c r="Y944">
        <v>5</v>
      </c>
      <c r="Z944">
        <v>7</v>
      </c>
      <c r="AA944" t="str">
        <f t="shared" si="78"/>
        <v>Long Tenure</v>
      </c>
      <c r="AB944" s="5">
        <v>45567</v>
      </c>
      <c r="AC944">
        <f t="shared" si="79"/>
        <v>1</v>
      </c>
      <c r="AD944" t="s">
        <v>49</v>
      </c>
      <c r="AE944">
        <f>VLOOKUP(A944,'Employee Engagement Survey'!A868:B2337,2,FALSE)</f>
        <v>4</v>
      </c>
      <c r="AF944">
        <f>VLOOKUP(A944,'Employee Engagement Survey'!A868:C2337,3,FALSE)</f>
        <v>2</v>
      </c>
      <c r="AG944">
        <f>VLOOKUP(A944,'Employee Engagement Survey'!A868:D2337,4,FALSE)</f>
        <v>1</v>
      </c>
      <c r="AH944">
        <f>VLOOKUP(A944,'Employee Engagement Survey'!A868:E2337,5,FALSE)</f>
        <v>3</v>
      </c>
      <c r="AI944">
        <f t="shared" si="77"/>
        <v>2.5</v>
      </c>
    </row>
    <row r="945" spans="1:35" hidden="1" x14ac:dyDescent="0.4">
      <c r="A945">
        <v>1436</v>
      </c>
      <c r="B945" t="s">
        <v>34</v>
      </c>
      <c r="C945">
        <f t="shared" si="75"/>
        <v>1</v>
      </c>
      <c r="D945" t="s">
        <v>57</v>
      </c>
      <c r="E945">
        <f t="shared" si="76"/>
        <v>0</v>
      </c>
      <c r="F945" t="s">
        <v>40</v>
      </c>
      <c r="G945">
        <v>7</v>
      </c>
      <c r="H945" s="1">
        <v>79764</v>
      </c>
      <c r="I945" s="10">
        <v>0.13</v>
      </c>
      <c r="J945">
        <v>37.5</v>
      </c>
      <c r="K945" t="s">
        <v>34</v>
      </c>
      <c r="L945">
        <v>36</v>
      </c>
      <c r="M945" t="s">
        <v>47</v>
      </c>
      <c r="N945" t="s">
        <v>42</v>
      </c>
      <c r="O945" t="s">
        <v>31</v>
      </c>
      <c r="P945">
        <v>16</v>
      </c>
      <c r="Q945" t="s">
        <v>51</v>
      </c>
      <c r="R945" t="s">
        <v>56</v>
      </c>
      <c r="S945">
        <v>3</v>
      </c>
      <c r="T945">
        <v>2</v>
      </c>
      <c r="U945">
        <v>11</v>
      </c>
      <c r="V945">
        <v>3</v>
      </c>
      <c r="W945">
        <v>3</v>
      </c>
      <c r="X945">
        <v>2</v>
      </c>
      <c r="Y945">
        <v>0</v>
      </c>
      <c r="Z945">
        <v>2</v>
      </c>
      <c r="AA945" t="str">
        <f t="shared" si="78"/>
        <v>Mid Tenure</v>
      </c>
      <c r="AB945" s="5">
        <v>44589</v>
      </c>
      <c r="AC945">
        <f t="shared" si="79"/>
        <v>0</v>
      </c>
      <c r="AD945" t="s">
        <v>49</v>
      </c>
      <c r="AE945">
        <f>VLOOKUP(A945,'Employee Engagement Survey'!A869:B2338,2,FALSE)</f>
        <v>3</v>
      </c>
      <c r="AF945">
        <f>VLOOKUP(A945,'Employee Engagement Survey'!A869:C2338,3,FALSE)</f>
        <v>1</v>
      </c>
      <c r="AG945">
        <f>VLOOKUP(A945,'Employee Engagement Survey'!A869:D2338,4,FALSE)</f>
        <v>1</v>
      </c>
      <c r="AH945">
        <f>VLOOKUP(A945,'Employee Engagement Survey'!A869:E2338,5,FALSE)</f>
        <v>2</v>
      </c>
      <c r="AI945">
        <f t="shared" si="77"/>
        <v>1.75</v>
      </c>
    </row>
    <row r="946" spans="1:35" hidden="1" x14ac:dyDescent="0.4">
      <c r="A946">
        <v>1244</v>
      </c>
      <c r="B946" t="s">
        <v>34</v>
      </c>
      <c r="C946">
        <f t="shared" ref="C946:C1009" si="80">IF(B946="No",1,0)</f>
        <v>1</v>
      </c>
      <c r="D946" t="s">
        <v>27</v>
      </c>
      <c r="E946">
        <f t="shared" si="76"/>
        <v>0</v>
      </c>
      <c r="F946" t="s">
        <v>28</v>
      </c>
      <c r="G946">
        <v>4</v>
      </c>
      <c r="H946" s="1">
        <v>50820</v>
      </c>
      <c r="I946" s="10">
        <v>0.14000000000000001</v>
      </c>
      <c r="J946">
        <v>37.5</v>
      </c>
      <c r="K946" t="s">
        <v>26</v>
      </c>
      <c r="L946">
        <v>27</v>
      </c>
      <c r="M946" t="s">
        <v>29</v>
      </c>
      <c r="N946" t="s">
        <v>42</v>
      </c>
      <c r="O946" t="s">
        <v>31</v>
      </c>
      <c r="P946">
        <v>14</v>
      </c>
      <c r="Q946" t="s">
        <v>43</v>
      </c>
      <c r="R946" t="s">
        <v>37</v>
      </c>
      <c r="S946">
        <v>3</v>
      </c>
      <c r="T946">
        <v>2</v>
      </c>
      <c r="U946">
        <v>9</v>
      </c>
      <c r="V946">
        <v>3</v>
      </c>
      <c r="W946">
        <v>9</v>
      </c>
      <c r="X946">
        <v>7</v>
      </c>
      <c r="Y946">
        <v>6</v>
      </c>
      <c r="Z946">
        <v>8</v>
      </c>
      <c r="AA946" t="str">
        <f t="shared" si="78"/>
        <v>Mid Tenure</v>
      </c>
      <c r="AB946" s="5">
        <v>45150</v>
      </c>
      <c r="AC946">
        <f t="shared" si="79"/>
        <v>0</v>
      </c>
      <c r="AD946" t="s">
        <v>38</v>
      </c>
      <c r="AE946">
        <f>VLOOKUP(A946,'Employee Engagement Survey'!A870:B2339,2,FALSE)</f>
        <v>1</v>
      </c>
      <c r="AF946">
        <f>VLOOKUP(A946,'Employee Engagement Survey'!A870:C2339,3,FALSE)</f>
        <v>1</v>
      </c>
      <c r="AG946">
        <f>VLOOKUP(A946,'Employee Engagement Survey'!A870:D2339,4,FALSE)</f>
        <v>4</v>
      </c>
      <c r="AH946">
        <f>VLOOKUP(A946,'Employee Engagement Survey'!A870:E2339,5,FALSE)</f>
        <v>2</v>
      </c>
      <c r="AI946">
        <f t="shared" si="77"/>
        <v>2</v>
      </c>
    </row>
    <row r="947" spans="1:35" hidden="1" x14ac:dyDescent="0.4">
      <c r="A947">
        <v>1250</v>
      </c>
      <c r="B947" t="s">
        <v>34</v>
      </c>
      <c r="C947">
        <f t="shared" si="80"/>
        <v>1</v>
      </c>
      <c r="D947" t="s">
        <v>60</v>
      </c>
      <c r="E947">
        <f t="shared" si="76"/>
        <v>1</v>
      </c>
      <c r="F947" t="s">
        <v>28</v>
      </c>
      <c r="G947">
        <v>4</v>
      </c>
      <c r="H947" s="1">
        <v>225348</v>
      </c>
      <c r="I947" s="10">
        <v>0.14000000000000001</v>
      </c>
      <c r="J947">
        <v>37.5</v>
      </c>
      <c r="K947" t="s">
        <v>34</v>
      </c>
      <c r="L947">
        <v>54</v>
      </c>
      <c r="M947" t="s">
        <v>29</v>
      </c>
      <c r="N947" t="s">
        <v>42</v>
      </c>
      <c r="O947" t="s">
        <v>31</v>
      </c>
      <c r="P947">
        <v>3</v>
      </c>
      <c r="Q947" t="s">
        <v>43</v>
      </c>
      <c r="R947" t="s">
        <v>37</v>
      </c>
      <c r="S947">
        <v>3</v>
      </c>
      <c r="T947">
        <v>0</v>
      </c>
      <c r="U947">
        <v>36</v>
      </c>
      <c r="V947">
        <v>2</v>
      </c>
      <c r="W947">
        <v>10</v>
      </c>
      <c r="X947">
        <v>9</v>
      </c>
      <c r="Y947">
        <v>0</v>
      </c>
      <c r="Z947">
        <v>9</v>
      </c>
      <c r="AA947" t="str">
        <f t="shared" si="78"/>
        <v>Long Tenure</v>
      </c>
      <c r="AB947" s="5">
        <v>45402</v>
      </c>
      <c r="AC947">
        <f t="shared" si="79"/>
        <v>1</v>
      </c>
      <c r="AD947" t="s">
        <v>49</v>
      </c>
      <c r="AE947">
        <f>VLOOKUP(A947,'Employee Engagement Survey'!A871:B2340,2,FALSE)</f>
        <v>4</v>
      </c>
      <c r="AF947">
        <f>VLOOKUP(A947,'Employee Engagement Survey'!A871:C2340,3,FALSE)</f>
        <v>4</v>
      </c>
      <c r="AG947">
        <f>VLOOKUP(A947,'Employee Engagement Survey'!A871:D2340,4,FALSE)</f>
        <v>1</v>
      </c>
      <c r="AH947">
        <f>VLOOKUP(A947,'Employee Engagement Survey'!A871:E2340,5,FALSE)</f>
        <v>3</v>
      </c>
      <c r="AI947">
        <f t="shared" si="77"/>
        <v>3</v>
      </c>
    </row>
    <row r="948" spans="1:35" hidden="1" x14ac:dyDescent="0.4">
      <c r="A948">
        <v>983</v>
      </c>
      <c r="B948" t="s">
        <v>34</v>
      </c>
      <c r="C948">
        <f t="shared" si="80"/>
        <v>1</v>
      </c>
      <c r="D948" t="s">
        <v>57</v>
      </c>
      <c r="E948">
        <f t="shared" si="76"/>
        <v>0</v>
      </c>
      <c r="F948" t="s">
        <v>40</v>
      </c>
      <c r="G948">
        <v>7</v>
      </c>
      <c r="H948" s="1">
        <v>79992</v>
      </c>
      <c r="I948" s="10">
        <v>0.13</v>
      </c>
      <c r="J948">
        <v>37.5</v>
      </c>
      <c r="K948" t="s">
        <v>26</v>
      </c>
      <c r="L948">
        <v>38</v>
      </c>
      <c r="M948" t="s">
        <v>47</v>
      </c>
      <c r="N948" t="s">
        <v>30</v>
      </c>
      <c r="O948" t="s">
        <v>35</v>
      </c>
      <c r="P948">
        <v>10</v>
      </c>
      <c r="Q948" t="s">
        <v>43</v>
      </c>
      <c r="R948" t="s">
        <v>45</v>
      </c>
      <c r="S948">
        <v>3</v>
      </c>
      <c r="T948">
        <v>0</v>
      </c>
      <c r="U948">
        <v>6</v>
      </c>
      <c r="V948">
        <v>1</v>
      </c>
      <c r="W948">
        <v>5</v>
      </c>
      <c r="X948">
        <v>3</v>
      </c>
      <c r="Y948">
        <v>1</v>
      </c>
      <c r="Z948">
        <v>3</v>
      </c>
      <c r="AA948" t="str">
        <f t="shared" si="78"/>
        <v>Mid Tenure</v>
      </c>
      <c r="AB948" s="5">
        <v>45828</v>
      </c>
      <c r="AC948">
        <f t="shared" si="79"/>
        <v>1</v>
      </c>
      <c r="AD948" t="s">
        <v>49</v>
      </c>
      <c r="AE948">
        <f>VLOOKUP(A948,'Employee Engagement Survey'!A872:B2341,2,FALSE)</f>
        <v>3</v>
      </c>
      <c r="AF948">
        <f>VLOOKUP(A948,'Employee Engagement Survey'!A872:C2341,3,FALSE)</f>
        <v>4</v>
      </c>
      <c r="AG948">
        <f>VLOOKUP(A948,'Employee Engagement Survey'!A872:D2341,4,FALSE)</f>
        <v>2</v>
      </c>
      <c r="AH948">
        <f>VLOOKUP(A948,'Employee Engagement Survey'!A872:E2341,5,FALSE)</f>
        <v>3</v>
      </c>
      <c r="AI948">
        <f t="shared" si="77"/>
        <v>3</v>
      </c>
    </row>
    <row r="949" spans="1:35" hidden="1" x14ac:dyDescent="0.4">
      <c r="A949">
        <v>1880</v>
      </c>
      <c r="B949" t="s">
        <v>34</v>
      </c>
      <c r="C949">
        <f t="shared" si="80"/>
        <v>1</v>
      </c>
      <c r="D949" t="s">
        <v>57</v>
      </c>
      <c r="E949">
        <f t="shared" si="76"/>
        <v>0</v>
      </c>
      <c r="F949" t="s">
        <v>40</v>
      </c>
      <c r="G949">
        <v>7</v>
      </c>
      <c r="H949" s="1">
        <v>80076</v>
      </c>
      <c r="I949" s="10">
        <v>0.13</v>
      </c>
      <c r="J949">
        <v>37.5</v>
      </c>
      <c r="K949" t="s">
        <v>26</v>
      </c>
      <c r="L949">
        <v>36</v>
      </c>
      <c r="M949" t="s">
        <v>47</v>
      </c>
      <c r="N949" t="s">
        <v>42</v>
      </c>
      <c r="O949" t="s">
        <v>31</v>
      </c>
      <c r="P949">
        <v>10</v>
      </c>
      <c r="Q949" t="s">
        <v>51</v>
      </c>
      <c r="R949" t="s">
        <v>45</v>
      </c>
      <c r="S949">
        <v>3</v>
      </c>
      <c r="T949">
        <v>1</v>
      </c>
      <c r="U949">
        <v>10</v>
      </c>
      <c r="V949">
        <v>4</v>
      </c>
      <c r="W949">
        <v>10</v>
      </c>
      <c r="X949">
        <v>9</v>
      </c>
      <c r="Y949">
        <v>1</v>
      </c>
      <c r="Z949">
        <v>7</v>
      </c>
      <c r="AA949" t="str">
        <f t="shared" si="78"/>
        <v>Long Tenure</v>
      </c>
      <c r="AB949" s="5">
        <v>45595</v>
      </c>
      <c r="AC949">
        <f t="shared" si="79"/>
        <v>1</v>
      </c>
      <c r="AD949" t="s">
        <v>38</v>
      </c>
      <c r="AE949">
        <f>VLOOKUP(A949,'Employee Engagement Survey'!A873:B2342,2,FALSE)</f>
        <v>2</v>
      </c>
      <c r="AF949">
        <f>VLOOKUP(A949,'Employee Engagement Survey'!A873:C2342,3,FALSE)</f>
        <v>3</v>
      </c>
      <c r="AG949">
        <f>VLOOKUP(A949,'Employee Engagement Survey'!A873:D2342,4,FALSE)</f>
        <v>1</v>
      </c>
      <c r="AH949">
        <f>VLOOKUP(A949,'Employee Engagement Survey'!A873:E2342,5,FALSE)</f>
        <v>3</v>
      </c>
      <c r="AI949">
        <f t="shared" si="77"/>
        <v>2.25</v>
      </c>
    </row>
    <row r="950" spans="1:35" hidden="1" x14ac:dyDescent="0.4">
      <c r="A950">
        <v>419</v>
      </c>
      <c r="B950" t="s">
        <v>34</v>
      </c>
      <c r="C950">
        <f t="shared" si="80"/>
        <v>1</v>
      </c>
      <c r="D950" t="s">
        <v>46</v>
      </c>
      <c r="E950">
        <f t="shared" si="76"/>
        <v>0</v>
      </c>
      <c r="F950" t="s">
        <v>28</v>
      </c>
      <c r="G950">
        <v>7</v>
      </c>
      <c r="H950" s="1">
        <v>80088</v>
      </c>
      <c r="I950" s="10">
        <v>0.15</v>
      </c>
      <c r="J950">
        <v>37.5</v>
      </c>
      <c r="K950" t="s">
        <v>34</v>
      </c>
      <c r="L950">
        <v>36</v>
      </c>
      <c r="M950" t="s">
        <v>47</v>
      </c>
      <c r="N950" t="s">
        <v>42</v>
      </c>
      <c r="O950" t="s">
        <v>35</v>
      </c>
      <c r="P950">
        <v>24</v>
      </c>
      <c r="Q950" t="s">
        <v>51</v>
      </c>
      <c r="R950" t="s">
        <v>37</v>
      </c>
      <c r="S950">
        <v>3</v>
      </c>
      <c r="T950">
        <v>1</v>
      </c>
      <c r="U950">
        <v>11</v>
      </c>
      <c r="V950">
        <v>3</v>
      </c>
      <c r="W950">
        <v>9</v>
      </c>
      <c r="X950">
        <v>8</v>
      </c>
      <c r="Y950">
        <v>0</v>
      </c>
      <c r="Z950">
        <v>8</v>
      </c>
      <c r="AA950" t="str">
        <f t="shared" si="78"/>
        <v>Mid Tenure</v>
      </c>
      <c r="AB950" s="5">
        <v>45074</v>
      </c>
      <c r="AC950">
        <f t="shared" si="79"/>
        <v>0</v>
      </c>
      <c r="AD950" t="s">
        <v>38</v>
      </c>
      <c r="AE950">
        <f>VLOOKUP(A950,'Employee Engagement Survey'!A874:B2343,2,FALSE)</f>
        <v>2</v>
      </c>
      <c r="AF950">
        <f>VLOOKUP(A950,'Employee Engagement Survey'!A874:C2343,3,FALSE)</f>
        <v>2</v>
      </c>
      <c r="AG950">
        <f>VLOOKUP(A950,'Employee Engagement Survey'!A874:D2343,4,FALSE)</f>
        <v>3</v>
      </c>
      <c r="AH950">
        <f>VLOOKUP(A950,'Employee Engagement Survey'!A874:E2343,5,FALSE)</f>
        <v>3</v>
      </c>
      <c r="AI950">
        <f t="shared" si="77"/>
        <v>2.5</v>
      </c>
    </row>
    <row r="951" spans="1:35" hidden="1" x14ac:dyDescent="0.4">
      <c r="A951">
        <v>1251</v>
      </c>
      <c r="B951" t="s">
        <v>34</v>
      </c>
      <c r="C951">
        <f t="shared" si="80"/>
        <v>1</v>
      </c>
      <c r="D951" t="s">
        <v>55</v>
      </c>
      <c r="E951">
        <f t="shared" si="76"/>
        <v>0</v>
      </c>
      <c r="F951" t="s">
        <v>28</v>
      </c>
      <c r="G951">
        <v>8</v>
      </c>
      <c r="H951" s="1">
        <v>93996</v>
      </c>
      <c r="I951" s="10">
        <v>0.12</v>
      </c>
      <c r="J951">
        <v>37.5</v>
      </c>
      <c r="K951" t="s">
        <v>26</v>
      </c>
      <c r="L951">
        <v>31</v>
      </c>
      <c r="M951" t="s">
        <v>29</v>
      </c>
      <c r="N951" t="s">
        <v>42</v>
      </c>
      <c r="O951" t="s">
        <v>31</v>
      </c>
      <c r="P951">
        <v>11</v>
      </c>
      <c r="Q951" t="s">
        <v>36</v>
      </c>
      <c r="R951" t="s">
        <v>33</v>
      </c>
      <c r="S951">
        <v>3</v>
      </c>
      <c r="T951">
        <v>0</v>
      </c>
      <c r="U951">
        <v>6</v>
      </c>
      <c r="V951">
        <v>2</v>
      </c>
      <c r="W951">
        <v>6</v>
      </c>
      <c r="X951">
        <v>5</v>
      </c>
      <c r="Y951">
        <v>0</v>
      </c>
      <c r="Z951">
        <v>1</v>
      </c>
      <c r="AA951" t="str">
        <f t="shared" si="78"/>
        <v>Mid Tenure</v>
      </c>
      <c r="AB951" s="5">
        <v>45806</v>
      </c>
      <c r="AC951">
        <f t="shared" si="79"/>
        <v>1</v>
      </c>
      <c r="AD951" t="s">
        <v>38</v>
      </c>
      <c r="AE951">
        <f>VLOOKUP(A951,'Employee Engagement Survey'!A875:B2344,2,FALSE)</f>
        <v>3</v>
      </c>
      <c r="AF951">
        <f>VLOOKUP(A951,'Employee Engagement Survey'!A875:C2344,3,FALSE)</f>
        <v>1</v>
      </c>
      <c r="AG951">
        <f>VLOOKUP(A951,'Employee Engagement Survey'!A875:D2344,4,FALSE)</f>
        <v>4</v>
      </c>
      <c r="AH951">
        <f>VLOOKUP(A951,'Employee Engagement Survey'!A875:E2344,5,FALSE)</f>
        <v>2</v>
      </c>
      <c r="AI951">
        <f t="shared" si="77"/>
        <v>2.5</v>
      </c>
    </row>
    <row r="952" spans="1:35" hidden="1" x14ac:dyDescent="0.4">
      <c r="A952">
        <v>1986</v>
      </c>
      <c r="B952" t="s">
        <v>34</v>
      </c>
      <c r="C952">
        <f t="shared" si="80"/>
        <v>1</v>
      </c>
      <c r="D952" t="s">
        <v>57</v>
      </c>
      <c r="E952">
        <f t="shared" si="76"/>
        <v>0</v>
      </c>
      <c r="F952" t="s">
        <v>40</v>
      </c>
      <c r="G952">
        <v>7</v>
      </c>
      <c r="H952" s="1">
        <v>80124</v>
      </c>
      <c r="I952" s="10">
        <v>0.14000000000000001</v>
      </c>
      <c r="J952">
        <v>37.5</v>
      </c>
      <c r="K952" t="s">
        <v>34</v>
      </c>
      <c r="L952">
        <v>40</v>
      </c>
      <c r="M952" t="s">
        <v>47</v>
      </c>
      <c r="N952" t="s">
        <v>42</v>
      </c>
      <c r="O952" t="s">
        <v>31</v>
      </c>
      <c r="P952">
        <v>2</v>
      </c>
      <c r="Q952" t="s">
        <v>36</v>
      </c>
      <c r="R952" t="s">
        <v>56</v>
      </c>
      <c r="S952">
        <v>3</v>
      </c>
      <c r="T952">
        <v>1</v>
      </c>
      <c r="U952">
        <v>15</v>
      </c>
      <c r="V952">
        <v>4</v>
      </c>
      <c r="W952">
        <v>11</v>
      </c>
      <c r="X952">
        <v>8</v>
      </c>
      <c r="Y952">
        <v>5</v>
      </c>
      <c r="Z952">
        <v>10</v>
      </c>
      <c r="AA952" t="str">
        <f t="shared" si="78"/>
        <v>Long Tenure</v>
      </c>
      <c r="AB952" s="5">
        <v>44762</v>
      </c>
      <c r="AC952">
        <f t="shared" si="79"/>
        <v>0</v>
      </c>
      <c r="AD952" t="s">
        <v>49</v>
      </c>
      <c r="AE952">
        <f>VLOOKUP(A952,'Employee Engagement Survey'!A876:B2345,2,FALSE)</f>
        <v>2</v>
      </c>
      <c r="AF952">
        <f>VLOOKUP(A952,'Employee Engagement Survey'!A876:C2345,3,FALSE)</f>
        <v>2</v>
      </c>
      <c r="AG952">
        <f>VLOOKUP(A952,'Employee Engagement Survey'!A876:D2345,4,FALSE)</f>
        <v>3</v>
      </c>
      <c r="AH952">
        <f>VLOOKUP(A952,'Employee Engagement Survey'!A876:E2345,5,FALSE)</f>
        <v>3</v>
      </c>
      <c r="AI952">
        <f t="shared" si="77"/>
        <v>2.5</v>
      </c>
    </row>
    <row r="953" spans="1:35" hidden="1" x14ac:dyDescent="0.4">
      <c r="A953">
        <v>1255</v>
      </c>
      <c r="B953" t="s">
        <v>34</v>
      </c>
      <c r="C953">
        <f t="shared" si="80"/>
        <v>1</v>
      </c>
      <c r="D953" t="s">
        <v>60</v>
      </c>
      <c r="E953">
        <f t="shared" si="76"/>
        <v>1</v>
      </c>
      <c r="F953" t="s">
        <v>28</v>
      </c>
      <c r="G953">
        <v>5</v>
      </c>
      <c r="H953" s="1">
        <v>248880</v>
      </c>
      <c r="I953" s="10">
        <v>0.14000000000000001</v>
      </c>
      <c r="J953">
        <v>37.5</v>
      </c>
      <c r="K953" t="s">
        <v>34</v>
      </c>
      <c r="L953">
        <v>43</v>
      </c>
      <c r="M953" t="s">
        <v>29</v>
      </c>
      <c r="N953" t="s">
        <v>42</v>
      </c>
      <c r="O953" t="s">
        <v>31</v>
      </c>
      <c r="P953">
        <v>3</v>
      </c>
      <c r="Q953" t="s">
        <v>43</v>
      </c>
      <c r="R953" t="s">
        <v>37</v>
      </c>
      <c r="S953">
        <v>3</v>
      </c>
      <c r="T953">
        <v>1</v>
      </c>
      <c r="U953">
        <v>25</v>
      </c>
      <c r="V953">
        <v>2</v>
      </c>
      <c r="W953">
        <v>8</v>
      </c>
      <c r="X953">
        <v>7</v>
      </c>
      <c r="Y953">
        <v>0</v>
      </c>
      <c r="Z953">
        <v>7</v>
      </c>
      <c r="AA953" t="str">
        <f t="shared" si="78"/>
        <v>Mid Tenure</v>
      </c>
      <c r="AB953" s="5">
        <v>45945</v>
      </c>
      <c r="AC953">
        <f t="shared" si="79"/>
        <v>1</v>
      </c>
      <c r="AD953" t="s">
        <v>38</v>
      </c>
      <c r="AE953">
        <f>VLOOKUP(A953,'Employee Engagement Survey'!A877:B2346,2,FALSE)</f>
        <v>3</v>
      </c>
      <c r="AF953">
        <f>VLOOKUP(A953,'Employee Engagement Survey'!A877:C2346,3,FALSE)</f>
        <v>4</v>
      </c>
      <c r="AG953">
        <f>VLOOKUP(A953,'Employee Engagement Survey'!A877:D2346,4,FALSE)</f>
        <v>2</v>
      </c>
      <c r="AH953">
        <f>VLOOKUP(A953,'Employee Engagement Survey'!A877:E2346,5,FALSE)</f>
        <v>3</v>
      </c>
      <c r="AI953">
        <f t="shared" si="77"/>
        <v>3</v>
      </c>
    </row>
    <row r="954" spans="1:35" x14ac:dyDescent="0.4">
      <c r="A954">
        <v>1256</v>
      </c>
      <c r="B954" t="s">
        <v>34</v>
      </c>
      <c r="C954">
        <f t="shared" si="80"/>
        <v>1</v>
      </c>
      <c r="D954" t="s">
        <v>109</v>
      </c>
      <c r="E954">
        <f t="shared" si="76"/>
        <v>1</v>
      </c>
      <c r="F954" t="s">
        <v>28</v>
      </c>
      <c r="G954">
        <v>5</v>
      </c>
      <c r="H954" s="1">
        <v>236532</v>
      </c>
      <c r="I954" s="10">
        <v>0.13</v>
      </c>
      <c r="J954">
        <v>37.5</v>
      </c>
      <c r="K954" t="s">
        <v>34</v>
      </c>
      <c r="L954">
        <v>49</v>
      </c>
      <c r="M954" t="s">
        <v>29</v>
      </c>
      <c r="N954" t="s">
        <v>42</v>
      </c>
      <c r="O954" t="s">
        <v>31</v>
      </c>
      <c r="P954">
        <v>4</v>
      </c>
      <c r="Q954" t="s">
        <v>36</v>
      </c>
      <c r="R954" t="s">
        <v>33</v>
      </c>
      <c r="S954">
        <v>3</v>
      </c>
      <c r="T954">
        <v>1</v>
      </c>
      <c r="U954">
        <v>23</v>
      </c>
      <c r="V954">
        <v>2</v>
      </c>
      <c r="W954">
        <v>1</v>
      </c>
      <c r="X954">
        <v>0</v>
      </c>
      <c r="Y954">
        <v>0</v>
      </c>
      <c r="Z954">
        <v>0</v>
      </c>
      <c r="AA954" t="str">
        <f t="shared" si="78"/>
        <v>Early Tenure</v>
      </c>
      <c r="AB954" s="5">
        <v>45332</v>
      </c>
      <c r="AC954">
        <f t="shared" si="79"/>
        <v>1</v>
      </c>
      <c r="AD954" t="s">
        <v>38</v>
      </c>
      <c r="AE954">
        <f>VLOOKUP(A954,'Employee Engagement Survey'!A878:B2347,2,FALSE)</f>
        <v>1</v>
      </c>
      <c r="AF954">
        <f>VLOOKUP(A954,'Employee Engagement Survey'!A878:C2347,3,FALSE)</f>
        <v>3</v>
      </c>
      <c r="AG954">
        <f>VLOOKUP(A954,'Employee Engagement Survey'!A878:D2347,4,FALSE)</f>
        <v>3</v>
      </c>
      <c r="AH954">
        <f>VLOOKUP(A954,'Employee Engagement Survey'!A878:E2347,5,FALSE)</f>
        <v>4</v>
      </c>
      <c r="AI954">
        <f t="shared" si="77"/>
        <v>2.75</v>
      </c>
    </row>
    <row r="955" spans="1:35" hidden="1" x14ac:dyDescent="0.4">
      <c r="A955">
        <v>1163</v>
      </c>
      <c r="B955" t="s">
        <v>34</v>
      </c>
      <c r="C955">
        <f t="shared" si="80"/>
        <v>1</v>
      </c>
      <c r="D955" t="s">
        <v>57</v>
      </c>
      <c r="E955">
        <f t="shared" si="76"/>
        <v>0</v>
      </c>
      <c r="F955" t="s">
        <v>40</v>
      </c>
      <c r="G955">
        <v>7</v>
      </c>
      <c r="H955" s="1">
        <v>80568</v>
      </c>
      <c r="I955" s="10">
        <v>0.2</v>
      </c>
      <c r="J955">
        <v>37.5</v>
      </c>
      <c r="K955" t="s">
        <v>34</v>
      </c>
      <c r="L955">
        <v>34</v>
      </c>
      <c r="M955" t="s">
        <v>47</v>
      </c>
      <c r="N955" t="s">
        <v>42</v>
      </c>
      <c r="O955" t="s">
        <v>31</v>
      </c>
      <c r="P955">
        <v>9</v>
      </c>
      <c r="Q955" t="s">
        <v>32</v>
      </c>
      <c r="R955" t="s">
        <v>37</v>
      </c>
      <c r="S955">
        <v>4</v>
      </c>
      <c r="T955">
        <v>0</v>
      </c>
      <c r="U955">
        <v>6</v>
      </c>
      <c r="V955">
        <v>3</v>
      </c>
      <c r="W955">
        <v>6</v>
      </c>
      <c r="X955">
        <v>5</v>
      </c>
      <c r="Y955">
        <v>1</v>
      </c>
      <c r="Z955">
        <v>3</v>
      </c>
      <c r="AA955" t="str">
        <f t="shared" si="78"/>
        <v>Mid Tenure</v>
      </c>
      <c r="AB955" s="5">
        <v>45215</v>
      </c>
      <c r="AC955">
        <f t="shared" si="79"/>
        <v>0</v>
      </c>
      <c r="AD955" t="s">
        <v>38</v>
      </c>
      <c r="AE955">
        <f>VLOOKUP(A955,'Employee Engagement Survey'!A879:B2348,2,FALSE)</f>
        <v>2</v>
      </c>
      <c r="AF955">
        <f>VLOOKUP(A955,'Employee Engagement Survey'!A879:C2348,3,FALSE)</f>
        <v>3</v>
      </c>
      <c r="AG955">
        <f>VLOOKUP(A955,'Employee Engagement Survey'!A879:D2348,4,FALSE)</f>
        <v>1</v>
      </c>
      <c r="AH955">
        <f>VLOOKUP(A955,'Employee Engagement Survey'!A879:E2348,5,FALSE)</f>
        <v>2</v>
      </c>
      <c r="AI955">
        <f t="shared" si="77"/>
        <v>2</v>
      </c>
    </row>
    <row r="956" spans="1:35" hidden="1" x14ac:dyDescent="0.4">
      <c r="A956">
        <v>516</v>
      </c>
      <c r="B956" t="s">
        <v>34</v>
      </c>
      <c r="C956">
        <f t="shared" si="80"/>
        <v>1</v>
      </c>
      <c r="D956" t="s">
        <v>57</v>
      </c>
      <c r="E956">
        <f t="shared" si="76"/>
        <v>0</v>
      </c>
      <c r="F956" t="s">
        <v>40</v>
      </c>
      <c r="G956">
        <v>7</v>
      </c>
      <c r="H956" s="1">
        <v>80580</v>
      </c>
      <c r="I956" s="10">
        <v>0.12</v>
      </c>
      <c r="J956">
        <v>37.5</v>
      </c>
      <c r="K956" t="s">
        <v>34</v>
      </c>
      <c r="L956">
        <v>40</v>
      </c>
      <c r="M956" t="s">
        <v>47</v>
      </c>
      <c r="N956" t="s">
        <v>48</v>
      </c>
      <c r="O956" t="s">
        <v>31</v>
      </c>
      <c r="P956">
        <v>2</v>
      </c>
      <c r="Q956" t="s">
        <v>36</v>
      </c>
      <c r="R956" t="s">
        <v>56</v>
      </c>
      <c r="S956">
        <v>3</v>
      </c>
      <c r="T956">
        <v>2</v>
      </c>
      <c r="U956">
        <v>8</v>
      </c>
      <c r="V956">
        <v>5</v>
      </c>
      <c r="W956">
        <v>5</v>
      </c>
      <c r="X956">
        <v>4</v>
      </c>
      <c r="Y956">
        <v>1</v>
      </c>
      <c r="Z956">
        <v>3</v>
      </c>
      <c r="AA956" t="str">
        <f t="shared" si="78"/>
        <v>Mid Tenure</v>
      </c>
      <c r="AB956" s="5">
        <v>45233</v>
      </c>
      <c r="AC956">
        <f t="shared" si="79"/>
        <v>0</v>
      </c>
      <c r="AD956" t="s">
        <v>38</v>
      </c>
      <c r="AE956">
        <f>VLOOKUP(A956,'Employee Engagement Survey'!A880:B2349,2,FALSE)</f>
        <v>4</v>
      </c>
      <c r="AF956">
        <f>VLOOKUP(A956,'Employee Engagement Survey'!A880:C2349,3,FALSE)</f>
        <v>2</v>
      </c>
      <c r="AG956">
        <f>VLOOKUP(A956,'Employee Engagement Survey'!A880:D2349,4,FALSE)</f>
        <v>3</v>
      </c>
      <c r="AH956">
        <f>VLOOKUP(A956,'Employee Engagement Survey'!A880:E2349,5,FALSE)</f>
        <v>3</v>
      </c>
      <c r="AI956">
        <f t="shared" si="77"/>
        <v>3</v>
      </c>
    </row>
    <row r="957" spans="1:35" hidden="1" x14ac:dyDescent="0.4">
      <c r="A957">
        <v>1161</v>
      </c>
      <c r="B957" t="s">
        <v>34</v>
      </c>
      <c r="C957">
        <f t="shared" si="80"/>
        <v>1</v>
      </c>
      <c r="D957" t="s">
        <v>55</v>
      </c>
      <c r="E957">
        <f t="shared" si="76"/>
        <v>0</v>
      </c>
      <c r="F957" t="s">
        <v>28</v>
      </c>
      <c r="G957">
        <v>7</v>
      </c>
      <c r="H957" s="1">
        <v>80772</v>
      </c>
      <c r="I957" s="10">
        <v>0.13</v>
      </c>
      <c r="J957">
        <v>37.5</v>
      </c>
      <c r="K957" t="s">
        <v>34</v>
      </c>
      <c r="L957">
        <v>37</v>
      </c>
      <c r="M957" t="s">
        <v>47</v>
      </c>
      <c r="N957" t="s">
        <v>48</v>
      </c>
      <c r="O957" t="s">
        <v>31</v>
      </c>
      <c r="P957">
        <v>25</v>
      </c>
      <c r="Q957" t="s">
        <v>36</v>
      </c>
      <c r="R957" t="s">
        <v>33</v>
      </c>
      <c r="S957">
        <v>3</v>
      </c>
      <c r="T957">
        <v>2</v>
      </c>
      <c r="U957">
        <v>9</v>
      </c>
      <c r="V957">
        <v>2</v>
      </c>
      <c r="W957">
        <v>6</v>
      </c>
      <c r="X957">
        <v>2</v>
      </c>
      <c r="Y957">
        <v>1</v>
      </c>
      <c r="Z957">
        <v>3</v>
      </c>
      <c r="AA957" t="str">
        <f t="shared" si="78"/>
        <v>Mid Tenure</v>
      </c>
      <c r="AB957" s="5">
        <v>45214</v>
      </c>
      <c r="AC957">
        <f t="shared" si="79"/>
        <v>0</v>
      </c>
      <c r="AD957" t="s">
        <v>38</v>
      </c>
      <c r="AE957">
        <f>VLOOKUP(A957,'Employee Engagement Survey'!A881:B2350,2,FALSE)</f>
        <v>3</v>
      </c>
      <c r="AF957">
        <f>VLOOKUP(A957,'Employee Engagement Survey'!A881:C2350,3,FALSE)</f>
        <v>4</v>
      </c>
      <c r="AG957">
        <f>VLOOKUP(A957,'Employee Engagement Survey'!A881:D2350,4,FALSE)</f>
        <v>3</v>
      </c>
      <c r="AH957">
        <f>VLOOKUP(A957,'Employee Engagement Survey'!A881:E2350,5,FALSE)</f>
        <v>3</v>
      </c>
      <c r="AI957">
        <f t="shared" si="77"/>
        <v>3.25</v>
      </c>
    </row>
    <row r="958" spans="1:35" hidden="1" x14ac:dyDescent="0.4">
      <c r="A958">
        <v>1929</v>
      </c>
      <c r="B958" t="s">
        <v>34</v>
      </c>
      <c r="C958">
        <f t="shared" si="80"/>
        <v>1</v>
      </c>
      <c r="D958" t="s">
        <v>57</v>
      </c>
      <c r="E958">
        <f t="shared" si="76"/>
        <v>0</v>
      </c>
      <c r="F958" t="s">
        <v>40</v>
      </c>
      <c r="G958">
        <v>7</v>
      </c>
      <c r="H958" s="1">
        <v>80832</v>
      </c>
      <c r="I958" s="10">
        <v>0.19</v>
      </c>
      <c r="J958">
        <v>37.5</v>
      </c>
      <c r="K958" t="s">
        <v>34</v>
      </c>
      <c r="L958">
        <v>39</v>
      </c>
      <c r="M958" t="s">
        <v>47</v>
      </c>
      <c r="N958" t="s">
        <v>42</v>
      </c>
      <c r="O958" t="s">
        <v>35</v>
      </c>
      <c r="P958">
        <v>21</v>
      </c>
      <c r="Q958" t="s">
        <v>51</v>
      </c>
      <c r="R958" t="s">
        <v>37</v>
      </c>
      <c r="S958">
        <v>3</v>
      </c>
      <c r="T958">
        <v>1</v>
      </c>
      <c r="U958">
        <v>10</v>
      </c>
      <c r="V958">
        <v>1</v>
      </c>
      <c r="W958">
        <v>3</v>
      </c>
      <c r="X958">
        <v>2</v>
      </c>
      <c r="Y958">
        <v>1</v>
      </c>
      <c r="Z958">
        <v>2</v>
      </c>
      <c r="AA958" t="str">
        <f t="shared" si="78"/>
        <v>Mid Tenure</v>
      </c>
      <c r="AB958" s="5">
        <v>45292</v>
      </c>
      <c r="AC958">
        <f t="shared" si="79"/>
        <v>0</v>
      </c>
      <c r="AD958" t="s">
        <v>38</v>
      </c>
      <c r="AE958">
        <f>VLOOKUP(A958,'Employee Engagement Survey'!A882:B2351,2,FALSE)</f>
        <v>1</v>
      </c>
      <c r="AF958">
        <f>VLOOKUP(A958,'Employee Engagement Survey'!A882:C2351,3,FALSE)</f>
        <v>3</v>
      </c>
      <c r="AG958">
        <f>VLOOKUP(A958,'Employee Engagement Survey'!A882:D2351,4,FALSE)</f>
        <v>3</v>
      </c>
      <c r="AH958">
        <f>VLOOKUP(A958,'Employee Engagement Survey'!A882:E2351,5,FALSE)</f>
        <v>3</v>
      </c>
      <c r="AI958">
        <f t="shared" si="77"/>
        <v>2.5</v>
      </c>
    </row>
    <row r="959" spans="1:35" hidden="1" x14ac:dyDescent="0.4">
      <c r="A959">
        <v>1257</v>
      </c>
      <c r="B959" t="s">
        <v>34</v>
      </c>
      <c r="C959">
        <f t="shared" si="80"/>
        <v>1</v>
      </c>
      <c r="D959" t="s">
        <v>27</v>
      </c>
      <c r="E959">
        <f t="shared" si="76"/>
        <v>0</v>
      </c>
      <c r="F959" t="s">
        <v>28</v>
      </c>
      <c r="G959">
        <v>6</v>
      </c>
      <c r="H959" s="1">
        <v>68304</v>
      </c>
      <c r="I959" s="10">
        <v>0.12</v>
      </c>
      <c r="J959">
        <v>37.5</v>
      </c>
      <c r="K959" t="s">
        <v>34</v>
      </c>
      <c r="L959">
        <v>36</v>
      </c>
      <c r="M959" t="s">
        <v>29</v>
      </c>
      <c r="N959" t="s">
        <v>42</v>
      </c>
      <c r="O959" t="s">
        <v>44</v>
      </c>
      <c r="P959">
        <v>3</v>
      </c>
      <c r="Q959" t="s">
        <v>43</v>
      </c>
      <c r="R959" t="s">
        <v>45</v>
      </c>
      <c r="S959">
        <v>3</v>
      </c>
      <c r="T959">
        <v>0</v>
      </c>
      <c r="U959">
        <v>12</v>
      </c>
      <c r="V959">
        <v>2</v>
      </c>
      <c r="W959">
        <v>11</v>
      </c>
      <c r="X959">
        <v>10</v>
      </c>
      <c r="Y959">
        <v>0</v>
      </c>
      <c r="Z959">
        <v>7</v>
      </c>
      <c r="AA959" t="str">
        <f t="shared" si="78"/>
        <v>Long Tenure</v>
      </c>
      <c r="AB959" s="5">
        <v>45859</v>
      </c>
      <c r="AC959">
        <f t="shared" si="79"/>
        <v>1</v>
      </c>
      <c r="AD959" t="s">
        <v>49</v>
      </c>
      <c r="AE959">
        <f>VLOOKUP(A959,'Employee Engagement Survey'!A883:B2352,2,FALSE)</f>
        <v>3</v>
      </c>
      <c r="AF959">
        <f>VLOOKUP(A959,'Employee Engagement Survey'!A883:C2352,3,FALSE)</f>
        <v>2</v>
      </c>
      <c r="AG959">
        <f>VLOOKUP(A959,'Employee Engagement Survey'!A883:D2352,4,FALSE)</f>
        <v>3</v>
      </c>
      <c r="AH959">
        <f>VLOOKUP(A959,'Employee Engagement Survey'!A883:E2352,5,FALSE)</f>
        <v>2</v>
      </c>
      <c r="AI959">
        <f t="shared" si="77"/>
        <v>2.5</v>
      </c>
    </row>
    <row r="960" spans="1:35" hidden="1" x14ac:dyDescent="0.4">
      <c r="A960">
        <v>1258</v>
      </c>
      <c r="B960" t="s">
        <v>34</v>
      </c>
      <c r="C960">
        <f t="shared" si="80"/>
        <v>1</v>
      </c>
      <c r="D960" t="s">
        <v>46</v>
      </c>
      <c r="E960">
        <f t="shared" si="76"/>
        <v>0</v>
      </c>
      <c r="F960" t="s">
        <v>28</v>
      </c>
      <c r="G960">
        <v>4</v>
      </c>
      <c r="H960" s="1">
        <v>54708</v>
      </c>
      <c r="I960" s="10">
        <v>0.11</v>
      </c>
      <c r="J960">
        <v>37.5</v>
      </c>
      <c r="K960" t="s">
        <v>34</v>
      </c>
      <c r="L960">
        <v>48</v>
      </c>
      <c r="M960" t="s">
        <v>29</v>
      </c>
      <c r="N960" t="s">
        <v>30</v>
      </c>
      <c r="O960" t="s">
        <v>31</v>
      </c>
      <c r="P960">
        <v>2</v>
      </c>
      <c r="Q960" t="s">
        <v>36</v>
      </c>
      <c r="R960" t="s">
        <v>45</v>
      </c>
      <c r="S960">
        <v>3</v>
      </c>
      <c r="T960">
        <v>0</v>
      </c>
      <c r="U960">
        <v>7</v>
      </c>
      <c r="V960">
        <v>4</v>
      </c>
      <c r="W960">
        <v>1</v>
      </c>
      <c r="X960">
        <v>0</v>
      </c>
      <c r="Y960">
        <v>0</v>
      </c>
      <c r="Z960">
        <v>0</v>
      </c>
      <c r="AA960" t="str">
        <f t="shared" si="78"/>
        <v>Early Tenure</v>
      </c>
      <c r="AB960" s="5">
        <v>45623</v>
      </c>
      <c r="AC960">
        <f t="shared" si="79"/>
        <v>1</v>
      </c>
      <c r="AD960" t="s">
        <v>38</v>
      </c>
      <c r="AE960">
        <f>VLOOKUP(A960,'Employee Engagement Survey'!A884:B2353,2,FALSE)</f>
        <v>4</v>
      </c>
      <c r="AF960">
        <f>VLOOKUP(A960,'Employee Engagement Survey'!A884:C2353,3,FALSE)</f>
        <v>2</v>
      </c>
      <c r="AG960">
        <f>VLOOKUP(A960,'Employee Engagement Survey'!A884:D2353,4,FALSE)</f>
        <v>3</v>
      </c>
      <c r="AH960">
        <f>VLOOKUP(A960,'Employee Engagement Survey'!A884:E2353,5,FALSE)</f>
        <v>2</v>
      </c>
      <c r="AI960">
        <f t="shared" si="77"/>
        <v>2.75</v>
      </c>
    </row>
    <row r="961" spans="1:35" hidden="1" x14ac:dyDescent="0.4">
      <c r="A961">
        <v>1259</v>
      </c>
      <c r="B961" t="s">
        <v>34</v>
      </c>
      <c r="C961">
        <f t="shared" si="80"/>
        <v>1</v>
      </c>
      <c r="D961" t="s">
        <v>27</v>
      </c>
      <c r="E961">
        <f t="shared" si="76"/>
        <v>0</v>
      </c>
      <c r="F961" t="s">
        <v>28</v>
      </c>
      <c r="G961">
        <v>4</v>
      </c>
      <c r="H961" s="1">
        <v>54204</v>
      </c>
      <c r="I961" s="10">
        <v>0.11</v>
      </c>
      <c r="J961">
        <v>37.5</v>
      </c>
      <c r="K961" t="s">
        <v>34</v>
      </c>
      <c r="L961">
        <v>27</v>
      </c>
      <c r="M961" t="s">
        <v>29</v>
      </c>
      <c r="N961" t="s">
        <v>48</v>
      </c>
      <c r="O961" t="s">
        <v>31</v>
      </c>
      <c r="P961">
        <v>4</v>
      </c>
      <c r="Q961" t="s">
        <v>36</v>
      </c>
      <c r="R961" t="s">
        <v>37</v>
      </c>
      <c r="S961">
        <v>3</v>
      </c>
      <c r="T961">
        <v>3</v>
      </c>
      <c r="U961">
        <v>5</v>
      </c>
      <c r="V961">
        <v>2</v>
      </c>
      <c r="W961">
        <v>5</v>
      </c>
      <c r="X961">
        <v>3</v>
      </c>
      <c r="Y961">
        <v>0</v>
      </c>
      <c r="Z961">
        <v>3</v>
      </c>
      <c r="AA961" t="str">
        <f t="shared" si="78"/>
        <v>Mid Tenure</v>
      </c>
      <c r="AB961" s="5">
        <v>45634</v>
      </c>
      <c r="AC961">
        <f t="shared" si="79"/>
        <v>1</v>
      </c>
      <c r="AD961" t="s">
        <v>38</v>
      </c>
      <c r="AE961">
        <f>VLOOKUP(A961,'Employee Engagement Survey'!A885:B2354,2,FALSE)</f>
        <v>1</v>
      </c>
      <c r="AF961">
        <f>VLOOKUP(A961,'Employee Engagement Survey'!A885:C2354,3,FALSE)</f>
        <v>3</v>
      </c>
      <c r="AG961">
        <f>VLOOKUP(A961,'Employee Engagement Survey'!A885:D2354,4,FALSE)</f>
        <v>2</v>
      </c>
      <c r="AH961">
        <f>VLOOKUP(A961,'Employee Engagement Survey'!A885:E2354,5,FALSE)</f>
        <v>3</v>
      </c>
      <c r="AI961">
        <f t="shared" si="77"/>
        <v>2.25</v>
      </c>
    </row>
    <row r="962" spans="1:35" hidden="1" x14ac:dyDescent="0.4">
      <c r="A962">
        <v>1260</v>
      </c>
      <c r="B962" t="s">
        <v>34</v>
      </c>
      <c r="C962">
        <f t="shared" si="80"/>
        <v>1</v>
      </c>
      <c r="D962" t="s">
        <v>55</v>
      </c>
      <c r="E962">
        <f t="shared" ref="E962:E1025" si="81">IF(OR(D962="Manager, HR", D962="Manager, Sales", D962="Manager, R&amp;D", D962="Manufacturing Director",D962="Research Director", D962="VP, HR", D962="CEO"),1,0)</f>
        <v>0</v>
      </c>
      <c r="F962" t="s">
        <v>28</v>
      </c>
      <c r="G962">
        <v>8</v>
      </c>
      <c r="H962" s="1">
        <v>91476</v>
      </c>
      <c r="I962" s="10">
        <v>0.11</v>
      </c>
      <c r="J962">
        <v>37.5</v>
      </c>
      <c r="K962" t="s">
        <v>26</v>
      </c>
      <c r="L962">
        <v>29</v>
      </c>
      <c r="M962" t="s">
        <v>29</v>
      </c>
      <c r="N962" t="s">
        <v>48</v>
      </c>
      <c r="O962" t="s">
        <v>31</v>
      </c>
      <c r="P962">
        <v>7</v>
      </c>
      <c r="Q962" t="s">
        <v>43</v>
      </c>
      <c r="R962" t="s">
        <v>37</v>
      </c>
      <c r="S962">
        <v>3</v>
      </c>
      <c r="T962">
        <v>2</v>
      </c>
      <c r="U962">
        <v>6</v>
      </c>
      <c r="V962">
        <v>2</v>
      </c>
      <c r="W962">
        <v>6</v>
      </c>
      <c r="X962">
        <v>0</v>
      </c>
      <c r="Y962">
        <v>1</v>
      </c>
      <c r="Z962">
        <v>0</v>
      </c>
      <c r="AA962" t="str">
        <f t="shared" si="78"/>
        <v>Mid Tenure</v>
      </c>
      <c r="AB962" s="5">
        <v>44816</v>
      </c>
      <c r="AC962">
        <f t="shared" si="79"/>
        <v>0</v>
      </c>
      <c r="AD962" t="s">
        <v>38</v>
      </c>
      <c r="AE962">
        <f>VLOOKUP(A962,'Employee Engagement Survey'!A886:B2355,2,FALSE)</f>
        <v>3</v>
      </c>
      <c r="AF962">
        <f>VLOOKUP(A962,'Employee Engagement Survey'!A886:C2355,3,FALSE)</f>
        <v>4</v>
      </c>
      <c r="AG962">
        <f>VLOOKUP(A962,'Employee Engagement Survey'!A886:D2355,4,FALSE)</f>
        <v>2</v>
      </c>
      <c r="AH962">
        <f>VLOOKUP(A962,'Employee Engagement Survey'!A886:E2355,5,FALSE)</f>
        <v>3</v>
      </c>
      <c r="AI962">
        <f t="shared" ref="AI962:AI1025" si="82">AVERAGE(AE962:AH962)</f>
        <v>3</v>
      </c>
    </row>
    <row r="963" spans="1:35" x14ac:dyDescent="0.4">
      <c r="A963">
        <v>1263</v>
      </c>
      <c r="B963" t="s">
        <v>34</v>
      </c>
      <c r="C963">
        <f t="shared" si="80"/>
        <v>1</v>
      </c>
      <c r="D963" t="s">
        <v>60</v>
      </c>
      <c r="E963">
        <f t="shared" si="81"/>
        <v>1</v>
      </c>
      <c r="F963" t="s">
        <v>28</v>
      </c>
      <c r="G963">
        <v>5</v>
      </c>
      <c r="H963" s="1">
        <v>231180</v>
      </c>
      <c r="I963" s="10">
        <v>0.12</v>
      </c>
      <c r="J963">
        <v>37.5</v>
      </c>
      <c r="K963" t="s">
        <v>34</v>
      </c>
      <c r="L963">
        <v>48</v>
      </c>
      <c r="M963" t="s">
        <v>29</v>
      </c>
      <c r="N963" t="s">
        <v>30</v>
      </c>
      <c r="O963" t="s">
        <v>31</v>
      </c>
      <c r="P963">
        <v>1</v>
      </c>
      <c r="Q963" t="s">
        <v>43</v>
      </c>
      <c r="R963" t="s">
        <v>37</v>
      </c>
      <c r="S963">
        <v>3</v>
      </c>
      <c r="T963">
        <v>0</v>
      </c>
      <c r="U963">
        <v>25</v>
      </c>
      <c r="V963">
        <v>3</v>
      </c>
      <c r="W963">
        <v>1</v>
      </c>
      <c r="X963">
        <v>0</v>
      </c>
      <c r="Y963">
        <v>0</v>
      </c>
      <c r="Z963">
        <v>0</v>
      </c>
      <c r="AA963" t="str">
        <f t="shared" ref="AA963:AA1026" si="83">IF(W963&lt;=2,"Early Tenure",IF(W963&lt;=9,"Mid Tenure","Long Tenure"))</f>
        <v>Early Tenure</v>
      </c>
      <c r="AB963" s="5">
        <v>44974</v>
      </c>
      <c r="AC963">
        <f t="shared" ref="AC963:AC1026" si="84">IF(AND(AB963&lt;&gt;"",AB963&gt;DATE(2024,1,1)),1,0)</f>
        <v>0</v>
      </c>
      <c r="AD963" t="s">
        <v>49</v>
      </c>
      <c r="AE963">
        <f>VLOOKUP(A963,'Employee Engagement Survey'!A887:B2356,2,FALSE)</f>
        <v>4</v>
      </c>
      <c r="AF963">
        <f>VLOOKUP(A963,'Employee Engagement Survey'!A887:C2356,3,FALSE)</f>
        <v>4</v>
      </c>
      <c r="AG963">
        <f>VLOOKUP(A963,'Employee Engagement Survey'!A887:D2356,4,FALSE)</f>
        <v>3</v>
      </c>
      <c r="AH963">
        <f>VLOOKUP(A963,'Employee Engagement Survey'!A887:E2356,5,FALSE)</f>
        <v>4</v>
      </c>
      <c r="AI963">
        <f t="shared" si="82"/>
        <v>3.75</v>
      </c>
    </row>
    <row r="964" spans="1:35" hidden="1" x14ac:dyDescent="0.4">
      <c r="A964">
        <v>1267</v>
      </c>
      <c r="B964" t="s">
        <v>34</v>
      </c>
      <c r="C964">
        <f t="shared" si="80"/>
        <v>1</v>
      </c>
      <c r="D964" t="s">
        <v>110</v>
      </c>
      <c r="E964">
        <f t="shared" si="81"/>
        <v>1</v>
      </c>
      <c r="F964" t="s">
        <v>40</v>
      </c>
      <c r="G964">
        <v>5</v>
      </c>
      <c r="H964" s="1">
        <v>230556</v>
      </c>
      <c r="I964" s="10">
        <v>0.11</v>
      </c>
      <c r="J964">
        <v>37.5</v>
      </c>
      <c r="K964" t="s">
        <v>34</v>
      </c>
      <c r="L964">
        <v>44</v>
      </c>
      <c r="M964" t="s">
        <v>29</v>
      </c>
      <c r="N964" t="s">
        <v>42</v>
      </c>
      <c r="O964" t="s">
        <v>31</v>
      </c>
      <c r="P964">
        <v>5</v>
      </c>
      <c r="Q964" t="s">
        <v>43</v>
      </c>
      <c r="R964" t="s">
        <v>56</v>
      </c>
      <c r="S964">
        <v>3</v>
      </c>
      <c r="T964">
        <v>1</v>
      </c>
      <c r="U964">
        <v>26</v>
      </c>
      <c r="V964">
        <v>5</v>
      </c>
      <c r="W964">
        <v>22</v>
      </c>
      <c r="X964">
        <v>9</v>
      </c>
      <c r="Y964">
        <v>3</v>
      </c>
      <c r="Z964">
        <v>10</v>
      </c>
      <c r="AA964" t="str">
        <f t="shared" si="83"/>
        <v>Long Tenure</v>
      </c>
      <c r="AB964" s="5">
        <v>44883</v>
      </c>
      <c r="AC964">
        <f t="shared" si="84"/>
        <v>0</v>
      </c>
      <c r="AD964" t="s">
        <v>38</v>
      </c>
      <c r="AE964">
        <f>VLOOKUP(A964,'Employee Engagement Survey'!A889:B2358,2,FALSE)</f>
        <v>2</v>
      </c>
      <c r="AF964">
        <f>VLOOKUP(A964,'Employee Engagement Survey'!A889:C2358,3,FALSE)</f>
        <v>2</v>
      </c>
      <c r="AG964">
        <f>VLOOKUP(A964,'Employee Engagement Survey'!A889:D2358,4,FALSE)</f>
        <v>3</v>
      </c>
      <c r="AH964">
        <f>VLOOKUP(A964,'Employee Engagement Survey'!A889:E2358,5,FALSE)</f>
        <v>3</v>
      </c>
      <c r="AI964">
        <f t="shared" si="82"/>
        <v>2.5</v>
      </c>
    </row>
    <row r="965" spans="1:35" hidden="1" x14ac:dyDescent="0.4">
      <c r="A965">
        <v>1403</v>
      </c>
      <c r="B965" t="s">
        <v>34</v>
      </c>
      <c r="C965">
        <f t="shared" si="80"/>
        <v>1</v>
      </c>
      <c r="D965" t="s">
        <v>57</v>
      </c>
      <c r="E965">
        <f t="shared" si="81"/>
        <v>0</v>
      </c>
      <c r="F965" t="s">
        <v>40</v>
      </c>
      <c r="G965">
        <v>7</v>
      </c>
      <c r="H965" s="1">
        <v>81228</v>
      </c>
      <c r="I965" s="10">
        <v>0.11</v>
      </c>
      <c r="J965">
        <v>37.5</v>
      </c>
      <c r="K965" t="s">
        <v>26</v>
      </c>
      <c r="L965">
        <v>27</v>
      </c>
      <c r="M965" t="s">
        <v>47</v>
      </c>
      <c r="N965" t="s">
        <v>42</v>
      </c>
      <c r="O965" t="s">
        <v>31</v>
      </c>
      <c r="P965">
        <v>10</v>
      </c>
      <c r="Q965" t="s">
        <v>43</v>
      </c>
      <c r="R965" t="s">
        <v>56</v>
      </c>
      <c r="S965">
        <v>3</v>
      </c>
      <c r="T965">
        <v>0</v>
      </c>
      <c r="U965">
        <v>6</v>
      </c>
      <c r="V965">
        <v>3</v>
      </c>
      <c r="W965">
        <v>6</v>
      </c>
      <c r="X965">
        <v>2</v>
      </c>
      <c r="Y965">
        <v>4</v>
      </c>
      <c r="Z965">
        <v>4</v>
      </c>
      <c r="AA965" t="str">
        <f t="shared" si="83"/>
        <v>Mid Tenure</v>
      </c>
      <c r="AB965" s="5">
        <v>45497</v>
      </c>
      <c r="AC965">
        <f t="shared" si="84"/>
        <v>1</v>
      </c>
      <c r="AD965" t="s">
        <v>49</v>
      </c>
      <c r="AE965">
        <f>VLOOKUP(A965,'Employee Engagement Survey'!A890:B2359,2,FALSE)</f>
        <v>4</v>
      </c>
      <c r="AF965">
        <f>VLOOKUP(A965,'Employee Engagement Survey'!A890:C2359,3,FALSE)</f>
        <v>4</v>
      </c>
      <c r="AG965">
        <f>VLOOKUP(A965,'Employee Engagement Survey'!A890:D2359,4,FALSE)</f>
        <v>4</v>
      </c>
      <c r="AH965">
        <f>VLOOKUP(A965,'Employee Engagement Survey'!A890:E2359,5,FALSE)</f>
        <v>3</v>
      </c>
      <c r="AI965">
        <f t="shared" si="82"/>
        <v>3.75</v>
      </c>
    </row>
    <row r="966" spans="1:35" hidden="1" x14ac:dyDescent="0.4">
      <c r="A966">
        <v>1611</v>
      </c>
      <c r="B966" t="s">
        <v>34</v>
      </c>
      <c r="C966">
        <f t="shared" si="80"/>
        <v>1</v>
      </c>
      <c r="D966" t="s">
        <v>46</v>
      </c>
      <c r="E966">
        <f t="shared" si="81"/>
        <v>0</v>
      </c>
      <c r="F966" t="s">
        <v>28</v>
      </c>
      <c r="G966">
        <v>7</v>
      </c>
      <c r="H966" s="1">
        <v>81228</v>
      </c>
      <c r="I966" s="10">
        <v>0.14000000000000001</v>
      </c>
      <c r="J966">
        <v>37.5</v>
      </c>
      <c r="K966" t="s">
        <v>26</v>
      </c>
      <c r="L966">
        <v>45</v>
      </c>
      <c r="M966" t="s">
        <v>47</v>
      </c>
      <c r="N966" t="s">
        <v>30</v>
      </c>
      <c r="O966" t="s">
        <v>31</v>
      </c>
      <c r="P966">
        <v>5</v>
      </c>
      <c r="Q966" t="s">
        <v>58</v>
      </c>
      <c r="R966" t="s">
        <v>33</v>
      </c>
      <c r="S966">
        <v>3</v>
      </c>
      <c r="T966">
        <v>0</v>
      </c>
      <c r="U966">
        <v>10</v>
      </c>
      <c r="V966">
        <v>3</v>
      </c>
      <c r="W966">
        <v>10</v>
      </c>
      <c r="X966">
        <v>7</v>
      </c>
      <c r="Y966">
        <v>1</v>
      </c>
      <c r="Z966">
        <v>4</v>
      </c>
      <c r="AA966" t="str">
        <f t="shared" si="83"/>
        <v>Long Tenure</v>
      </c>
      <c r="AB966" s="5">
        <v>45227</v>
      </c>
      <c r="AC966">
        <f t="shared" si="84"/>
        <v>0</v>
      </c>
      <c r="AD966" t="s">
        <v>38</v>
      </c>
      <c r="AE966">
        <f>VLOOKUP(A966,'Employee Engagement Survey'!A891:B2360,2,FALSE)</f>
        <v>3</v>
      </c>
      <c r="AF966">
        <f>VLOOKUP(A966,'Employee Engagement Survey'!A891:C2360,3,FALSE)</f>
        <v>1</v>
      </c>
      <c r="AG966">
        <f>VLOOKUP(A966,'Employee Engagement Survey'!A891:D2360,4,FALSE)</f>
        <v>1</v>
      </c>
      <c r="AH966">
        <f>VLOOKUP(A966,'Employee Engagement Survey'!A891:E2360,5,FALSE)</f>
        <v>3</v>
      </c>
      <c r="AI966">
        <f t="shared" si="82"/>
        <v>2</v>
      </c>
    </row>
    <row r="967" spans="1:35" hidden="1" x14ac:dyDescent="0.4">
      <c r="A967">
        <v>1635</v>
      </c>
      <c r="B967" t="s">
        <v>34</v>
      </c>
      <c r="C967">
        <f t="shared" si="80"/>
        <v>1</v>
      </c>
      <c r="D967" t="s">
        <v>54</v>
      </c>
      <c r="E967">
        <f t="shared" si="81"/>
        <v>1</v>
      </c>
      <c r="F967" t="s">
        <v>28</v>
      </c>
      <c r="G967">
        <v>7</v>
      </c>
      <c r="H967" s="1">
        <v>81240</v>
      </c>
      <c r="I967" s="10">
        <v>0.19</v>
      </c>
      <c r="J967">
        <v>37.5</v>
      </c>
      <c r="K967" t="s">
        <v>34</v>
      </c>
      <c r="L967">
        <v>45</v>
      </c>
      <c r="M967" t="s">
        <v>47</v>
      </c>
      <c r="N967" t="s">
        <v>48</v>
      </c>
      <c r="O967" t="s">
        <v>31</v>
      </c>
      <c r="P967">
        <v>2</v>
      </c>
      <c r="Q967" t="s">
        <v>36</v>
      </c>
      <c r="R967" t="s">
        <v>53</v>
      </c>
      <c r="S967">
        <v>3</v>
      </c>
      <c r="T967">
        <v>2</v>
      </c>
      <c r="U967">
        <v>10</v>
      </c>
      <c r="V967">
        <v>3</v>
      </c>
      <c r="W967">
        <v>10</v>
      </c>
      <c r="X967">
        <v>7</v>
      </c>
      <c r="Y967">
        <v>3</v>
      </c>
      <c r="Z967">
        <v>9</v>
      </c>
      <c r="AA967" t="str">
        <f t="shared" si="83"/>
        <v>Long Tenure</v>
      </c>
      <c r="AB967" s="5">
        <v>45332</v>
      </c>
      <c r="AC967">
        <f t="shared" si="84"/>
        <v>1</v>
      </c>
      <c r="AD967" t="s">
        <v>38</v>
      </c>
      <c r="AE967">
        <f>VLOOKUP(A967,'Employee Engagement Survey'!A892:B2361,2,FALSE)</f>
        <v>4</v>
      </c>
      <c r="AF967">
        <f>VLOOKUP(A967,'Employee Engagement Survey'!A892:C2361,3,FALSE)</f>
        <v>4</v>
      </c>
      <c r="AG967">
        <f>VLOOKUP(A967,'Employee Engagement Survey'!A892:D2361,4,FALSE)</f>
        <v>1</v>
      </c>
      <c r="AH967">
        <f>VLOOKUP(A967,'Employee Engagement Survey'!A892:E2361,5,FALSE)</f>
        <v>3</v>
      </c>
      <c r="AI967">
        <f t="shared" si="82"/>
        <v>3</v>
      </c>
    </row>
    <row r="968" spans="1:35" hidden="1" x14ac:dyDescent="0.4">
      <c r="A968">
        <v>1268</v>
      </c>
      <c r="B968" t="s">
        <v>34</v>
      </c>
      <c r="C968">
        <f t="shared" si="80"/>
        <v>1</v>
      </c>
      <c r="D968" t="s">
        <v>57</v>
      </c>
      <c r="E968">
        <f t="shared" si="81"/>
        <v>0</v>
      </c>
      <c r="F968" t="s">
        <v>40</v>
      </c>
      <c r="G968">
        <v>9</v>
      </c>
      <c r="H968" s="1">
        <v>112560</v>
      </c>
      <c r="I968" s="10">
        <v>0.14000000000000001</v>
      </c>
      <c r="J968">
        <v>37.5</v>
      </c>
      <c r="K968" t="s">
        <v>26</v>
      </c>
      <c r="L968">
        <v>33</v>
      </c>
      <c r="M968" t="s">
        <v>29</v>
      </c>
      <c r="N968" t="s">
        <v>48</v>
      </c>
      <c r="O968" t="s">
        <v>31</v>
      </c>
      <c r="P968">
        <v>10</v>
      </c>
      <c r="Q968" t="s">
        <v>58</v>
      </c>
      <c r="R968" t="s">
        <v>56</v>
      </c>
      <c r="S968">
        <v>3</v>
      </c>
      <c r="T968">
        <v>2</v>
      </c>
      <c r="U968">
        <v>10</v>
      </c>
      <c r="V968">
        <v>3</v>
      </c>
      <c r="W968">
        <v>9</v>
      </c>
      <c r="X968">
        <v>8</v>
      </c>
      <c r="Y968">
        <v>0</v>
      </c>
      <c r="Z968">
        <v>8</v>
      </c>
      <c r="AA968" t="str">
        <f t="shared" si="83"/>
        <v>Mid Tenure</v>
      </c>
      <c r="AB968" s="5">
        <v>44883</v>
      </c>
      <c r="AC968">
        <f t="shared" si="84"/>
        <v>0</v>
      </c>
      <c r="AD968" t="s">
        <v>38</v>
      </c>
      <c r="AE968">
        <f>VLOOKUP(A968,'Employee Engagement Survey'!A893:B2362,2,FALSE)</f>
        <v>4</v>
      </c>
      <c r="AF968">
        <f>VLOOKUP(A968,'Employee Engagement Survey'!A893:C2362,3,FALSE)</f>
        <v>3</v>
      </c>
      <c r="AG968">
        <f>VLOOKUP(A968,'Employee Engagement Survey'!A893:D2362,4,FALSE)</f>
        <v>4</v>
      </c>
      <c r="AH968">
        <f>VLOOKUP(A968,'Employee Engagement Survey'!A893:E2362,5,FALSE)</f>
        <v>3</v>
      </c>
      <c r="AI968">
        <f t="shared" si="82"/>
        <v>3.5</v>
      </c>
    </row>
    <row r="969" spans="1:35" hidden="1" x14ac:dyDescent="0.4">
      <c r="A969">
        <v>441</v>
      </c>
      <c r="B969" t="s">
        <v>34</v>
      </c>
      <c r="C969">
        <f t="shared" si="80"/>
        <v>1</v>
      </c>
      <c r="D969" t="s">
        <v>27</v>
      </c>
      <c r="E969">
        <f t="shared" si="81"/>
        <v>0</v>
      </c>
      <c r="F969" t="s">
        <v>28</v>
      </c>
      <c r="G969">
        <v>7</v>
      </c>
      <c r="H969" s="1">
        <v>81300</v>
      </c>
      <c r="I969" s="10">
        <v>0.13</v>
      </c>
      <c r="J969">
        <v>37.5</v>
      </c>
      <c r="K969" t="s">
        <v>34</v>
      </c>
      <c r="L969">
        <v>30</v>
      </c>
      <c r="M969" t="s">
        <v>47</v>
      </c>
      <c r="N969" t="s">
        <v>42</v>
      </c>
      <c r="O969" t="s">
        <v>31</v>
      </c>
      <c r="P969">
        <v>28</v>
      </c>
      <c r="Q969" t="s">
        <v>36</v>
      </c>
      <c r="R969" t="s">
        <v>33</v>
      </c>
      <c r="S969">
        <v>3</v>
      </c>
      <c r="T969">
        <v>2</v>
      </c>
      <c r="U969">
        <v>11</v>
      </c>
      <c r="V969">
        <v>2</v>
      </c>
      <c r="W969">
        <v>10</v>
      </c>
      <c r="X969">
        <v>8</v>
      </c>
      <c r="Y969">
        <v>1</v>
      </c>
      <c r="Z969">
        <v>9</v>
      </c>
      <c r="AA969" t="str">
        <f t="shared" si="83"/>
        <v>Long Tenure</v>
      </c>
      <c r="AB969" s="5">
        <v>45972</v>
      </c>
      <c r="AC969">
        <f t="shared" si="84"/>
        <v>1</v>
      </c>
      <c r="AD969" t="s">
        <v>38</v>
      </c>
      <c r="AE969">
        <f>VLOOKUP(A969,'Employee Engagement Survey'!A894:B2363,2,FALSE)</f>
        <v>4</v>
      </c>
      <c r="AF969">
        <f>VLOOKUP(A969,'Employee Engagement Survey'!A894:C2363,3,FALSE)</f>
        <v>4</v>
      </c>
      <c r="AG969">
        <f>VLOOKUP(A969,'Employee Engagement Survey'!A894:D2363,4,FALSE)</f>
        <v>4</v>
      </c>
      <c r="AH969">
        <f>VLOOKUP(A969,'Employee Engagement Survey'!A894:E2363,5,FALSE)</f>
        <v>3</v>
      </c>
      <c r="AI969">
        <f t="shared" si="82"/>
        <v>3.75</v>
      </c>
    </row>
    <row r="970" spans="1:35" hidden="1" x14ac:dyDescent="0.4">
      <c r="A970">
        <v>1275</v>
      </c>
      <c r="B970" t="s">
        <v>34</v>
      </c>
      <c r="C970">
        <f t="shared" si="80"/>
        <v>1</v>
      </c>
      <c r="D970" t="s">
        <v>27</v>
      </c>
      <c r="E970">
        <f t="shared" si="81"/>
        <v>0</v>
      </c>
      <c r="F970" t="s">
        <v>28</v>
      </c>
      <c r="G970">
        <v>5</v>
      </c>
      <c r="H970" s="1">
        <v>58500</v>
      </c>
      <c r="I970" s="10">
        <v>0.2</v>
      </c>
      <c r="J970">
        <v>37.5</v>
      </c>
      <c r="K970" t="s">
        <v>26</v>
      </c>
      <c r="L970">
        <v>26</v>
      </c>
      <c r="M970" t="s">
        <v>29</v>
      </c>
      <c r="N970" t="s">
        <v>30</v>
      </c>
      <c r="O970" t="s">
        <v>31</v>
      </c>
      <c r="P970">
        <v>4</v>
      </c>
      <c r="Q970" t="s">
        <v>36</v>
      </c>
      <c r="R970" t="s">
        <v>37</v>
      </c>
      <c r="S970">
        <v>4</v>
      </c>
      <c r="T970">
        <v>0</v>
      </c>
      <c r="U970">
        <v>8</v>
      </c>
      <c r="V970">
        <v>2</v>
      </c>
      <c r="W970">
        <v>8</v>
      </c>
      <c r="X970">
        <v>5</v>
      </c>
      <c r="Y970">
        <v>2</v>
      </c>
      <c r="Z970">
        <v>2</v>
      </c>
      <c r="AA970" t="str">
        <f t="shared" si="83"/>
        <v>Mid Tenure</v>
      </c>
      <c r="AB970" s="5">
        <v>45126</v>
      </c>
      <c r="AC970">
        <f t="shared" si="84"/>
        <v>0</v>
      </c>
      <c r="AD970" t="s">
        <v>38</v>
      </c>
      <c r="AE970">
        <f>VLOOKUP(A970,'Employee Engagement Survey'!A895:B2364,2,FALSE)</f>
        <v>3</v>
      </c>
      <c r="AF970">
        <f>VLOOKUP(A970,'Employee Engagement Survey'!A895:C2364,3,FALSE)</f>
        <v>4</v>
      </c>
      <c r="AG970">
        <f>VLOOKUP(A970,'Employee Engagement Survey'!A895:D2364,4,FALSE)</f>
        <v>2</v>
      </c>
      <c r="AH970">
        <f>VLOOKUP(A970,'Employee Engagement Survey'!A895:E2364,5,FALSE)</f>
        <v>2</v>
      </c>
      <c r="AI970">
        <f t="shared" si="82"/>
        <v>2.75</v>
      </c>
    </row>
    <row r="971" spans="1:35" hidden="1" x14ac:dyDescent="0.4">
      <c r="A971">
        <v>1278</v>
      </c>
      <c r="B971" t="s">
        <v>34</v>
      </c>
      <c r="C971">
        <f t="shared" si="80"/>
        <v>1</v>
      </c>
      <c r="D971" t="s">
        <v>55</v>
      </c>
      <c r="E971">
        <f t="shared" si="81"/>
        <v>0</v>
      </c>
      <c r="F971" t="s">
        <v>28</v>
      </c>
      <c r="G971">
        <v>10</v>
      </c>
      <c r="H971" s="1">
        <v>174924</v>
      </c>
      <c r="I971" s="10">
        <v>0.15</v>
      </c>
      <c r="J971">
        <v>37.5</v>
      </c>
      <c r="K971" t="s">
        <v>26</v>
      </c>
      <c r="L971">
        <v>55</v>
      </c>
      <c r="M971" t="s">
        <v>29</v>
      </c>
      <c r="N971" t="s">
        <v>48</v>
      </c>
      <c r="O971" t="s">
        <v>35</v>
      </c>
      <c r="P971">
        <v>8</v>
      </c>
      <c r="Q971" t="s">
        <v>32</v>
      </c>
      <c r="R971" t="s">
        <v>33</v>
      </c>
      <c r="S971">
        <v>3</v>
      </c>
      <c r="T971">
        <v>1</v>
      </c>
      <c r="U971">
        <v>34</v>
      </c>
      <c r="V971">
        <v>3</v>
      </c>
      <c r="W971">
        <v>33</v>
      </c>
      <c r="X971">
        <v>9</v>
      </c>
      <c r="Y971">
        <v>15</v>
      </c>
      <c r="Z971">
        <v>0</v>
      </c>
      <c r="AA971" t="str">
        <f t="shared" si="83"/>
        <v>Long Tenure</v>
      </c>
      <c r="AB971" s="5">
        <v>45492</v>
      </c>
      <c r="AC971">
        <f t="shared" si="84"/>
        <v>1</v>
      </c>
      <c r="AD971" t="s">
        <v>38</v>
      </c>
      <c r="AE971">
        <f>VLOOKUP(A971,'Employee Engagement Survey'!A896:B2365,2,FALSE)</f>
        <v>4</v>
      </c>
      <c r="AF971">
        <f>VLOOKUP(A971,'Employee Engagement Survey'!A896:C2365,3,FALSE)</f>
        <v>2</v>
      </c>
      <c r="AG971">
        <f>VLOOKUP(A971,'Employee Engagement Survey'!A896:D2365,4,FALSE)</f>
        <v>4</v>
      </c>
      <c r="AH971">
        <f>VLOOKUP(A971,'Employee Engagement Survey'!A896:E2365,5,FALSE)</f>
        <v>3</v>
      </c>
      <c r="AI971">
        <f t="shared" si="82"/>
        <v>3.25</v>
      </c>
    </row>
    <row r="972" spans="1:35" hidden="1" x14ac:dyDescent="0.4">
      <c r="A972">
        <v>1282</v>
      </c>
      <c r="B972" t="s">
        <v>34</v>
      </c>
      <c r="C972">
        <f t="shared" si="80"/>
        <v>1</v>
      </c>
      <c r="D972" t="s">
        <v>110</v>
      </c>
      <c r="E972">
        <f t="shared" si="81"/>
        <v>1</v>
      </c>
      <c r="F972" t="s">
        <v>40</v>
      </c>
      <c r="G972">
        <v>5</v>
      </c>
      <c r="H972" s="1">
        <v>250164</v>
      </c>
      <c r="I972" s="10">
        <v>0.24</v>
      </c>
      <c r="J972">
        <v>37.5</v>
      </c>
      <c r="K972" t="s">
        <v>26</v>
      </c>
      <c r="L972">
        <v>51</v>
      </c>
      <c r="M972" t="s">
        <v>29</v>
      </c>
      <c r="N972" t="s">
        <v>48</v>
      </c>
      <c r="O972" t="s">
        <v>44</v>
      </c>
      <c r="P972">
        <v>9</v>
      </c>
      <c r="Q972" t="s">
        <v>43</v>
      </c>
      <c r="R972" t="s">
        <v>37</v>
      </c>
      <c r="S972">
        <v>4</v>
      </c>
      <c r="T972">
        <v>1</v>
      </c>
      <c r="U972">
        <v>31</v>
      </c>
      <c r="V972">
        <v>5</v>
      </c>
      <c r="W972">
        <v>29</v>
      </c>
      <c r="X972">
        <v>10</v>
      </c>
      <c r="Y972">
        <v>11</v>
      </c>
      <c r="Z972">
        <v>10</v>
      </c>
      <c r="AA972" t="str">
        <f t="shared" si="83"/>
        <v>Long Tenure</v>
      </c>
      <c r="AB972" s="5">
        <v>45324</v>
      </c>
      <c r="AC972">
        <f t="shared" si="84"/>
        <v>1</v>
      </c>
      <c r="AD972" t="s">
        <v>49</v>
      </c>
      <c r="AE972">
        <f>VLOOKUP(A972,'Employee Engagement Survey'!A897:B2366,2,FALSE)</f>
        <v>4</v>
      </c>
      <c r="AF972">
        <f>VLOOKUP(A972,'Employee Engagement Survey'!A897:C2366,3,FALSE)</f>
        <v>2</v>
      </c>
      <c r="AG972">
        <f>VLOOKUP(A972,'Employee Engagement Survey'!A897:D2366,4,FALSE)</f>
        <v>1</v>
      </c>
      <c r="AH972">
        <f>VLOOKUP(A972,'Employee Engagement Survey'!A897:E2366,5,FALSE)</f>
        <v>2</v>
      </c>
      <c r="AI972">
        <f t="shared" si="82"/>
        <v>2.25</v>
      </c>
    </row>
    <row r="973" spans="1:35" hidden="1" x14ac:dyDescent="0.4">
      <c r="A973">
        <v>1283</v>
      </c>
      <c r="B973" t="s">
        <v>34</v>
      </c>
      <c r="C973">
        <f t="shared" si="80"/>
        <v>1</v>
      </c>
      <c r="D973" t="s">
        <v>54</v>
      </c>
      <c r="E973">
        <f t="shared" si="81"/>
        <v>1</v>
      </c>
      <c r="F973" t="s">
        <v>28</v>
      </c>
      <c r="G973">
        <v>9</v>
      </c>
      <c r="H973" s="1">
        <v>138144</v>
      </c>
      <c r="I973" s="10">
        <v>0.12</v>
      </c>
      <c r="J973">
        <v>37.5</v>
      </c>
      <c r="K973" t="s">
        <v>34</v>
      </c>
      <c r="L973">
        <v>59</v>
      </c>
      <c r="M973" t="s">
        <v>29</v>
      </c>
      <c r="N973" t="s">
        <v>30</v>
      </c>
      <c r="O973" t="s">
        <v>31</v>
      </c>
      <c r="P973">
        <v>18</v>
      </c>
      <c r="Q973" t="s">
        <v>51</v>
      </c>
      <c r="R973" t="s">
        <v>33</v>
      </c>
      <c r="S973">
        <v>3</v>
      </c>
      <c r="T973">
        <v>0</v>
      </c>
      <c r="U973">
        <v>25</v>
      </c>
      <c r="V973">
        <v>6</v>
      </c>
      <c r="W973">
        <v>9</v>
      </c>
      <c r="X973">
        <v>7</v>
      </c>
      <c r="Y973">
        <v>5</v>
      </c>
      <c r="Z973">
        <v>4</v>
      </c>
      <c r="AA973" t="str">
        <f t="shared" si="83"/>
        <v>Mid Tenure</v>
      </c>
      <c r="AB973" s="5">
        <v>44592</v>
      </c>
      <c r="AC973">
        <f t="shared" si="84"/>
        <v>0</v>
      </c>
      <c r="AD973" t="s">
        <v>38</v>
      </c>
      <c r="AE973">
        <f>VLOOKUP(A973,'Employee Engagement Survey'!A898:B2367,2,FALSE)</f>
        <v>4</v>
      </c>
      <c r="AF973">
        <f>VLOOKUP(A973,'Employee Engagement Survey'!A898:C2367,3,FALSE)</f>
        <v>4</v>
      </c>
      <c r="AG973">
        <f>VLOOKUP(A973,'Employee Engagement Survey'!A898:D2367,4,FALSE)</f>
        <v>4</v>
      </c>
      <c r="AH973">
        <f>VLOOKUP(A973,'Employee Engagement Survey'!A898:E2367,5,FALSE)</f>
        <v>2</v>
      </c>
      <c r="AI973">
        <f t="shared" si="82"/>
        <v>3.5</v>
      </c>
    </row>
    <row r="974" spans="1:35" hidden="1" x14ac:dyDescent="0.4">
      <c r="A974">
        <v>961</v>
      </c>
      <c r="B974" t="s">
        <v>34</v>
      </c>
      <c r="C974">
        <f t="shared" si="80"/>
        <v>1</v>
      </c>
      <c r="D974" t="s">
        <v>55</v>
      </c>
      <c r="E974">
        <f t="shared" si="81"/>
        <v>0</v>
      </c>
      <c r="F974" t="s">
        <v>28</v>
      </c>
      <c r="G974">
        <v>7</v>
      </c>
      <c r="H974" s="1">
        <v>82260</v>
      </c>
      <c r="I974" s="10">
        <v>0.11</v>
      </c>
      <c r="J974">
        <v>37.5</v>
      </c>
      <c r="K974" t="s">
        <v>26</v>
      </c>
      <c r="L974">
        <v>31</v>
      </c>
      <c r="M974" t="s">
        <v>47</v>
      </c>
      <c r="N974" t="s">
        <v>42</v>
      </c>
      <c r="O974" t="s">
        <v>31</v>
      </c>
      <c r="P974">
        <v>12</v>
      </c>
      <c r="Q974" t="s">
        <v>43</v>
      </c>
      <c r="R974" t="s">
        <v>33</v>
      </c>
      <c r="S974">
        <v>3</v>
      </c>
      <c r="T974">
        <v>2</v>
      </c>
      <c r="U974">
        <v>10</v>
      </c>
      <c r="V974">
        <v>2</v>
      </c>
      <c r="W974">
        <v>9</v>
      </c>
      <c r="X974">
        <v>7</v>
      </c>
      <c r="Y974">
        <v>8</v>
      </c>
      <c r="Z974">
        <v>5</v>
      </c>
      <c r="AA974" t="str">
        <f t="shared" si="83"/>
        <v>Mid Tenure</v>
      </c>
      <c r="AB974" s="5">
        <v>44739</v>
      </c>
      <c r="AC974">
        <f t="shared" si="84"/>
        <v>0</v>
      </c>
      <c r="AD974" t="s">
        <v>49</v>
      </c>
      <c r="AE974">
        <f>VLOOKUP(A974,'Employee Engagement Survey'!A899:B2368,2,FALSE)</f>
        <v>4</v>
      </c>
      <c r="AF974">
        <f>VLOOKUP(A974,'Employee Engagement Survey'!A899:C2368,3,FALSE)</f>
        <v>4</v>
      </c>
      <c r="AG974">
        <f>VLOOKUP(A974,'Employee Engagement Survey'!A899:D2368,4,FALSE)</f>
        <v>3</v>
      </c>
      <c r="AH974">
        <f>VLOOKUP(A974,'Employee Engagement Survey'!A899:E2368,5,FALSE)</f>
        <v>1</v>
      </c>
      <c r="AI974">
        <f t="shared" si="82"/>
        <v>3</v>
      </c>
    </row>
    <row r="975" spans="1:35" hidden="1" x14ac:dyDescent="0.4">
      <c r="A975">
        <v>1286</v>
      </c>
      <c r="B975" t="s">
        <v>34</v>
      </c>
      <c r="C975">
        <f t="shared" si="80"/>
        <v>1</v>
      </c>
      <c r="D975" t="s">
        <v>46</v>
      </c>
      <c r="E975">
        <f t="shared" si="81"/>
        <v>0</v>
      </c>
      <c r="F975" t="s">
        <v>28</v>
      </c>
      <c r="G975">
        <v>3</v>
      </c>
      <c r="H975" s="1">
        <v>49848</v>
      </c>
      <c r="I975" s="10">
        <v>0.11</v>
      </c>
      <c r="J975">
        <v>37.5</v>
      </c>
      <c r="K975" t="s">
        <v>26</v>
      </c>
      <c r="L975">
        <v>28</v>
      </c>
      <c r="M975" t="s">
        <v>29</v>
      </c>
      <c r="N975" t="s">
        <v>30</v>
      </c>
      <c r="O975" t="s">
        <v>44</v>
      </c>
      <c r="P975">
        <v>1</v>
      </c>
      <c r="Q975" t="s">
        <v>51</v>
      </c>
      <c r="R975" t="s">
        <v>33</v>
      </c>
      <c r="S975">
        <v>3</v>
      </c>
      <c r="T975">
        <v>0</v>
      </c>
      <c r="U975">
        <v>5</v>
      </c>
      <c r="V975">
        <v>2</v>
      </c>
      <c r="W975">
        <v>4</v>
      </c>
      <c r="X975">
        <v>2</v>
      </c>
      <c r="Y975">
        <v>0</v>
      </c>
      <c r="Z975">
        <v>2</v>
      </c>
      <c r="AA975" t="str">
        <f t="shared" si="83"/>
        <v>Mid Tenure</v>
      </c>
      <c r="AB975" s="5">
        <v>44760</v>
      </c>
      <c r="AC975">
        <f t="shared" si="84"/>
        <v>0</v>
      </c>
      <c r="AD975" t="s">
        <v>49</v>
      </c>
      <c r="AE975">
        <f>VLOOKUP(A975,'Employee Engagement Survey'!A900:B2369,2,FALSE)</f>
        <v>4</v>
      </c>
      <c r="AF975">
        <f>VLOOKUP(A975,'Employee Engagement Survey'!A900:C2369,3,FALSE)</f>
        <v>3</v>
      </c>
      <c r="AG975">
        <f>VLOOKUP(A975,'Employee Engagement Survey'!A900:D2369,4,FALSE)</f>
        <v>3</v>
      </c>
      <c r="AH975">
        <f>VLOOKUP(A975,'Employee Engagement Survey'!A900:E2369,5,FALSE)</f>
        <v>2</v>
      </c>
      <c r="AI975">
        <f t="shared" si="82"/>
        <v>3</v>
      </c>
    </row>
    <row r="976" spans="1:35" hidden="1" x14ac:dyDescent="0.4">
      <c r="A976">
        <v>1555</v>
      </c>
      <c r="B976" t="s">
        <v>34</v>
      </c>
      <c r="C976">
        <f t="shared" si="80"/>
        <v>1</v>
      </c>
      <c r="D976" t="s">
        <v>27</v>
      </c>
      <c r="E976">
        <f t="shared" si="81"/>
        <v>0</v>
      </c>
      <c r="F976" t="s">
        <v>28</v>
      </c>
      <c r="G976">
        <v>7</v>
      </c>
      <c r="H976" s="1">
        <v>82536</v>
      </c>
      <c r="I976" s="10">
        <v>0.12</v>
      </c>
      <c r="J976">
        <v>37.5</v>
      </c>
      <c r="K976" t="s">
        <v>34</v>
      </c>
      <c r="L976">
        <v>32</v>
      </c>
      <c r="M976" t="s">
        <v>47</v>
      </c>
      <c r="N976" t="s">
        <v>42</v>
      </c>
      <c r="O976" t="s">
        <v>31</v>
      </c>
      <c r="P976">
        <v>5</v>
      </c>
      <c r="Q976" t="s">
        <v>36</v>
      </c>
      <c r="R976" t="s">
        <v>37</v>
      </c>
      <c r="S976">
        <v>3</v>
      </c>
      <c r="T976">
        <v>1</v>
      </c>
      <c r="U976">
        <v>12</v>
      </c>
      <c r="V976">
        <v>2</v>
      </c>
      <c r="W976">
        <v>7</v>
      </c>
      <c r="X976">
        <v>1</v>
      </c>
      <c r="Y976">
        <v>2</v>
      </c>
      <c r="Z976">
        <v>5</v>
      </c>
      <c r="AA976" t="str">
        <f t="shared" si="83"/>
        <v>Mid Tenure</v>
      </c>
      <c r="AB976" s="5">
        <v>44834</v>
      </c>
      <c r="AC976">
        <f t="shared" si="84"/>
        <v>0</v>
      </c>
      <c r="AD976" t="s">
        <v>38</v>
      </c>
      <c r="AE976">
        <f>VLOOKUP(A976,'Employee Engagement Survey'!A901:B2370,2,FALSE)</f>
        <v>4</v>
      </c>
      <c r="AF976">
        <f>VLOOKUP(A976,'Employee Engagement Survey'!A901:C2370,3,FALSE)</f>
        <v>2</v>
      </c>
      <c r="AG976">
        <f>VLOOKUP(A976,'Employee Engagement Survey'!A901:D2370,4,FALSE)</f>
        <v>1</v>
      </c>
      <c r="AH976">
        <f>VLOOKUP(A976,'Employee Engagement Survey'!A901:E2370,5,FALSE)</f>
        <v>3</v>
      </c>
      <c r="AI976">
        <f t="shared" si="82"/>
        <v>2.5</v>
      </c>
    </row>
    <row r="977" spans="1:35" hidden="1" x14ac:dyDescent="0.4">
      <c r="A977">
        <v>182</v>
      </c>
      <c r="B977" t="s">
        <v>34</v>
      </c>
      <c r="C977">
        <f t="shared" si="80"/>
        <v>1</v>
      </c>
      <c r="D977" t="s">
        <v>57</v>
      </c>
      <c r="E977">
        <f t="shared" si="81"/>
        <v>0</v>
      </c>
      <c r="F977" t="s">
        <v>40</v>
      </c>
      <c r="G977">
        <v>7</v>
      </c>
      <c r="H977" s="1">
        <v>82824</v>
      </c>
      <c r="I977" s="10">
        <v>0.14000000000000001</v>
      </c>
      <c r="J977">
        <v>37.5</v>
      </c>
      <c r="K977" t="s">
        <v>34</v>
      </c>
      <c r="L977">
        <v>39</v>
      </c>
      <c r="M977" t="s">
        <v>47</v>
      </c>
      <c r="N977" t="s">
        <v>42</v>
      </c>
      <c r="O977" t="s">
        <v>31</v>
      </c>
      <c r="P977">
        <v>4</v>
      </c>
      <c r="Q977" t="s">
        <v>51</v>
      </c>
      <c r="R977" t="s">
        <v>37</v>
      </c>
      <c r="S977">
        <v>3</v>
      </c>
      <c r="T977">
        <v>1</v>
      </c>
      <c r="U977">
        <v>17</v>
      </c>
      <c r="V977">
        <v>1</v>
      </c>
      <c r="W977">
        <v>15</v>
      </c>
      <c r="X977">
        <v>11</v>
      </c>
      <c r="Y977">
        <v>5</v>
      </c>
      <c r="Z977">
        <v>9</v>
      </c>
      <c r="AA977" t="str">
        <f t="shared" si="83"/>
        <v>Long Tenure</v>
      </c>
      <c r="AB977" s="5">
        <v>44581</v>
      </c>
      <c r="AC977">
        <f t="shared" si="84"/>
        <v>0</v>
      </c>
      <c r="AD977" t="s">
        <v>49</v>
      </c>
      <c r="AE977">
        <f>VLOOKUP(A977,'Employee Engagement Survey'!A902:B2371,2,FALSE)</f>
        <v>4</v>
      </c>
      <c r="AF977">
        <f>VLOOKUP(A977,'Employee Engagement Survey'!A902:C2371,3,FALSE)</f>
        <v>3</v>
      </c>
      <c r="AG977">
        <f>VLOOKUP(A977,'Employee Engagement Survey'!A902:D2371,4,FALSE)</f>
        <v>3</v>
      </c>
      <c r="AH977">
        <f>VLOOKUP(A977,'Employee Engagement Survey'!A902:E2371,5,FALSE)</f>
        <v>4</v>
      </c>
      <c r="AI977">
        <f t="shared" si="82"/>
        <v>3.5</v>
      </c>
    </row>
    <row r="978" spans="1:35" hidden="1" x14ac:dyDescent="0.4">
      <c r="A978">
        <v>1888</v>
      </c>
      <c r="B978" t="s">
        <v>34</v>
      </c>
      <c r="C978">
        <f t="shared" si="80"/>
        <v>1</v>
      </c>
      <c r="D978" t="s">
        <v>54</v>
      </c>
      <c r="E978">
        <f t="shared" si="81"/>
        <v>1</v>
      </c>
      <c r="F978" t="s">
        <v>28</v>
      </c>
      <c r="G978">
        <v>7</v>
      </c>
      <c r="H978" s="1">
        <v>82872</v>
      </c>
      <c r="I978" s="10">
        <v>0.13</v>
      </c>
      <c r="J978">
        <v>37.5</v>
      </c>
      <c r="K978" t="s">
        <v>34</v>
      </c>
      <c r="L978">
        <v>45</v>
      </c>
      <c r="M978" t="s">
        <v>47</v>
      </c>
      <c r="N978" t="s">
        <v>42</v>
      </c>
      <c r="O978" t="s">
        <v>31</v>
      </c>
      <c r="P978">
        <v>25</v>
      </c>
      <c r="Q978" t="s">
        <v>36</v>
      </c>
      <c r="R978" t="s">
        <v>37</v>
      </c>
      <c r="S978">
        <v>3</v>
      </c>
      <c r="T978">
        <v>2</v>
      </c>
      <c r="U978">
        <v>10</v>
      </c>
      <c r="V978">
        <v>2</v>
      </c>
      <c r="W978">
        <v>9</v>
      </c>
      <c r="X978">
        <v>8</v>
      </c>
      <c r="Y978">
        <v>3</v>
      </c>
      <c r="Z978">
        <v>8</v>
      </c>
      <c r="AA978" t="str">
        <f t="shared" si="83"/>
        <v>Mid Tenure</v>
      </c>
      <c r="AB978" s="5">
        <v>45226</v>
      </c>
      <c r="AC978">
        <f t="shared" si="84"/>
        <v>0</v>
      </c>
      <c r="AD978" t="s">
        <v>38</v>
      </c>
      <c r="AE978">
        <f>VLOOKUP(A978,'Employee Engagement Survey'!A903:B2372,2,FALSE)</f>
        <v>2</v>
      </c>
      <c r="AF978">
        <f>VLOOKUP(A978,'Employee Engagement Survey'!A903:C2372,3,FALSE)</f>
        <v>4</v>
      </c>
      <c r="AG978">
        <f>VLOOKUP(A978,'Employee Engagement Survey'!A903:D2372,4,FALSE)</f>
        <v>4</v>
      </c>
      <c r="AH978">
        <f>VLOOKUP(A978,'Employee Engagement Survey'!A903:E2372,5,FALSE)</f>
        <v>2</v>
      </c>
      <c r="AI978">
        <f t="shared" si="82"/>
        <v>3</v>
      </c>
    </row>
    <row r="979" spans="1:35" hidden="1" x14ac:dyDescent="0.4">
      <c r="A979">
        <v>1288</v>
      </c>
      <c r="B979" t="s">
        <v>34</v>
      </c>
      <c r="C979">
        <f t="shared" si="80"/>
        <v>1</v>
      </c>
      <c r="D979" t="s">
        <v>109</v>
      </c>
      <c r="E979">
        <f t="shared" si="81"/>
        <v>1</v>
      </c>
      <c r="F979" t="s">
        <v>28</v>
      </c>
      <c r="G979">
        <v>5</v>
      </c>
      <c r="H979" s="1">
        <v>242280</v>
      </c>
      <c r="I979" s="10">
        <v>0.14000000000000001</v>
      </c>
      <c r="J979">
        <v>37.5</v>
      </c>
      <c r="K979" t="s">
        <v>34</v>
      </c>
      <c r="L979">
        <v>44</v>
      </c>
      <c r="M979" t="s">
        <v>29</v>
      </c>
      <c r="N979" t="s">
        <v>48</v>
      </c>
      <c r="O979" t="s">
        <v>31</v>
      </c>
      <c r="P979">
        <v>4</v>
      </c>
      <c r="Q979" t="s">
        <v>36</v>
      </c>
      <c r="R979" t="s">
        <v>37</v>
      </c>
      <c r="S979">
        <v>3</v>
      </c>
      <c r="T979">
        <v>2</v>
      </c>
      <c r="U979">
        <v>26</v>
      </c>
      <c r="V979">
        <v>4</v>
      </c>
      <c r="W979">
        <v>25</v>
      </c>
      <c r="X979">
        <v>9</v>
      </c>
      <c r="Y979">
        <v>14</v>
      </c>
      <c r="Z979">
        <v>13</v>
      </c>
      <c r="AA979" t="str">
        <f t="shared" si="83"/>
        <v>Long Tenure</v>
      </c>
      <c r="AB979" s="5">
        <v>45976</v>
      </c>
      <c r="AC979">
        <f t="shared" si="84"/>
        <v>1</v>
      </c>
      <c r="AD979" t="s">
        <v>38</v>
      </c>
      <c r="AE979">
        <f>VLOOKUP(A979,'Employee Engagement Survey'!A904:B2373,2,FALSE)</f>
        <v>3</v>
      </c>
      <c r="AF979">
        <f>VLOOKUP(A979,'Employee Engagement Survey'!A904:C2373,3,FALSE)</f>
        <v>1</v>
      </c>
      <c r="AG979">
        <f>VLOOKUP(A979,'Employee Engagement Survey'!A904:D2373,4,FALSE)</f>
        <v>4</v>
      </c>
      <c r="AH979">
        <f>VLOOKUP(A979,'Employee Engagement Survey'!A904:E2373,5,FALSE)</f>
        <v>2</v>
      </c>
      <c r="AI979">
        <f t="shared" si="82"/>
        <v>2.5</v>
      </c>
    </row>
    <row r="980" spans="1:35" hidden="1" x14ac:dyDescent="0.4">
      <c r="A980">
        <v>1289</v>
      </c>
      <c r="B980" t="s">
        <v>34</v>
      </c>
      <c r="C980">
        <f t="shared" si="80"/>
        <v>1</v>
      </c>
      <c r="D980" t="s">
        <v>105</v>
      </c>
      <c r="E980">
        <f t="shared" si="81"/>
        <v>0</v>
      </c>
      <c r="F980" t="s">
        <v>59</v>
      </c>
      <c r="G980">
        <v>6</v>
      </c>
      <c r="H980" s="1">
        <v>65880</v>
      </c>
      <c r="I980" s="10">
        <v>0.11</v>
      </c>
      <c r="J980">
        <v>37.5</v>
      </c>
      <c r="K980" t="s">
        <v>34</v>
      </c>
      <c r="L980">
        <v>34</v>
      </c>
      <c r="M980" t="s">
        <v>29</v>
      </c>
      <c r="N980" t="s">
        <v>42</v>
      </c>
      <c r="O980" t="s">
        <v>44</v>
      </c>
      <c r="P980">
        <v>11</v>
      </c>
      <c r="Q980" t="s">
        <v>43</v>
      </c>
      <c r="R980" t="s">
        <v>37</v>
      </c>
      <c r="S980">
        <v>3</v>
      </c>
      <c r="T980">
        <v>2</v>
      </c>
      <c r="U980">
        <v>14</v>
      </c>
      <c r="V980">
        <v>5</v>
      </c>
      <c r="W980">
        <v>10</v>
      </c>
      <c r="X980">
        <v>9</v>
      </c>
      <c r="Y980">
        <v>1</v>
      </c>
      <c r="Z980">
        <v>8</v>
      </c>
      <c r="AA980" t="str">
        <f t="shared" si="83"/>
        <v>Long Tenure</v>
      </c>
      <c r="AB980" s="5">
        <v>45538</v>
      </c>
      <c r="AC980">
        <f t="shared" si="84"/>
        <v>1</v>
      </c>
      <c r="AD980" t="s">
        <v>49</v>
      </c>
      <c r="AE980">
        <f>VLOOKUP(A980,'Employee Engagement Survey'!A905:B2374,2,FALSE)</f>
        <v>3</v>
      </c>
      <c r="AF980">
        <f>VLOOKUP(A980,'Employee Engagement Survey'!A905:C2374,3,FALSE)</f>
        <v>2</v>
      </c>
      <c r="AG980">
        <f>VLOOKUP(A980,'Employee Engagement Survey'!A905:D2374,4,FALSE)</f>
        <v>4</v>
      </c>
      <c r="AH980">
        <f>VLOOKUP(A980,'Employee Engagement Survey'!A905:E2374,5,FALSE)</f>
        <v>4</v>
      </c>
      <c r="AI980">
        <f t="shared" si="82"/>
        <v>3.25</v>
      </c>
    </row>
    <row r="981" spans="1:35" hidden="1" x14ac:dyDescent="0.4">
      <c r="A981">
        <v>1291</v>
      </c>
      <c r="B981" t="s">
        <v>34</v>
      </c>
      <c r="C981">
        <f t="shared" si="80"/>
        <v>1</v>
      </c>
      <c r="D981" t="s">
        <v>27</v>
      </c>
      <c r="E981">
        <f t="shared" si="81"/>
        <v>0</v>
      </c>
      <c r="F981" t="s">
        <v>28</v>
      </c>
      <c r="G981">
        <v>6</v>
      </c>
      <c r="H981" s="1">
        <v>66072</v>
      </c>
      <c r="I981" s="10">
        <v>0.14000000000000001</v>
      </c>
      <c r="J981">
        <v>37.5</v>
      </c>
      <c r="K981" t="s">
        <v>26</v>
      </c>
      <c r="L981">
        <v>35</v>
      </c>
      <c r="M981" t="s">
        <v>29</v>
      </c>
      <c r="N981" t="s">
        <v>42</v>
      </c>
      <c r="O981" t="s">
        <v>31</v>
      </c>
      <c r="P981">
        <v>6</v>
      </c>
      <c r="Q981" t="s">
        <v>32</v>
      </c>
      <c r="R981" t="s">
        <v>37</v>
      </c>
      <c r="S981">
        <v>3</v>
      </c>
      <c r="T981">
        <v>0</v>
      </c>
      <c r="U981">
        <v>4</v>
      </c>
      <c r="V981">
        <v>3</v>
      </c>
      <c r="W981">
        <v>3</v>
      </c>
      <c r="X981">
        <v>2</v>
      </c>
      <c r="Y981">
        <v>2</v>
      </c>
      <c r="Z981">
        <v>2</v>
      </c>
      <c r="AA981" t="str">
        <f t="shared" si="83"/>
        <v>Mid Tenure</v>
      </c>
      <c r="AB981" s="5">
        <v>45160</v>
      </c>
      <c r="AC981">
        <f t="shared" si="84"/>
        <v>0</v>
      </c>
      <c r="AD981" t="s">
        <v>49</v>
      </c>
      <c r="AE981">
        <f>VLOOKUP(A981,'Employee Engagement Survey'!A906:B2375,2,FALSE)</f>
        <v>3</v>
      </c>
      <c r="AF981">
        <f>VLOOKUP(A981,'Employee Engagement Survey'!A906:C2375,3,FALSE)</f>
        <v>3</v>
      </c>
      <c r="AG981">
        <f>VLOOKUP(A981,'Employee Engagement Survey'!A906:D2375,4,FALSE)</f>
        <v>4</v>
      </c>
      <c r="AH981">
        <f>VLOOKUP(A981,'Employee Engagement Survey'!A906:E2375,5,FALSE)</f>
        <v>3</v>
      </c>
      <c r="AI981">
        <f t="shared" si="82"/>
        <v>3.25</v>
      </c>
    </row>
    <row r="982" spans="1:35" hidden="1" x14ac:dyDescent="0.4">
      <c r="A982">
        <v>1296</v>
      </c>
      <c r="B982" t="s">
        <v>34</v>
      </c>
      <c r="C982">
        <f t="shared" si="80"/>
        <v>1</v>
      </c>
      <c r="D982" t="s">
        <v>46</v>
      </c>
      <c r="E982">
        <f t="shared" si="81"/>
        <v>0</v>
      </c>
      <c r="F982" t="s">
        <v>28</v>
      </c>
      <c r="G982">
        <v>7</v>
      </c>
      <c r="H982" s="1">
        <v>70404</v>
      </c>
      <c r="I982" s="10">
        <v>0.12</v>
      </c>
      <c r="J982">
        <v>37.5</v>
      </c>
      <c r="K982" t="s">
        <v>26</v>
      </c>
      <c r="L982">
        <v>28</v>
      </c>
      <c r="M982" t="s">
        <v>29</v>
      </c>
      <c r="N982" t="s">
        <v>42</v>
      </c>
      <c r="O982" t="s">
        <v>44</v>
      </c>
      <c r="P982">
        <v>2</v>
      </c>
      <c r="Q982" t="s">
        <v>43</v>
      </c>
      <c r="R982" t="s">
        <v>37</v>
      </c>
      <c r="S982">
        <v>3</v>
      </c>
      <c r="T982">
        <v>1</v>
      </c>
      <c r="U982">
        <v>2</v>
      </c>
      <c r="V982">
        <v>2</v>
      </c>
      <c r="W982">
        <v>2</v>
      </c>
      <c r="X982">
        <v>2</v>
      </c>
      <c r="Y982">
        <v>2</v>
      </c>
      <c r="Z982">
        <v>2</v>
      </c>
      <c r="AA982" t="str">
        <f t="shared" si="83"/>
        <v>Early Tenure</v>
      </c>
      <c r="AB982" s="5">
        <v>44773</v>
      </c>
      <c r="AC982">
        <f t="shared" si="84"/>
        <v>0</v>
      </c>
      <c r="AD982" t="s">
        <v>38</v>
      </c>
      <c r="AE982">
        <f>VLOOKUP(A982,'Employee Engagement Survey'!A907:B2376,2,FALSE)</f>
        <v>4</v>
      </c>
      <c r="AF982">
        <f>VLOOKUP(A982,'Employee Engagement Survey'!A907:C2376,3,FALSE)</f>
        <v>4</v>
      </c>
      <c r="AG982">
        <f>VLOOKUP(A982,'Employee Engagement Survey'!A907:D2376,4,FALSE)</f>
        <v>2</v>
      </c>
      <c r="AH982">
        <f>VLOOKUP(A982,'Employee Engagement Survey'!A907:E2376,5,FALSE)</f>
        <v>3</v>
      </c>
      <c r="AI982">
        <f t="shared" si="82"/>
        <v>3.25</v>
      </c>
    </row>
    <row r="983" spans="1:35" hidden="1" x14ac:dyDescent="0.4">
      <c r="A983">
        <v>303</v>
      </c>
      <c r="B983" t="s">
        <v>34</v>
      </c>
      <c r="C983">
        <f t="shared" si="80"/>
        <v>1</v>
      </c>
      <c r="D983" t="s">
        <v>57</v>
      </c>
      <c r="E983">
        <f t="shared" si="81"/>
        <v>0</v>
      </c>
      <c r="F983" t="s">
        <v>40</v>
      </c>
      <c r="G983">
        <v>7</v>
      </c>
      <c r="H983" s="1">
        <v>83280</v>
      </c>
      <c r="I983" s="10">
        <v>0.14000000000000001</v>
      </c>
      <c r="J983">
        <v>37.5</v>
      </c>
      <c r="K983" t="s">
        <v>34</v>
      </c>
      <c r="L983">
        <v>54</v>
      </c>
      <c r="M983" t="s">
        <v>47</v>
      </c>
      <c r="N983" t="s">
        <v>42</v>
      </c>
      <c r="O983" t="s">
        <v>31</v>
      </c>
      <c r="P983">
        <v>3</v>
      </c>
      <c r="Q983" t="s">
        <v>43</v>
      </c>
      <c r="R983" t="s">
        <v>56</v>
      </c>
      <c r="S983">
        <v>3</v>
      </c>
      <c r="T983">
        <v>1</v>
      </c>
      <c r="U983">
        <v>16</v>
      </c>
      <c r="V983">
        <v>4</v>
      </c>
      <c r="W983">
        <v>6</v>
      </c>
      <c r="X983">
        <v>2</v>
      </c>
      <c r="Y983">
        <v>0</v>
      </c>
      <c r="Z983">
        <v>5</v>
      </c>
      <c r="AA983" t="str">
        <f t="shared" si="83"/>
        <v>Mid Tenure</v>
      </c>
      <c r="AB983" s="5">
        <v>45725</v>
      </c>
      <c r="AC983">
        <f t="shared" si="84"/>
        <v>1</v>
      </c>
      <c r="AD983" t="s">
        <v>49</v>
      </c>
      <c r="AE983">
        <f>VLOOKUP(A983,'Employee Engagement Survey'!A908:B2377,2,FALSE)</f>
        <v>4</v>
      </c>
      <c r="AF983">
        <f>VLOOKUP(A983,'Employee Engagement Survey'!A908:C2377,3,FALSE)</f>
        <v>1</v>
      </c>
      <c r="AG983">
        <f>VLOOKUP(A983,'Employee Engagement Survey'!A908:D2377,4,FALSE)</f>
        <v>4</v>
      </c>
      <c r="AH983">
        <f>VLOOKUP(A983,'Employee Engagement Survey'!A908:E2377,5,FALSE)</f>
        <v>3</v>
      </c>
      <c r="AI983">
        <f t="shared" si="82"/>
        <v>3</v>
      </c>
    </row>
    <row r="984" spans="1:35" hidden="1" x14ac:dyDescent="0.4">
      <c r="A984">
        <v>1301</v>
      </c>
      <c r="B984" t="s">
        <v>34</v>
      </c>
      <c r="C984">
        <f t="shared" si="80"/>
        <v>1</v>
      </c>
      <c r="D984" t="s">
        <v>27</v>
      </c>
      <c r="E984">
        <f t="shared" si="81"/>
        <v>0</v>
      </c>
      <c r="F984" t="s">
        <v>28</v>
      </c>
      <c r="G984">
        <v>3</v>
      </c>
      <c r="H984" s="1">
        <v>48960</v>
      </c>
      <c r="I984" s="10">
        <v>0.11</v>
      </c>
      <c r="J984">
        <v>37.5</v>
      </c>
      <c r="K984" t="s">
        <v>34</v>
      </c>
      <c r="L984">
        <v>28</v>
      </c>
      <c r="M984" t="s">
        <v>29</v>
      </c>
      <c r="N984" t="s">
        <v>30</v>
      </c>
      <c r="O984" t="s">
        <v>31</v>
      </c>
      <c r="P984">
        <v>1</v>
      </c>
      <c r="Q984" t="s">
        <v>43</v>
      </c>
      <c r="R984" t="s">
        <v>45</v>
      </c>
      <c r="S984">
        <v>3</v>
      </c>
      <c r="T984">
        <v>0</v>
      </c>
      <c r="U984">
        <v>5</v>
      </c>
      <c r="V984">
        <v>2</v>
      </c>
      <c r="W984">
        <v>3</v>
      </c>
      <c r="X984">
        <v>2</v>
      </c>
      <c r="Y984">
        <v>1</v>
      </c>
      <c r="Z984">
        <v>2</v>
      </c>
      <c r="AA984" t="str">
        <f t="shared" si="83"/>
        <v>Mid Tenure</v>
      </c>
      <c r="AB984" s="5">
        <v>45242</v>
      </c>
      <c r="AC984">
        <f t="shared" si="84"/>
        <v>0</v>
      </c>
      <c r="AD984" t="s">
        <v>38</v>
      </c>
      <c r="AE984">
        <f>VLOOKUP(A984,'Employee Engagement Survey'!A909:B2378,2,FALSE)</f>
        <v>4</v>
      </c>
      <c r="AF984">
        <f>VLOOKUP(A984,'Employee Engagement Survey'!A909:C2378,3,FALSE)</f>
        <v>1</v>
      </c>
      <c r="AG984">
        <f>VLOOKUP(A984,'Employee Engagement Survey'!A909:D2378,4,FALSE)</f>
        <v>2</v>
      </c>
      <c r="AH984">
        <f>VLOOKUP(A984,'Employee Engagement Survey'!A909:E2378,5,FALSE)</f>
        <v>2</v>
      </c>
      <c r="AI984">
        <f t="shared" si="82"/>
        <v>2.25</v>
      </c>
    </row>
    <row r="985" spans="1:35" hidden="1" x14ac:dyDescent="0.4">
      <c r="A985">
        <v>1304</v>
      </c>
      <c r="B985" t="s">
        <v>34</v>
      </c>
      <c r="C985">
        <f t="shared" si="80"/>
        <v>1</v>
      </c>
      <c r="D985" t="s">
        <v>57</v>
      </c>
      <c r="E985">
        <f t="shared" si="81"/>
        <v>0</v>
      </c>
      <c r="F985" t="s">
        <v>40</v>
      </c>
      <c r="G985">
        <v>8</v>
      </c>
      <c r="H985" s="1">
        <v>86508</v>
      </c>
      <c r="I985" s="10">
        <v>0.15</v>
      </c>
      <c r="J985">
        <v>37.5</v>
      </c>
      <c r="K985" t="s">
        <v>34</v>
      </c>
      <c r="L985">
        <v>32</v>
      </c>
      <c r="M985" t="s">
        <v>29</v>
      </c>
      <c r="N985" t="s">
        <v>42</v>
      </c>
      <c r="O985" t="s">
        <v>31</v>
      </c>
      <c r="P985">
        <v>8</v>
      </c>
      <c r="Q985" t="s">
        <v>43</v>
      </c>
      <c r="R985" t="s">
        <v>33</v>
      </c>
      <c r="S985">
        <v>3</v>
      </c>
      <c r="T985">
        <v>2</v>
      </c>
      <c r="U985">
        <v>10</v>
      </c>
      <c r="V985">
        <v>4</v>
      </c>
      <c r="W985">
        <v>10</v>
      </c>
      <c r="X985">
        <v>7</v>
      </c>
      <c r="Y985">
        <v>0</v>
      </c>
      <c r="Z985">
        <v>8</v>
      </c>
      <c r="AA985" t="str">
        <f t="shared" si="83"/>
        <v>Long Tenure</v>
      </c>
      <c r="AB985" s="5">
        <v>45000</v>
      </c>
      <c r="AC985">
        <f t="shared" si="84"/>
        <v>0</v>
      </c>
      <c r="AD985" t="s">
        <v>38</v>
      </c>
      <c r="AE985">
        <f>VLOOKUP(A985,'Employee Engagement Survey'!A910:B2379,2,FALSE)</f>
        <v>3</v>
      </c>
      <c r="AF985">
        <f>VLOOKUP(A985,'Employee Engagement Survey'!A910:C2379,3,FALSE)</f>
        <v>4</v>
      </c>
      <c r="AG985">
        <f>VLOOKUP(A985,'Employee Engagement Survey'!A910:D2379,4,FALSE)</f>
        <v>3</v>
      </c>
      <c r="AH985">
        <f>VLOOKUP(A985,'Employee Engagement Survey'!A910:E2379,5,FALSE)</f>
        <v>4</v>
      </c>
      <c r="AI985">
        <f t="shared" si="82"/>
        <v>3.5</v>
      </c>
    </row>
    <row r="986" spans="1:35" hidden="1" x14ac:dyDescent="0.4">
      <c r="A986">
        <v>1308</v>
      </c>
      <c r="B986" t="s">
        <v>34</v>
      </c>
      <c r="C986">
        <f t="shared" si="80"/>
        <v>1</v>
      </c>
      <c r="D986" t="s">
        <v>27</v>
      </c>
      <c r="E986">
        <f t="shared" si="81"/>
        <v>0</v>
      </c>
      <c r="F986" t="s">
        <v>28</v>
      </c>
      <c r="G986">
        <v>4</v>
      </c>
      <c r="H986" s="1">
        <v>52464</v>
      </c>
      <c r="I986" s="10">
        <v>0.12</v>
      </c>
      <c r="J986">
        <v>37.5</v>
      </c>
      <c r="K986" t="s">
        <v>34</v>
      </c>
      <c r="L986">
        <v>58</v>
      </c>
      <c r="M986" t="s">
        <v>29</v>
      </c>
      <c r="N986" t="s">
        <v>48</v>
      </c>
      <c r="O986" t="s">
        <v>31</v>
      </c>
      <c r="P986">
        <v>23</v>
      </c>
      <c r="Q986" t="s">
        <v>51</v>
      </c>
      <c r="R986" t="s">
        <v>37</v>
      </c>
      <c r="S986">
        <v>3</v>
      </c>
      <c r="T986">
        <v>2</v>
      </c>
      <c r="U986">
        <v>2</v>
      </c>
      <c r="V986">
        <v>3</v>
      </c>
      <c r="W986">
        <v>2</v>
      </c>
      <c r="X986">
        <v>2</v>
      </c>
      <c r="Y986">
        <v>2</v>
      </c>
      <c r="Z986">
        <v>2</v>
      </c>
      <c r="AA986" t="str">
        <f t="shared" si="83"/>
        <v>Early Tenure</v>
      </c>
      <c r="AB986" s="5">
        <v>44719</v>
      </c>
      <c r="AC986">
        <f t="shared" si="84"/>
        <v>0</v>
      </c>
      <c r="AD986" t="s">
        <v>38</v>
      </c>
      <c r="AE986">
        <f>VLOOKUP(A986,'Employee Engagement Survey'!A911:B2380,2,FALSE)</f>
        <v>1</v>
      </c>
      <c r="AF986">
        <f>VLOOKUP(A986,'Employee Engagement Survey'!A911:C2380,3,FALSE)</f>
        <v>3</v>
      </c>
      <c r="AG986">
        <f>VLOOKUP(A986,'Employee Engagement Survey'!A911:D2380,4,FALSE)</f>
        <v>4</v>
      </c>
      <c r="AH986">
        <f>VLOOKUP(A986,'Employee Engagement Survey'!A911:E2380,5,FALSE)</f>
        <v>3</v>
      </c>
      <c r="AI986">
        <f t="shared" si="82"/>
        <v>2.75</v>
      </c>
    </row>
    <row r="987" spans="1:35" hidden="1" x14ac:dyDescent="0.4">
      <c r="A987">
        <v>803</v>
      </c>
      <c r="B987" t="s">
        <v>34</v>
      </c>
      <c r="C987">
        <f t="shared" si="80"/>
        <v>1</v>
      </c>
      <c r="D987" t="s">
        <v>54</v>
      </c>
      <c r="E987">
        <f t="shared" si="81"/>
        <v>1</v>
      </c>
      <c r="F987" t="s">
        <v>28</v>
      </c>
      <c r="G987">
        <v>7</v>
      </c>
      <c r="H987" s="1">
        <v>83760</v>
      </c>
      <c r="I987" s="10">
        <v>0.12</v>
      </c>
      <c r="J987">
        <v>37.5</v>
      </c>
      <c r="K987" t="s">
        <v>26</v>
      </c>
      <c r="L987">
        <v>38</v>
      </c>
      <c r="M987" t="s">
        <v>47</v>
      </c>
      <c r="N987" t="s">
        <v>30</v>
      </c>
      <c r="O987" t="s">
        <v>44</v>
      </c>
      <c r="P987">
        <v>2</v>
      </c>
      <c r="Q987" t="s">
        <v>51</v>
      </c>
      <c r="R987" t="s">
        <v>37</v>
      </c>
      <c r="S987">
        <v>3</v>
      </c>
      <c r="T987">
        <v>0</v>
      </c>
      <c r="U987">
        <v>17</v>
      </c>
      <c r="V987">
        <v>2</v>
      </c>
      <c r="W987">
        <v>15</v>
      </c>
      <c r="X987">
        <v>7</v>
      </c>
      <c r="Y987">
        <v>4</v>
      </c>
      <c r="Z987">
        <v>12</v>
      </c>
      <c r="AA987" t="str">
        <f t="shared" si="83"/>
        <v>Long Tenure</v>
      </c>
      <c r="AB987" s="5">
        <v>45333</v>
      </c>
      <c r="AC987">
        <f t="shared" si="84"/>
        <v>1</v>
      </c>
      <c r="AD987" t="s">
        <v>38</v>
      </c>
      <c r="AE987">
        <f>VLOOKUP(A987,'Employee Engagement Survey'!A912:B2381,2,FALSE)</f>
        <v>1</v>
      </c>
      <c r="AF987">
        <f>VLOOKUP(A987,'Employee Engagement Survey'!A912:C2381,3,FALSE)</f>
        <v>1</v>
      </c>
      <c r="AG987">
        <f>VLOOKUP(A987,'Employee Engagement Survey'!A912:D2381,4,FALSE)</f>
        <v>4</v>
      </c>
      <c r="AH987">
        <f>VLOOKUP(A987,'Employee Engagement Survey'!A912:E2381,5,FALSE)</f>
        <v>3</v>
      </c>
      <c r="AI987">
        <f t="shared" si="82"/>
        <v>2.25</v>
      </c>
    </row>
    <row r="988" spans="1:35" hidden="1" x14ac:dyDescent="0.4">
      <c r="A988">
        <v>665</v>
      </c>
      <c r="B988" t="s">
        <v>34</v>
      </c>
      <c r="C988">
        <f t="shared" si="80"/>
        <v>1</v>
      </c>
      <c r="D988" t="s">
        <v>106</v>
      </c>
      <c r="E988">
        <f t="shared" si="81"/>
        <v>0</v>
      </c>
      <c r="F988" t="s">
        <v>59</v>
      </c>
      <c r="G988">
        <v>7</v>
      </c>
      <c r="H988" s="1">
        <v>83820</v>
      </c>
      <c r="I988" s="10">
        <v>0.11</v>
      </c>
      <c r="J988">
        <v>37.5</v>
      </c>
      <c r="K988" t="s">
        <v>34</v>
      </c>
      <c r="L988">
        <v>44</v>
      </c>
      <c r="M988" t="s">
        <v>47</v>
      </c>
      <c r="N988" t="s">
        <v>30</v>
      </c>
      <c r="O988" t="s">
        <v>31</v>
      </c>
      <c r="P988">
        <v>1</v>
      </c>
      <c r="Q988" t="s">
        <v>51</v>
      </c>
      <c r="R988" t="s">
        <v>37</v>
      </c>
      <c r="S988">
        <v>3</v>
      </c>
      <c r="T988">
        <v>0</v>
      </c>
      <c r="U988">
        <v>10</v>
      </c>
      <c r="V988">
        <v>1</v>
      </c>
      <c r="W988">
        <v>2</v>
      </c>
      <c r="X988">
        <v>2</v>
      </c>
      <c r="Y988">
        <v>0</v>
      </c>
      <c r="Z988">
        <v>2</v>
      </c>
      <c r="AA988" t="str">
        <f t="shared" si="83"/>
        <v>Early Tenure</v>
      </c>
      <c r="AB988" s="5">
        <v>45242</v>
      </c>
      <c r="AC988">
        <f t="shared" si="84"/>
        <v>0</v>
      </c>
      <c r="AD988" t="s">
        <v>49</v>
      </c>
      <c r="AE988">
        <f>VLOOKUP(A988,'Employee Engagement Survey'!A913:B2382,2,FALSE)</f>
        <v>1</v>
      </c>
      <c r="AF988">
        <f>VLOOKUP(A988,'Employee Engagement Survey'!A913:C2382,3,FALSE)</f>
        <v>3</v>
      </c>
      <c r="AG988">
        <f>VLOOKUP(A988,'Employee Engagement Survey'!A913:D2382,4,FALSE)</f>
        <v>2</v>
      </c>
      <c r="AH988">
        <f>VLOOKUP(A988,'Employee Engagement Survey'!A913:E2382,5,FALSE)</f>
        <v>4</v>
      </c>
      <c r="AI988">
        <f t="shared" si="82"/>
        <v>2.5</v>
      </c>
    </row>
    <row r="989" spans="1:35" hidden="1" x14ac:dyDescent="0.4">
      <c r="A989">
        <v>1779</v>
      </c>
      <c r="B989" t="s">
        <v>34</v>
      </c>
      <c r="C989">
        <f t="shared" si="80"/>
        <v>1</v>
      </c>
      <c r="D989" t="s">
        <v>57</v>
      </c>
      <c r="E989">
        <f t="shared" si="81"/>
        <v>0</v>
      </c>
      <c r="F989" t="s">
        <v>40</v>
      </c>
      <c r="G989">
        <v>7</v>
      </c>
      <c r="H989" s="1">
        <v>84348</v>
      </c>
      <c r="I989" s="10">
        <v>0.12</v>
      </c>
      <c r="J989">
        <v>37.5</v>
      </c>
      <c r="K989" t="s">
        <v>34</v>
      </c>
      <c r="L989">
        <v>34</v>
      </c>
      <c r="M989" t="s">
        <v>47</v>
      </c>
      <c r="N989" t="s">
        <v>30</v>
      </c>
      <c r="O989" t="s">
        <v>31</v>
      </c>
      <c r="P989">
        <v>3</v>
      </c>
      <c r="Q989" t="s">
        <v>36</v>
      </c>
      <c r="R989" t="s">
        <v>37</v>
      </c>
      <c r="S989">
        <v>3</v>
      </c>
      <c r="T989">
        <v>0</v>
      </c>
      <c r="U989">
        <v>6</v>
      </c>
      <c r="V989">
        <v>3</v>
      </c>
      <c r="W989">
        <v>2</v>
      </c>
      <c r="X989">
        <v>2</v>
      </c>
      <c r="Y989">
        <v>2</v>
      </c>
      <c r="Z989">
        <v>2</v>
      </c>
      <c r="AA989" t="str">
        <f t="shared" si="83"/>
        <v>Early Tenure</v>
      </c>
      <c r="AB989" s="5">
        <v>45163</v>
      </c>
      <c r="AC989">
        <f t="shared" si="84"/>
        <v>0</v>
      </c>
      <c r="AD989" t="s">
        <v>38</v>
      </c>
      <c r="AE989">
        <f>VLOOKUP(A989,'Employee Engagement Survey'!A916:B2385,2,FALSE)</f>
        <v>4</v>
      </c>
      <c r="AF989">
        <f>VLOOKUP(A989,'Employee Engagement Survey'!A916:C2385,3,FALSE)</f>
        <v>4</v>
      </c>
      <c r="AG989">
        <f>VLOOKUP(A989,'Employee Engagement Survey'!A916:D2385,4,FALSE)</f>
        <v>1</v>
      </c>
      <c r="AH989">
        <f>VLOOKUP(A989,'Employee Engagement Survey'!A916:E2385,5,FALSE)</f>
        <v>3</v>
      </c>
      <c r="AI989">
        <f t="shared" si="82"/>
        <v>3</v>
      </c>
    </row>
    <row r="990" spans="1:35" hidden="1" x14ac:dyDescent="0.4">
      <c r="A990">
        <v>827</v>
      </c>
      <c r="B990" t="s">
        <v>34</v>
      </c>
      <c r="C990">
        <f t="shared" si="80"/>
        <v>1</v>
      </c>
      <c r="D990" t="s">
        <v>54</v>
      </c>
      <c r="E990">
        <f t="shared" si="81"/>
        <v>1</v>
      </c>
      <c r="F990" t="s">
        <v>28</v>
      </c>
      <c r="G990">
        <v>7</v>
      </c>
      <c r="H990" s="1">
        <v>84744</v>
      </c>
      <c r="I990" s="10">
        <v>0.13</v>
      </c>
      <c r="J990">
        <v>37.5</v>
      </c>
      <c r="K990" t="s">
        <v>26</v>
      </c>
      <c r="L990">
        <v>42</v>
      </c>
      <c r="M990" t="s">
        <v>47</v>
      </c>
      <c r="N990" t="s">
        <v>42</v>
      </c>
      <c r="O990" t="s">
        <v>31</v>
      </c>
      <c r="P990">
        <v>1</v>
      </c>
      <c r="Q990" t="s">
        <v>36</v>
      </c>
      <c r="R990" t="s">
        <v>37</v>
      </c>
      <c r="S990">
        <v>3</v>
      </c>
      <c r="T990">
        <v>1</v>
      </c>
      <c r="U990">
        <v>8</v>
      </c>
      <c r="V990">
        <v>4</v>
      </c>
      <c r="W990">
        <v>4</v>
      </c>
      <c r="X990">
        <v>3</v>
      </c>
      <c r="Y990">
        <v>0</v>
      </c>
      <c r="Z990">
        <v>2</v>
      </c>
      <c r="AA990" t="str">
        <f t="shared" si="83"/>
        <v>Mid Tenure</v>
      </c>
      <c r="AB990" s="5">
        <v>45046</v>
      </c>
      <c r="AC990">
        <f t="shared" si="84"/>
        <v>0</v>
      </c>
      <c r="AD990" t="s">
        <v>49</v>
      </c>
      <c r="AE990">
        <f>VLOOKUP(A990,'Employee Engagement Survey'!A918:B2387,2,FALSE)</f>
        <v>4</v>
      </c>
      <c r="AF990">
        <f>VLOOKUP(A990,'Employee Engagement Survey'!A918:C2387,3,FALSE)</f>
        <v>4</v>
      </c>
      <c r="AG990">
        <f>VLOOKUP(A990,'Employee Engagement Survey'!A918:D2387,4,FALSE)</f>
        <v>4</v>
      </c>
      <c r="AH990">
        <f>VLOOKUP(A990,'Employee Engagement Survey'!A918:E2387,5,FALSE)</f>
        <v>3</v>
      </c>
      <c r="AI990">
        <f t="shared" si="82"/>
        <v>3.75</v>
      </c>
    </row>
    <row r="991" spans="1:35" hidden="1" x14ac:dyDescent="0.4">
      <c r="A991">
        <v>548</v>
      </c>
      <c r="B991" t="s">
        <v>34</v>
      </c>
      <c r="C991">
        <f t="shared" si="80"/>
        <v>1</v>
      </c>
      <c r="D991" t="s">
        <v>54</v>
      </c>
      <c r="E991">
        <f t="shared" si="81"/>
        <v>1</v>
      </c>
      <c r="F991" t="s">
        <v>28</v>
      </c>
      <c r="G991">
        <v>8</v>
      </c>
      <c r="H991" s="1">
        <v>85092</v>
      </c>
      <c r="I991" s="10">
        <v>0.2</v>
      </c>
      <c r="J991">
        <v>37.5</v>
      </c>
      <c r="K991" t="s">
        <v>34</v>
      </c>
      <c r="L991">
        <v>30</v>
      </c>
      <c r="M991" t="s">
        <v>47</v>
      </c>
      <c r="N991" t="s">
        <v>30</v>
      </c>
      <c r="O991" t="s">
        <v>31</v>
      </c>
      <c r="P991">
        <v>2</v>
      </c>
      <c r="Q991" t="s">
        <v>43</v>
      </c>
      <c r="R991" t="s">
        <v>37</v>
      </c>
      <c r="S991">
        <v>4</v>
      </c>
      <c r="T991">
        <v>0</v>
      </c>
      <c r="U991">
        <v>11</v>
      </c>
      <c r="V991">
        <v>2</v>
      </c>
      <c r="W991">
        <v>5</v>
      </c>
      <c r="X991">
        <v>4</v>
      </c>
      <c r="Y991">
        <v>0</v>
      </c>
      <c r="Z991">
        <v>2</v>
      </c>
      <c r="AA991" t="str">
        <f t="shared" si="83"/>
        <v>Mid Tenure</v>
      </c>
      <c r="AB991" s="5">
        <v>45716</v>
      </c>
      <c r="AC991">
        <f t="shared" si="84"/>
        <v>1</v>
      </c>
      <c r="AD991" t="s">
        <v>49</v>
      </c>
      <c r="AE991">
        <f>VLOOKUP(A991,'Employee Engagement Survey'!A921:B2390,2,FALSE)</f>
        <v>3</v>
      </c>
      <c r="AF991">
        <f>VLOOKUP(A991,'Employee Engagement Survey'!A921:C2390,3,FALSE)</f>
        <v>4</v>
      </c>
      <c r="AG991">
        <f>VLOOKUP(A991,'Employee Engagement Survey'!A921:D2390,4,FALSE)</f>
        <v>3</v>
      </c>
      <c r="AH991">
        <f>VLOOKUP(A991,'Employee Engagement Survey'!A921:E2390,5,FALSE)</f>
        <v>3</v>
      </c>
      <c r="AI991">
        <f t="shared" si="82"/>
        <v>3.25</v>
      </c>
    </row>
    <row r="992" spans="1:35" hidden="1" x14ac:dyDescent="0.4">
      <c r="A992">
        <v>456</v>
      </c>
      <c r="B992" t="s">
        <v>34</v>
      </c>
      <c r="C992">
        <f t="shared" si="80"/>
        <v>1</v>
      </c>
      <c r="D992" t="s">
        <v>57</v>
      </c>
      <c r="E992">
        <f t="shared" si="81"/>
        <v>0</v>
      </c>
      <c r="F992" t="s">
        <v>40</v>
      </c>
      <c r="G992">
        <v>8</v>
      </c>
      <c r="H992" s="1">
        <v>85416</v>
      </c>
      <c r="I992" s="10">
        <v>0.13</v>
      </c>
      <c r="J992">
        <v>37.5</v>
      </c>
      <c r="K992" t="s">
        <v>34</v>
      </c>
      <c r="L992">
        <v>30</v>
      </c>
      <c r="M992" t="s">
        <v>47</v>
      </c>
      <c r="N992" t="s">
        <v>48</v>
      </c>
      <c r="O992" t="s">
        <v>31</v>
      </c>
      <c r="P992">
        <v>5</v>
      </c>
      <c r="Q992" t="s">
        <v>43</v>
      </c>
      <c r="R992" t="s">
        <v>56</v>
      </c>
      <c r="S992">
        <v>3</v>
      </c>
      <c r="T992">
        <v>3</v>
      </c>
      <c r="U992">
        <v>10</v>
      </c>
      <c r="V992">
        <v>2</v>
      </c>
      <c r="W992">
        <v>10</v>
      </c>
      <c r="X992">
        <v>9</v>
      </c>
      <c r="Y992">
        <v>1</v>
      </c>
      <c r="Z992">
        <v>2</v>
      </c>
      <c r="AA992" t="str">
        <f t="shared" si="83"/>
        <v>Long Tenure</v>
      </c>
      <c r="AB992" s="5">
        <v>45179</v>
      </c>
      <c r="AC992">
        <f t="shared" si="84"/>
        <v>0</v>
      </c>
      <c r="AD992" t="s">
        <v>49</v>
      </c>
      <c r="AE992">
        <f>VLOOKUP(A992,'Employee Engagement Survey'!A922:B2391,2,FALSE)</f>
        <v>4</v>
      </c>
      <c r="AF992">
        <f>VLOOKUP(A992,'Employee Engagement Survey'!A922:C2391,3,FALSE)</f>
        <v>3</v>
      </c>
      <c r="AG992">
        <f>VLOOKUP(A992,'Employee Engagement Survey'!A922:D2391,4,FALSE)</f>
        <v>3</v>
      </c>
      <c r="AH992">
        <f>VLOOKUP(A992,'Employee Engagement Survey'!A922:E2391,5,FALSE)</f>
        <v>3</v>
      </c>
      <c r="AI992">
        <f t="shared" si="82"/>
        <v>3.25</v>
      </c>
    </row>
    <row r="993" spans="1:35" hidden="1" x14ac:dyDescent="0.4">
      <c r="A993">
        <v>1322</v>
      </c>
      <c r="B993" t="s">
        <v>34</v>
      </c>
      <c r="C993">
        <f t="shared" si="80"/>
        <v>1</v>
      </c>
      <c r="D993" t="s">
        <v>54</v>
      </c>
      <c r="E993">
        <f t="shared" si="81"/>
        <v>1</v>
      </c>
      <c r="F993" t="s">
        <v>28</v>
      </c>
      <c r="G993">
        <v>6</v>
      </c>
      <c r="H993" s="1">
        <v>66408</v>
      </c>
      <c r="I993" s="10">
        <v>0.11</v>
      </c>
      <c r="J993">
        <v>37.5</v>
      </c>
      <c r="K993" t="s">
        <v>34</v>
      </c>
      <c r="L993">
        <v>39</v>
      </c>
      <c r="M993" t="s">
        <v>29</v>
      </c>
      <c r="N993" t="s">
        <v>30</v>
      </c>
      <c r="O993" t="s">
        <v>31</v>
      </c>
      <c r="P993">
        <v>18</v>
      </c>
      <c r="Q993" t="s">
        <v>36</v>
      </c>
      <c r="R993" t="s">
        <v>37</v>
      </c>
      <c r="S993">
        <v>3</v>
      </c>
      <c r="T993">
        <v>0</v>
      </c>
      <c r="U993">
        <v>9</v>
      </c>
      <c r="V993">
        <v>6</v>
      </c>
      <c r="W993">
        <v>8</v>
      </c>
      <c r="X993">
        <v>7</v>
      </c>
      <c r="Y993">
        <v>1</v>
      </c>
      <c r="Z993">
        <v>7</v>
      </c>
      <c r="AA993" t="str">
        <f t="shared" si="83"/>
        <v>Mid Tenure</v>
      </c>
      <c r="AB993" s="5">
        <v>45210</v>
      </c>
      <c r="AC993">
        <f t="shared" si="84"/>
        <v>0</v>
      </c>
      <c r="AD993" t="s">
        <v>38</v>
      </c>
      <c r="AE993">
        <f>VLOOKUP(A993,'Employee Engagement Survey'!A923:B2392,2,FALSE)</f>
        <v>1</v>
      </c>
      <c r="AF993">
        <f>VLOOKUP(A993,'Employee Engagement Survey'!A923:C2392,3,FALSE)</f>
        <v>3</v>
      </c>
      <c r="AG993">
        <f>VLOOKUP(A993,'Employee Engagement Survey'!A923:D2392,4,FALSE)</f>
        <v>1</v>
      </c>
      <c r="AH993">
        <f>VLOOKUP(A993,'Employee Engagement Survey'!A923:E2392,5,FALSE)</f>
        <v>3</v>
      </c>
      <c r="AI993">
        <f t="shared" si="82"/>
        <v>2</v>
      </c>
    </row>
    <row r="994" spans="1:35" hidden="1" x14ac:dyDescent="0.4">
      <c r="A994">
        <v>1356</v>
      </c>
      <c r="B994" t="s">
        <v>34</v>
      </c>
      <c r="C994">
        <f t="shared" si="80"/>
        <v>1</v>
      </c>
      <c r="D994" t="s">
        <v>57</v>
      </c>
      <c r="E994">
        <f t="shared" si="81"/>
        <v>0</v>
      </c>
      <c r="F994" t="s">
        <v>40</v>
      </c>
      <c r="G994">
        <v>8</v>
      </c>
      <c r="H994" s="1">
        <v>85500</v>
      </c>
      <c r="I994" s="10">
        <v>0.12</v>
      </c>
      <c r="J994">
        <v>37.5</v>
      </c>
      <c r="K994" t="s">
        <v>34</v>
      </c>
      <c r="L994">
        <v>34</v>
      </c>
      <c r="M994" t="s">
        <v>47</v>
      </c>
      <c r="N994" t="s">
        <v>30</v>
      </c>
      <c r="O994" t="s">
        <v>31</v>
      </c>
      <c r="P994">
        <v>15</v>
      </c>
      <c r="Q994" t="s">
        <v>36</v>
      </c>
      <c r="R994" t="s">
        <v>33</v>
      </c>
      <c r="S994">
        <v>3</v>
      </c>
      <c r="T994">
        <v>0</v>
      </c>
      <c r="U994">
        <v>10</v>
      </c>
      <c r="V994">
        <v>6</v>
      </c>
      <c r="W994">
        <v>10</v>
      </c>
      <c r="X994">
        <v>8</v>
      </c>
      <c r="Y994">
        <v>9</v>
      </c>
      <c r="Z994">
        <v>6</v>
      </c>
      <c r="AA994" t="str">
        <f t="shared" si="83"/>
        <v>Long Tenure</v>
      </c>
      <c r="AB994" s="5">
        <v>45952</v>
      </c>
      <c r="AC994">
        <f t="shared" si="84"/>
        <v>1</v>
      </c>
      <c r="AD994" t="s">
        <v>49</v>
      </c>
      <c r="AE994">
        <f>VLOOKUP(A994,'Employee Engagement Survey'!A924:B2393,2,FALSE)</f>
        <v>3</v>
      </c>
      <c r="AF994">
        <f>VLOOKUP(A994,'Employee Engagement Survey'!A924:C2393,3,FALSE)</f>
        <v>1</v>
      </c>
      <c r="AG994">
        <f>VLOOKUP(A994,'Employee Engagement Survey'!A924:D2393,4,FALSE)</f>
        <v>4</v>
      </c>
      <c r="AH994">
        <f>VLOOKUP(A994,'Employee Engagement Survey'!A924:E2393,5,FALSE)</f>
        <v>4</v>
      </c>
      <c r="AI994">
        <f t="shared" si="82"/>
        <v>3</v>
      </c>
    </row>
    <row r="995" spans="1:35" hidden="1" x14ac:dyDescent="0.4">
      <c r="A995">
        <v>1329</v>
      </c>
      <c r="B995" t="s">
        <v>34</v>
      </c>
      <c r="C995">
        <f t="shared" si="80"/>
        <v>1</v>
      </c>
      <c r="D995" t="s">
        <v>57</v>
      </c>
      <c r="E995">
        <f t="shared" si="81"/>
        <v>0</v>
      </c>
      <c r="F995" t="s">
        <v>40</v>
      </c>
      <c r="G995">
        <v>8</v>
      </c>
      <c r="H995" s="1">
        <v>85812</v>
      </c>
      <c r="I995" s="10">
        <v>0.13</v>
      </c>
      <c r="J995">
        <v>37.5</v>
      </c>
      <c r="K995" t="s">
        <v>34</v>
      </c>
      <c r="L995">
        <v>41</v>
      </c>
      <c r="M995" t="s">
        <v>29</v>
      </c>
      <c r="N995" t="s">
        <v>30</v>
      </c>
      <c r="O995" t="s">
        <v>35</v>
      </c>
      <c r="P995">
        <v>10</v>
      </c>
      <c r="Q995" t="s">
        <v>36</v>
      </c>
      <c r="R995" t="s">
        <v>33</v>
      </c>
      <c r="S995">
        <v>3</v>
      </c>
      <c r="T995">
        <v>0</v>
      </c>
      <c r="U995">
        <v>19</v>
      </c>
      <c r="V995">
        <v>4</v>
      </c>
      <c r="W995">
        <v>19</v>
      </c>
      <c r="X995">
        <v>2</v>
      </c>
      <c r="Y995">
        <v>11</v>
      </c>
      <c r="Z995">
        <v>9</v>
      </c>
      <c r="AA995" t="str">
        <f t="shared" si="83"/>
        <v>Long Tenure</v>
      </c>
      <c r="AB995" s="5">
        <v>45079</v>
      </c>
      <c r="AC995">
        <f t="shared" si="84"/>
        <v>0</v>
      </c>
      <c r="AD995" t="s">
        <v>49</v>
      </c>
      <c r="AE995">
        <f>VLOOKUP(A995,'Employee Engagement Survey'!A925:B2394,2,FALSE)</f>
        <v>3</v>
      </c>
      <c r="AF995">
        <f>VLOOKUP(A995,'Employee Engagement Survey'!A925:C2394,3,FALSE)</f>
        <v>2</v>
      </c>
      <c r="AG995">
        <f>VLOOKUP(A995,'Employee Engagement Survey'!A925:D2394,4,FALSE)</f>
        <v>1</v>
      </c>
      <c r="AH995">
        <f>VLOOKUP(A995,'Employee Engagement Survey'!A925:E2394,5,FALSE)</f>
        <v>3</v>
      </c>
      <c r="AI995">
        <f t="shared" si="82"/>
        <v>2.25</v>
      </c>
    </row>
    <row r="996" spans="1:35" hidden="1" x14ac:dyDescent="0.4">
      <c r="A996">
        <v>757</v>
      </c>
      <c r="B996" t="s">
        <v>34</v>
      </c>
      <c r="C996">
        <f t="shared" si="80"/>
        <v>1</v>
      </c>
      <c r="D996" t="s">
        <v>55</v>
      </c>
      <c r="E996">
        <f t="shared" si="81"/>
        <v>0</v>
      </c>
      <c r="F996" t="s">
        <v>28</v>
      </c>
      <c r="G996">
        <v>8</v>
      </c>
      <c r="H996" s="1">
        <v>85704</v>
      </c>
      <c r="I996" s="10">
        <v>0.11</v>
      </c>
      <c r="J996">
        <v>37.5</v>
      </c>
      <c r="K996" t="s">
        <v>34</v>
      </c>
      <c r="L996">
        <v>34</v>
      </c>
      <c r="M996" t="s">
        <v>47</v>
      </c>
      <c r="N996" t="s">
        <v>30</v>
      </c>
      <c r="O996" t="s">
        <v>31</v>
      </c>
      <c r="P996">
        <v>8</v>
      </c>
      <c r="Q996" t="s">
        <v>36</v>
      </c>
      <c r="R996" t="s">
        <v>33</v>
      </c>
      <c r="S996">
        <v>3</v>
      </c>
      <c r="T996">
        <v>0</v>
      </c>
      <c r="U996">
        <v>10</v>
      </c>
      <c r="V996">
        <v>2</v>
      </c>
      <c r="W996">
        <v>5</v>
      </c>
      <c r="X996">
        <v>1</v>
      </c>
      <c r="Y996">
        <v>4</v>
      </c>
      <c r="Z996">
        <v>3</v>
      </c>
      <c r="AA996" t="str">
        <f t="shared" si="83"/>
        <v>Mid Tenure</v>
      </c>
      <c r="AB996" s="5">
        <v>45706</v>
      </c>
      <c r="AC996">
        <f t="shared" si="84"/>
        <v>1</v>
      </c>
      <c r="AD996" t="s">
        <v>38</v>
      </c>
      <c r="AE996">
        <f>VLOOKUP(A996,'Employee Engagement Survey'!A927:B2396,2,FALSE)</f>
        <v>2</v>
      </c>
      <c r="AF996">
        <f>VLOOKUP(A996,'Employee Engagement Survey'!A927:C2396,3,FALSE)</f>
        <v>3</v>
      </c>
      <c r="AG996">
        <f>VLOOKUP(A996,'Employee Engagement Survey'!A927:D2396,4,FALSE)</f>
        <v>4</v>
      </c>
      <c r="AH996">
        <f>VLOOKUP(A996,'Employee Engagement Survey'!A927:E2396,5,FALSE)</f>
        <v>3</v>
      </c>
      <c r="AI996">
        <f t="shared" si="82"/>
        <v>3</v>
      </c>
    </row>
    <row r="997" spans="1:35" hidden="1" x14ac:dyDescent="0.4">
      <c r="A997">
        <v>1587</v>
      </c>
      <c r="B997" t="s">
        <v>34</v>
      </c>
      <c r="C997">
        <f t="shared" si="80"/>
        <v>1</v>
      </c>
      <c r="D997" t="s">
        <v>55</v>
      </c>
      <c r="E997">
        <f t="shared" si="81"/>
        <v>0</v>
      </c>
      <c r="F997" t="s">
        <v>28</v>
      </c>
      <c r="G997">
        <v>8</v>
      </c>
      <c r="H997" s="1">
        <v>85704</v>
      </c>
      <c r="I997" s="10">
        <v>0.16</v>
      </c>
      <c r="J997">
        <v>37.5</v>
      </c>
      <c r="K997" t="s">
        <v>26</v>
      </c>
      <c r="L997">
        <v>35</v>
      </c>
      <c r="M997" t="s">
        <v>47</v>
      </c>
      <c r="N997" t="s">
        <v>30</v>
      </c>
      <c r="O997" t="s">
        <v>31</v>
      </c>
      <c r="P997">
        <v>10</v>
      </c>
      <c r="Q997" t="s">
        <v>51</v>
      </c>
      <c r="R997" t="s">
        <v>33</v>
      </c>
      <c r="S997">
        <v>3</v>
      </c>
      <c r="T997">
        <v>0</v>
      </c>
      <c r="U997">
        <v>10</v>
      </c>
      <c r="V997">
        <v>4</v>
      </c>
      <c r="W997">
        <v>5</v>
      </c>
      <c r="X997">
        <v>2</v>
      </c>
      <c r="Y997">
        <v>0</v>
      </c>
      <c r="Z997">
        <v>4</v>
      </c>
      <c r="AA997" t="str">
        <f t="shared" si="83"/>
        <v>Mid Tenure</v>
      </c>
      <c r="AB997" s="5">
        <v>45296</v>
      </c>
      <c r="AC997">
        <f t="shared" si="84"/>
        <v>1</v>
      </c>
      <c r="AD997" t="s">
        <v>49</v>
      </c>
      <c r="AE997">
        <f>VLOOKUP(A997,'Employee Engagement Survey'!A928:B2397,2,FALSE)</f>
        <v>1</v>
      </c>
      <c r="AF997">
        <f>VLOOKUP(A997,'Employee Engagement Survey'!A928:C2397,3,FALSE)</f>
        <v>3</v>
      </c>
      <c r="AG997">
        <f>VLOOKUP(A997,'Employee Engagement Survey'!A928:D2397,4,FALSE)</f>
        <v>3</v>
      </c>
      <c r="AH997">
        <f>VLOOKUP(A997,'Employee Engagement Survey'!A928:E2397,5,FALSE)</f>
        <v>3</v>
      </c>
      <c r="AI997">
        <f t="shared" si="82"/>
        <v>2.5</v>
      </c>
    </row>
    <row r="998" spans="1:35" hidden="1" x14ac:dyDescent="0.4">
      <c r="A998">
        <v>1334</v>
      </c>
      <c r="B998" t="s">
        <v>34</v>
      </c>
      <c r="C998">
        <f t="shared" si="80"/>
        <v>1</v>
      </c>
      <c r="D998" t="s">
        <v>109</v>
      </c>
      <c r="E998">
        <f t="shared" si="81"/>
        <v>1</v>
      </c>
      <c r="F998" t="s">
        <v>28</v>
      </c>
      <c r="G998">
        <v>4</v>
      </c>
      <c r="H998" s="1">
        <v>226332</v>
      </c>
      <c r="I998" s="10">
        <v>0.13</v>
      </c>
      <c r="J998">
        <v>37.5</v>
      </c>
      <c r="K998" t="s">
        <v>26</v>
      </c>
      <c r="L998">
        <v>42</v>
      </c>
      <c r="M998" t="s">
        <v>29</v>
      </c>
      <c r="N998" t="s">
        <v>42</v>
      </c>
      <c r="O998" t="s">
        <v>35</v>
      </c>
      <c r="P998">
        <v>2</v>
      </c>
      <c r="Q998" t="s">
        <v>32</v>
      </c>
      <c r="R998" t="s">
        <v>37</v>
      </c>
      <c r="S998">
        <v>3</v>
      </c>
      <c r="T998">
        <v>0</v>
      </c>
      <c r="U998">
        <v>21</v>
      </c>
      <c r="V998">
        <v>3</v>
      </c>
      <c r="W998">
        <v>20</v>
      </c>
      <c r="X998">
        <v>8</v>
      </c>
      <c r="Y998">
        <v>2</v>
      </c>
      <c r="Z998">
        <v>10</v>
      </c>
      <c r="AA998" t="str">
        <f t="shared" si="83"/>
        <v>Long Tenure</v>
      </c>
      <c r="AB998" s="5">
        <v>44763</v>
      </c>
      <c r="AC998">
        <f t="shared" si="84"/>
        <v>0</v>
      </c>
      <c r="AD998" t="s">
        <v>49</v>
      </c>
      <c r="AE998">
        <f>VLOOKUP(A998,'Employee Engagement Survey'!A929:B2398,2,FALSE)</f>
        <v>3</v>
      </c>
      <c r="AF998">
        <f>VLOOKUP(A998,'Employee Engagement Survey'!A929:C2398,3,FALSE)</f>
        <v>3</v>
      </c>
      <c r="AG998">
        <f>VLOOKUP(A998,'Employee Engagement Survey'!A929:D2398,4,FALSE)</f>
        <v>4</v>
      </c>
      <c r="AH998">
        <f>VLOOKUP(A998,'Employee Engagement Survey'!A929:E2398,5,FALSE)</f>
        <v>2</v>
      </c>
      <c r="AI998">
        <f t="shared" si="82"/>
        <v>3</v>
      </c>
    </row>
    <row r="999" spans="1:35" hidden="1" x14ac:dyDescent="0.4">
      <c r="A999">
        <v>1340</v>
      </c>
      <c r="B999" t="s">
        <v>34</v>
      </c>
      <c r="C999">
        <f t="shared" si="80"/>
        <v>1</v>
      </c>
      <c r="D999" t="s">
        <v>27</v>
      </c>
      <c r="E999">
        <f t="shared" si="81"/>
        <v>0</v>
      </c>
      <c r="F999" t="s">
        <v>28</v>
      </c>
      <c r="G999">
        <v>6</v>
      </c>
      <c r="H999" s="1">
        <v>66528</v>
      </c>
      <c r="I999" s="10">
        <v>0.16</v>
      </c>
      <c r="J999">
        <v>37.5</v>
      </c>
      <c r="K999" t="s">
        <v>34</v>
      </c>
      <c r="L999">
        <v>40</v>
      </c>
      <c r="M999" t="s">
        <v>29</v>
      </c>
      <c r="N999" t="s">
        <v>48</v>
      </c>
      <c r="O999" t="s">
        <v>35</v>
      </c>
      <c r="P999">
        <v>16</v>
      </c>
      <c r="Q999" t="s">
        <v>36</v>
      </c>
      <c r="R999" t="s">
        <v>37</v>
      </c>
      <c r="S999">
        <v>3</v>
      </c>
      <c r="T999">
        <v>1</v>
      </c>
      <c r="U999">
        <v>6</v>
      </c>
      <c r="V999">
        <v>0</v>
      </c>
      <c r="W999">
        <v>4</v>
      </c>
      <c r="X999">
        <v>2</v>
      </c>
      <c r="Y999">
        <v>0</v>
      </c>
      <c r="Z999">
        <v>0</v>
      </c>
      <c r="AA999" t="str">
        <f t="shared" si="83"/>
        <v>Mid Tenure</v>
      </c>
      <c r="AB999" s="5">
        <v>45088</v>
      </c>
      <c r="AC999">
        <f t="shared" si="84"/>
        <v>0</v>
      </c>
      <c r="AD999" t="s">
        <v>38</v>
      </c>
      <c r="AE999">
        <f>VLOOKUP(A999,'Employee Engagement Survey'!A931:B2400,2,FALSE)</f>
        <v>3</v>
      </c>
      <c r="AF999">
        <f>VLOOKUP(A999,'Employee Engagement Survey'!A931:C2400,3,FALSE)</f>
        <v>3</v>
      </c>
      <c r="AG999">
        <f>VLOOKUP(A999,'Employee Engagement Survey'!A931:D2400,4,FALSE)</f>
        <v>2</v>
      </c>
      <c r="AH999">
        <f>VLOOKUP(A999,'Employee Engagement Survey'!A931:E2400,5,FALSE)</f>
        <v>3</v>
      </c>
      <c r="AI999">
        <f t="shared" si="82"/>
        <v>2.75</v>
      </c>
    </row>
    <row r="1000" spans="1:35" hidden="1" x14ac:dyDescent="0.4">
      <c r="A1000">
        <v>1344</v>
      </c>
      <c r="B1000" t="s">
        <v>34</v>
      </c>
      <c r="C1000">
        <f t="shared" si="80"/>
        <v>1</v>
      </c>
      <c r="D1000" t="s">
        <v>55</v>
      </c>
      <c r="E1000">
        <f t="shared" si="81"/>
        <v>0</v>
      </c>
      <c r="F1000" t="s">
        <v>28</v>
      </c>
      <c r="G1000">
        <v>9</v>
      </c>
      <c r="H1000" s="1">
        <v>114000</v>
      </c>
      <c r="I1000" s="10">
        <v>0.11</v>
      </c>
      <c r="J1000">
        <v>37.5</v>
      </c>
      <c r="K1000" t="s">
        <v>34</v>
      </c>
      <c r="L1000">
        <v>34</v>
      </c>
      <c r="M1000" t="s">
        <v>29</v>
      </c>
      <c r="N1000" t="s">
        <v>48</v>
      </c>
      <c r="O1000" t="s">
        <v>31</v>
      </c>
      <c r="P1000">
        <v>9</v>
      </c>
      <c r="Q1000" t="s">
        <v>43</v>
      </c>
      <c r="R1000" t="s">
        <v>37</v>
      </c>
      <c r="S1000">
        <v>3</v>
      </c>
      <c r="T1000">
        <v>1</v>
      </c>
      <c r="U1000">
        <v>10</v>
      </c>
      <c r="V1000">
        <v>0</v>
      </c>
      <c r="W1000">
        <v>9</v>
      </c>
      <c r="X1000">
        <v>7</v>
      </c>
      <c r="Y1000">
        <v>1</v>
      </c>
      <c r="Z1000">
        <v>6</v>
      </c>
      <c r="AA1000" t="str">
        <f t="shared" si="83"/>
        <v>Mid Tenure</v>
      </c>
      <c r="AB1000" s="5">
        <v>45833</v>
      </c>
      <c r="AC1000">
        <f t="shared" si="84"/>
        <v>1</v>
      </c>
      <c r="AD1000" t="s">
        <v>49</v>
      </c>
      <c r="AE1000">
        <f>VLOOKUP(A1000,'Employee Engagement Survey'!A932:B2401,2,FALSE)</f>
        <v>4</v>
      </c>
      <c r="AF1000">
        <f>VLOOKUP(A1000,'Employee Engagement Survey'!A932:C2401,3,FALSE)</f>
        <v>4</v>
      </c>
      <c r="AG1000">
        <f>VLOOKUP(A1000,'Employee Engagement Survey'!A932:D2401,4,FALSE)</f>
        <v>4</v>
      </c>
      <c r="AH1000">
        <f>VLOOKUP(A1000,'Employee Engagement Survey'!A932:E2401,5,FALSE)</f>
        <v>2</v>
      </c>
      <c r="AI1000">
        <f t="shared" si="82"/>
        <v>3.5</v>
      </c>
    </row>
    <row r="1001" spans="1:35" hidden="1" x14ac:dyDescent="0.4">
      <c r="A1001">
        <v>830</v>
      </c>
      <c r="B1001" t="s">
        <v>34</v>
      </c>
      <c r="C1001">
        <f t="shared" si="80"/>
        <v>1</v>
      </c>
      <c r="D1001" t="s">
        <v>54</v>
      </c>
      <c r="E1001">
        <f t="shared" si="81"/>
        <v>1</v>
      </c>
      <c r="F1001" t="s">
        <v>28</v>
      </c>
      <c r="G1001">
        <v>8</v>
      </c>
      <c r="H1001" s="1">
        <v>85944</v>
      </c>
      <c r="I1001" s="10">
        <v>0.12</v>
      </c>
      <c r="J1001">
        <v>37.5</v>
      </c>
      <c r="K1001" t="s">
        <v>34</v>
      </c>
      <c r="L1001">
        <v>32</v>
      </c>
      <c r="M1001" t="s">
        <v>47</v>
      </c>
      <c r="N1001" t="s">
        <v>42</v>
      </c>
      <c r="O1001" t="s">
        <v>31</v>
      </c>
      <c r="P1001">
        <v>4</v>
      </c>
      <c r="Q1001" t="s">
        <v>43</v>
      </c>
      <c r="R1001" t="s">
        <v>37</v>
      </c>
      <c r="S1001">
        <v>3</v>
      </c>
      <c r="T1001">
        <v>1</v>
      </c>
      <c r="U1001">
        <v>14</v>
      </c>
      <c r="V1001">
        <v>3</v>
      </c>
      <c r="W1001">
        <v>14</v>
      </c>
      <c r="X1001">
        <v>13</v>
      </c>
      <c r="Y1001">
        <v>6</v>
      </c>
      <c r="Z1001">
        <v>8</v>
      </c>
      <c r="AA1001" t="str">
        <f t="shared" si="83"/>
        <v>Long Tenure</v>
      </c>
      <c r="AB1001" s="5">
        <v>45940</v>
      </c>
      <c r="AC1001">
        <f t="shared" si="84"/>
        <v>1</v>
      </c>
      <c r="AD1001" t="s">
        <v>38</v>
      </c>
      <c r="AE1001">
        <f>VLOOKUP(A1001,'Employee Engagement Survey'!A933:B2402,2,FALSE)</f>
        <v>3</v>
      </c>
      <c r="AF1001">
        <f>VLOOKUP(A1001,'Employee Engagement Survey'!A933:C2402,3,FALSE)</f>
        <v>3</v>
      </c>
      <c r="AG1001">
        <f>VLOOKUP(A1001,'Employee Engagement Survey'!A933:D2402,4,FALSE)</f>
        <v>3</v>
      </c>
      <c r="AH1001">
        <f>VLOOKUP(A1001,'Employee Engagement Survey'!A933:E2402,5,FALSE)</f>
        <v>3</v>
      </c>
      <c r="AI1001">
        <f t="shared" si="82"/>
        <v>3</v>
      </c>
    </row>
    <row r="1002" spans="1:35" hidden="1" x14ac:dyDescent="0.4">
      <c r="A1002">
        <v>1346</v>
      </c>
      <c r="B1002" t="s">
        <v>34</v>
      </c>
      <c r="C1002">
        <f t="shared" si="80"/>
        <v>1</v>
      </c>
      <c r="D1002" t="s">
        <v>27</v>
      </c>
      <c r="E1002">
        <f t="shared" si="81"/>
        <v>0</v>
      </c>
      <c r="F1002" t="s">
        <v>28</v>
      </c>
      <c r="G1002">
        <v>6</v>
      </c>
      <c r="H1002" s="1">
        <v>67932</v>
      </c>
      <c r="I1002" s="10">
        <v>0.13</v>
      </c>
      <c r="J1002">
        <v>37.5</v>
      </c>
      <c r="K1002" t="s">
        <v>34</v>
      </c>
      <c r="L1002">
        <v>40</v>
      </c>
      <c r="M1002" t="s">
        <v>29</v>
      </c>
      <c r="N1002" t="s">
        <v>30</v>
      </c>
      <c r="O1002" t="s">
        <v>31</v>
      </c>
      <c r="P1002">
        <v>2</v>
      </c>
      <c r="Q1002" t="s">
        <v>43</v>
      </c>
      <c r="R1002" t="s">
        <v>37</v>
      </c>
      <c r="S1002">
        <v>3</v>
      </c>
      <c r="T1002">
        <v>0</v>
      </c>
      <c r="U1002">
        <v>9</v>
      </c>
      <c r="V1002">
        <v>4</v>
      </c>
      <c r="W1002">
        <v>9</v>
      </c>
      <c r="X1002">
        <v>8</v>
      </c>
      <c r="Y1002">
        <v>8</v>
      </c>
      <c r="Z1002">
        <v>8</v>
      </c>
      <c r="AA1002" t="str">
        <f t="shared" si="83"/>
        <v>Mid Tenure</v>
      </c>
      <c r="AB1002" s="5">
        <v>45512</v>
      </c>
      <c r="AC1002">
        <f t="shared" si="84"/>
        <v>1</v>
      </c>
      <c r="AD1002" t="s">
        <v>49</v>
      </c>
      <c r="AE1002">
        <f>VLOOKUP(A1002,'Employee Engagement Survey'!A934:B2403,2,FALSE)</f>
        <v>3</v>
      </c>
      <c r="AF1002">
        <f>VLOOKUP(A1002,'Employee Engagement Survey'!A934:C2403,3,FALSE)</f>
        <v>4</v>
      </c>
      <c r="AG1002">
        <f>VLOOKUP(A1002,'Employee Engagement Survey'!A934:D2403,4,FALSE)</f>
        <v>3</v>
      </c>
      <c r="AH1002">
        <f>VLOOKUP(A1002,'Employee Engagement Survey'!A934:E2403,5,FALSE)</f>
        <v>3</v>
      </c>
      <c r="AI1002">
        <f t="shared" si="82"/>
        <v>3.25</v>
      </c>
    </row>
    <row r="1003" spans="1:35" hidden="1" x14ac:dyDescent="0.4">
      <c r="A1003">
        <v>1350</v>
      </c>
      <c r="B1003" t="s">
        <v>34</v>
      </c>
      <c r="C1003">
        <f t="shared" si="80"/>
        <v>1</v>
      </c>
      <c r="D1003" t="s">
        <v>27</v>
      </c>
      <c r="E1003">
        <f t="shared" si="81"/>
        <v>0</v>
      </c>
      <c r="F1003" t="s">
        <v>28</v>
      </c>
      <c r="G1003">
        <v>6</v>
      </c>
      <c r="H1003" s="1">
        <v>62988</v>
      </c>
      <c r="I1003" s="10">
        <v>0.11</v>
      </c>
      <c r="J1003">
        <v>37.5</v>
      </c>
      <c r="K1003" t="s">
        <v>26</v>
      </c>
      <c r="L1003">
        <v>35</v>
      </c>
      <c r="M1003" t="s">
        <v>29</v>
      </c>
      <c r="N1003" t="s">
        <v>30</v>
      </c>
      <c r="O1003" t="s">
        <v>44</v>
      </c>
      <c r="P1003">
        <v>4</v>
      </c>
      <c r="Q1003" t="s">
        <v>51</v>
      </c>
      <c r="R1003" t="s">
        <v>37</v>
      </c>
      <c r="S1003">
        <v>3</v>
      </c>
      <c r="T1003">
        <v>0</v>
      </c>
      <c r="U1003">
        <v>9</v>
      </c>
      <c r="V1003">
        <v>3</v>
      </c>
      <c r="W1003">
        <v>9</v>
      </c>
      <c r="X1003">
        <v>6</v>
      </c>
      <c r="Y1003">
        <v>1</v>
      </c>
      <c r="Z1003">
        <v>1</v>
      </c>
      <c r="AA1003" t="str">
        <f t="shared" si="83"/>
        <v>Mid Tenure</v>
      </c>
      <c r="AB1003" s="5">
        <v>45989</v>
      </c>
      <c r="AC1003">
        <f t="shared" si="84"/>
        <v>1</v>
      </c>
      <c r="AD1003" t="s">
        <v>49</v>
      </c>
      <c r="AE1003">
        <f>VLOOKUP(A1003,'Employee Engagement Survey'!A935:B2404,2,FALSE)</f>
        <v>3</v>
      </c>
      <c r="AF1003">
        <f>VLOOKUP(A1003,'Employee Engagement Survey'!A935:C2404,3,FALSE)</f>
        <v>3</v>
      </c>
      <c r="AG1003">
        <f>VLOOKUP(A1003,'Employee Engagement Survey'!A935:D2404,4,FALSE)</f>
        <v>2</v>
      </c>
      <c r="AH1003">
        <f>VLOOKUP(A1003,'Employee Engagement Survey'!A935:E2404,5,FALSE)</f>
        <v>3</v>
      </c>
      <c r="AI1003">
        <f t="shared" si="82"/>
        <v>2.75</v>
      </c>
    </row>
    <row r="1004" spans="1:35" hidden="1" x14ac:dyDescent="0.4">
      <c r="A1004">
        <v>781</v>
      </c>
      <c r="B1004" t="s">
        <v>34</v>
      </c>
      <c r="C1004">
        <f t="shared" si="80"/>
        <v>1</v>
      </c>
      <c r="D1004" t="s">
        <v>57</v>
      </c>
      <c r="E1004">
        <f t="shared" si="81"/>
        <v>0</v>
      </c>
      <c r="F1004" t="s">
        <v>40</v>
      </c>
      <c r="G1004">
        <v>8</v>
      </c>
      <c r="H1004" s="1">
        <v>86160</v>
      </c>
      <c r="I1004" s="10">
        <v>0.23</v>
      </c>
      <c r="J1004">
        <v>37.5</v>
      </c>
      <c r="K1004" t="s">
        <v>34</v>
      </c>
      <c r="L1004">
        <v>25</v>
      </c>
      <c r="M1004" t="s">
        <v>47</v>
      </c>
      <c r="N1004" t="s">
        <v>30</v>
      </c>
      <c r="O1004" t="s">
        <v>31</v>
      </c>
      <c r="P1004">
        <v>26</v>
      </c>
      <c r="Q1004" t="s">
        <v>32</v>
      </c>
      <c r="R1004" t="s">
        <v>33</v>
      </c>
      <c r="S1004">
        <v>4</v>
      </c>
      <c r="T1004">
        <v>0</v>
      </c>
      <c r="U1004">
        <v>6</v>
      </c>
      <c r="V1004">
        <v>5</v>
      </c>
      <c r="W1004">
        <v>6</v>
      </c>
      <c r="X1004">
        <v>5</v>
      </c>
      <c r="Y1004">
        <v>1</v>
      </c>
      <c r="Z1004">
        <v>4</v>
      </c>
      <c r="AA1004" t="str">
        <f t="shared" si="83"/>
        <v>Mid Tenure</v>
      </c>
      <c r="AB1004" s="5">
        <v>46011</v>
      </c>
      <c r="AC1004">
        <f t="shared" si="84"/>
        <v>1</v>
      </c>
      <c r="AD1004" t="s">
        <v>49</v>
      </c>
      <c r="AE1004">
        <f>VLOOKUP(A1004,'Employee Engagement Survey'!A936:B2405,2,FALSE)</f>
        <v>3</v>
      </c>
      <c r="AF1004">
        <f>VLOOKUP(A1004,'Employee Engagement Survey'!A936:C2405,3,FALSE)</f>
        <v>4</v>
      </c>
      <c r="AG1004">
        <f>VLOOKUP(A1004,'Employee Engagement Survey'!A936:D2405,4,FALSE)</f>
        <v>2</v>
      </c>
      <c r="AH1004">
        <f>VLOOKUP(A1004,'Employee Engagement Survey'!A936:E2405,5,FALSE)</f>
        <v>2</v>
      </c>
      <c r="AI1004">
        <f t="shared" si="82"/>
        <v>2.75</v>
      </c>
    </row>
    <row r="1005" spans="1:35" hidden="1" x14ac:dyDescent="0.4">
      <c r="A1005">
        <v>1352</v>
      </c>
      <c r="B1005" t="s">
        <v>34</v>
      </c>
      <c r="C1005">
        <f t="shared" si="80"/>
        <v>1</v>
      </c>
      <c r="D1005" t="s">
        <v>108</v>
      </c>
      <c r="E1005">
        <f t="shared" si="81"/>
        <v>1</v>
      </c>
      <c r="F1005" t="s">
        <v>59</v>
      </c>
      <c r="G1005">
        <v>4</v>
      </c>
      <c r="H1005" s="1">
        <v>180312</v>
      </c>
      <c r="I1005" s="10">
        <v>0.11</v>
      </c>
      <c r="J1005">
        <v>37.5</v>
      </c>
      <c r="K1005" t="s">
        <v>26</v>
      </c>
      <c r="L1005">
        <v>51</v>
      </c>
      <c r="M1005" t="s">
        <v>29</v>
      </c>
      <c r="N1005" t="s">
        <v>48</v>
      </c>
      <c r="O1005" t="s">
        <v>31</v>
      </c>
      <c r="P1005">
        <v>5</v>
      </c>
      <c r="Q1005" t="s">
        <v>43</v>
      </c>
      <c r="R1005" t="s">
        <v>37</v>
      </c>
      <c r="S1005">
        <v>3</v>
      </c>
      <c r="T1005">
        <v>1</v>
      </c>
      <c r="U1005">
        <v>33</v>
      </c>
      <c r="V1005">
        <v>2</v>
      </c>
      <c r="W1005">
        <v>33</v>
      </c>
      <c r="X1005">
        <v>9</v>
      </c>
      <c r="Y1005">
        <v>0</v>
      </c>
      <c r="Z1005">
        <v>10</v>
      </c>
      <c r="AA1005" t="str">
        <f t="shared" si="83"/>
        <v>Long Tenure</v>
      </c>
      <c r="AB1005" s="5">
        <v>45275</v>
      </c>
      <c r="AC1005">
        <f t="shared" si="84"/>
        <v>0</v>
      </c>
      <c r="AD1005" t="s">
        <v>38</v>
      </c>
      <c r="AE1005">
        <f>VLOOKUP(A1005,'Employee Engagement Survey'!A937:B2406,2,FALSE)</f>
        <v>3</v>
      </c>
      <c r="AF1005">
        <f>VLOOKUP(A1005,'Employee Engagement Survey'!A937:C2406,3,FALSE)</f>
        <v>2</v>
      </c>
      <c r="AG1005">
        <f>VLOOKUP(A1005,'Employee Engagement Survey'!A937:D2406,4,FALSE)</f>
        <v>2</v>
      </c>
      <c r="AH1005">
        <f>VLOOKUP(A1005,'Employee Engagement Survey'!A937:E2406,5,FALSE)</f>
        <v>3</v>
      </c>
      <c r="AI1005">
        <f t="shared" si="82"/>
        <v>2.5</v>
      </c>
    </row>
    <row r="1006" spans="1:35" hidden="1" x14ac:dyDescent="0.4">
      <c r="A1006">
        <v>1358</v>
      </c>
      <c r="B1006" t="s">
        <v>34</v>
      </c>
      <c r="C1006">
        <f t="shared" si="80"/>
        <v>1</v>
      </c>
      <c r="D1006" t="s">
        <v>46</v>
      </c>
      <c r="E1006">
        <f t="shared" si="81"/>
        <v>0</v>
      </c>
      <c r="F1006" t="s">
        <v>28</v>
      </c>
      <c r="G1006">
        <v>6</v>
      </c>
      <c r="H1006" s="1">
        <v>68028</v>
      </c>
      <c r="I1006" s="10">
        <v>0.11</v>
      </c>
      <c r="J1006">
        <v>37.5</v>
      </c>
      <c r="K1006" t="s">
        <v>34</v>
      </c>
      <c r="L1006">
        <v>25</v>
      </c>
      <c r="M1006" t="s">
        <v>29</v>
      </c>
      <c r="N1006" t="s">
        <v>42</v>
      </c>
      <c r="O1006" t="s">
        <v>31</v>
      </c>
      <c r="P1006">
        <v>19</v>
      </c>
      <c r="Q1006" t="s">
        <v>32</v>
      </c>
      <c r="R1006" t="s">
        <v>33</v>
      </c>
      <c r="S1006">
        <v>3</v>
      </c>
      <c r="T1006">
        <v>3</v>
      </c>
      <c r="U1006">
        <v>7</v>
      </c>
      <c r="V1006">
        <v>6</v>
      </c>
      <c r="W1006">
        <v>3</v>
      </c>
      <c r="X1006">
        <v>2</v>
      </c>
      <c r="Y1006">
        <v>1</v>
      </c>
      <c r="Z1006">
        <v>2</v>
      </c>
      <c r="AA1006" t="str">
        <f t="shared" si="83"/>
        <v>Mid Tenure</v>
      </c>
      <c r="AB1006" s="5">
        <v>45010</v>
      </c>
      <c r="AC1006">
        <f t="shared" si="84"/>
        <v>0</v>
      </c>
      <c r="AD1006" t="s">
        <v>49</v>
      </c>
      <c r="AE1006">
        <f>VLOOKUP(A1006,'Employee Engagement Survey'!A938:B2407,2,FALSE)</f>
        <v>4</v>
      </c>
      <c r="AF1006">
        <f>VLOOKUP(A1006,'Employee Engagement Survey'!A938:C2407,3,FALSE)</f>
        <v>4</v>
      </c>
      <c r="AG1006">
        <f>VLOOKUP(A1006,'Employee Engagement Survey'!A938:D2407,4,FALSE)</f>
        <v>3</v>
      </c>
      <c r="AH1006">
        <f>VLOOKUP(A1006,'Employee Engagement Survey'!A938:E2407,5,FALSE)</f>
        <v>2</v>
      </c>
      <c r="AI1006">
        <f t="shared" si="82"/>
        <v>3.25</v>
      </c>
    </row>
    <row r="1007" spans="1:35" hidden="1" x14ac:dyDescent="0.4">
      <c r="A1007">
        <v>458</v>
      </c>
      <c r="B1007" t="s">
        <v>34</v>
      </c>
      <c r="C1007">
        <f t="shared" si="80"/>
        <v>1</v>
      </c>
      <c r="D1007" t="s">
        <v>57</v>
      </c>
      <c r="E1007">
        <f t="shared" si="81"/>
        <v>0</v>
      </c>
      <c r="F1007" t="s">
        <v>40</v>
      </c>
      <c r="G1007">
        <v>8</v>
      </c>
      <c r="H1007" s="1">
        <v>86568</v>
      </c>
      <c r="I1007" s="10">
        <v>0.18</v>
      </c>
      <c r="J1007">
        <v>37.5</v>
      </c>
      <c r="K1007" t="s">
        <v>34</v>
      </c>
      <c r="L1007">
        <v>27</v>
      </c>
      <c r="M1007" t="s">
        <v>47</v>
      </c>
      <c r="N1007" t="s">
        <v>42</v>
      </c>
      <c r="O1007" t="s">
        <v>31</v>
      </c>
      <c r="P1007">
        <v>8</v>
      </c>
      <c r="Q1007" t="s">
        <v>51</v>
      </c>
      <c r="R1007" t="s">
        <v>56</v>
      </c>
      <c r="S1007">
        <v>3</v>
      </c>
      <c r="T1007">
        <v>1</v>
      </c>
      <c r="U1007">
        <v>8</v>
      </c>
      <c r="V1007">
        <v>3</v>
      </c>
      <c r="W1007">
        <v>8</v>
      </c>
      <c r="X1007">
        <v>7</v>
      </c>
      <c r="Y1007">
        <v>0</v>
      </c>
      <c r="Z1007">
        <v>7</v>
      </c>
      <c r="AA1007" t="str">
        <f t="shared" si="83"/>
        <v>Mid Tenure</v>
      </c>
      <c r="AB1007" s="5">
        <v>45567</v>
      </c>
      <c r="AC1007">
        <f t="shared" si="84"/>
        <v>1</v>
      </c>
      <c r="AD1007" t="s">
        <v>38</v>
      </c>
      <c r="AE1007">
        <f>VLOOKUP(A1007,'Employee Engagement Survey'!A939:B2408,2,FALSE)</f>
        <v>2</v>
      </c>
      <c r="AF1007">
        <f>VLOOKUP(A1007,'Employee Engagement Survey'!A939:C2408,3,FALSE)</f>
        <v>2</v>
      </c>
      <c r="AG1007">
        <f>VLOOKUP(A1007,'Employee Engagement Survey'!A939:D2408,4,FALSE)</f>
        <v>1</v>
      </c>
      <c r="AH1007">
        <f>VLOOKUP(A1007,'Employee Engagement Survey'!A939:E2408,5,FALSE)</f>
        <v>3</v>
      </c>
      <c r="AI1007">
        <f t="shared" si="82"/>
        <v>2</v>
      </c>
    </row>
    <row r="1008" spans="1:35" hidden="1" x14ac:dyDescent="0.4">
      <c r="A1008">
        <v>1361</v>
      </c>
      <c r="B1008" t="s">
        <v>34</v>
      </c>
      <c r="C1008">
        <f t="shared" si="80"/>
        <v>1</v>
      </c>
      <c r="D1008" t="s">
        <v>46</v>
      </c>
      <c r="E1008">
        <f t="shared" si="81"/>
        <v>0</v>
      </c>
      <c r="F1008" t="s">
        <v>28</v>
      </c>
      <c r="G1008">
        <v>4</v>
      </c>
      <c r="H1008" s="1">
        <v>52644</v>
      </c>
      <c r="I1008" s="10">
        <v>0.22</v>
      </c>
      <c r="J1008">
        <v>37.5</v>
      </c>
      <c r="K1008" t="s">
        <v>34</v>
      </c>
      <c r="L1008">
        <v>40</v>
      </c>
      <c r="M1008" t="s">
        <v>29</v>
      </c>
      <c r="N1008" t="s">
        <v>42</v>
      </c>
      <c r="O1008" t="s">
        <v>31</v>
      </c>
      <c r="P1008">
        <v>1</v>
      </c>
      <c r="Q1008" t="s">
        <v>51</v>
      </c>
      <c r="R1008" t="s">
        <v>37</v>
      </c>
      <c r="S1008">
        <v>4</v>
      </c>
      <c r="T1008">
        <v>1</v>
      </c>
      <c r="U1008">
        <v>7</v>
      </c>
      <c r="V1008">
        <v>3</v>
      </c>
      <c r="W1008">
        <v>4</v>
      </c>
      <c r="X1008">
        <v>2</v>
      </c>
      <c r="Y1008">
        <v>0</v>
      </c>
      <c r="Z1008">
        <v>3</v>
      </c>
      <c r="AA1008" t="str">
        <f t="shared" si="83"/>
        <v>Mid Tenure</v>
      </c>
      <c r="AB1008" s="5">
        <v>45350</v>
      </c>
      <c r="AC1008">
        <f t="shared" si="84"/>
        <v>1</v>
      </c>
      <c r="AD1008" t="s">
        <v>49</v>
      </c>
      <c r="AE1008">
        <f>VLOOKUP(A1008,'Employee Engagement Survey'!A940:B2409,2,FALSE)</f>
        <v>2</v>
      </c>
      <c r="AF1008">
        <f>VLOOKUP(A1008,'Employee Engagement Survey'!A940:C2409,3,FALSE)</f>
        <v>2</v>
      </c>
      <c r="AG1008">
        <f>VLOOKUP(A1008,'Employee Engagement Survey'!A940:D2409,4,FALSE)</f>
        <v>3</v>
      </c>
      <c r="AH1008">
        <f>VLOOKUP(A1008,'Employee Engagement Survey'!A940:E2409,5,FALSE)</f>
        <v>3</v>
      </c>
      <c r="AI1008">
        <f t="shared" si="82"/>
        <v>2.5</v>
      </c>
    </row>
    <row r="1009" spans="1:35" hidden="1" x14ac:dyDescent="0.4">
      <c r="A1009">
        <v>1363</v>
      </c>
      <c r="B1009" t="s">
        <v>34</v>
      </c>
      <c r="C1009">
        <f t="shared" si="80"/>
        <v>1</v>
      </c>
      <c r="D1009" t="s">
        <v>54</v>
      </c>
      <c r="E1009">
        <f t="shared" si="81"/>
        <v>1</v>
      </c>
      <c r="F1009" t="s">
        <v>28</v>
      </c>
      <c r="G1009">
        <v>9</v>
      </c>
      <c r="H1009" s="1">
        <v>106776</v>
      </c>
      <c r="I1009" s="10">
        <v>0.11</v>
      </c>
      <c r="J1009">
        <v>37.5</v>
      </c>
      <c r="K1009" t="s">
        <v>34</v>
      </c>
      <c r="L1009">
        <v>48</v>
      </c>
      <c r="M1009" t="s">
        <v>29</v>
      </c>
      <c r="N1009" t="s">
        <v>30</v>
      </c>
      <c r="O1009" t="s">
        <v>31</v>
      </c>
      <c r="P1009">
        <v>4</v>
      </c>
      <c r="Q1009" t="s">
        <v>43</v>
      </c>
      <c r="R1009" t="s">
        <v>37</v>
      </c>
      <c r="S1009">
        <v>3</v>
      </c>
      <c r="T1009">
        <v>0</v>
      </c>
      <c r="U1009">
        <v>11</v>
      </c>
      <c r="V1009">
        <v>2</v>
      </c>
      <c r="W1009">
        <v>10</v>
      </c>
      <c r="X1009">
        <v>9</v>
      </c>
      <c r="Y1009">
        <v>0</v>
      </c>
      <c r="Z1009">
        <v>8</v>
      </c>
      <c r="AA1009" t="str">
        <f t="shared" si="83"/>
        <v>Long Tenure</v>
      </c>
      <c r="AB1009" s="5">
        <v>45345</v>
      </c>
      <c r="AC1009">
        <f t="shared" si="84"/>
        <v>1</v>
      </c>
      <c r="AD1009" t="s">
        <v>38</v>
      </c>
      <c r="AE1009">
        <f>VLOOKUP(A1009,'Employee Engagement Survey'!A941:B2410,2,FALSE)</f>
        <v>4</v>
      </c>
      <c r="AF1009">
        <f>VLOOKUP(A1009,'Employee Engagement Survey'!A941:C2410,3,FALSE)</f>
        <v>4</v>
      </c>
      <c r="AG1009">
        <f>VLOOKUP(A1009,'Employee Engagement Survey'!A941:D2410,4,FALSE)</f>
        <v>3</v>
      </c>
      <c r="AH1009">
        <f>VLOOKUP(A1009,'Employee Engagement Survey'!A941:E2410,5,FALSE)</f>
        <v>3</v>
      </c>
      <c r="AI1009">
        <f t="shared" si="82"/>
        <v>3.5</v>
      </c>
    </row>
    <row r="1010" spans="1:35" hidden="1" x14ac:dyDescent="0.4">
      <c r="A1010">
        <v>1371</v>
      </c>
      <c r="B1010" t="s">
        <v>34</v>
      </c>
      <c r="C1010">
        <f t="shared" ref="C1010:C1073" si="85">IF(B1010="No",1,0)</f>
        <v>1</v>
      </c>
      <c r="D1010" t="s">
        <v>57</v>
      </c>
      <c r="E1010">
        <f t="shared" si="81"/>
        <v>0</v>
      </c>
      <c r="F1010" t="s">
        <v>40</v>
      </c>
      <c r="G1010">
        <v>7</v>
      </c>
      <c r="H1010" s="1">
        <v>72852</v>
      </c>
      <c r="I1010" s="10">
        <v>0.2</v>
      </c>
      <c r="J1010">
        <v>37.5</v>
      </c>
      <c r="K1010" t="s">
        <v>34</v>
      </c>
      <c r="L1010">
        <v>27</v>
      </c>
      <c r="M1010" t="s">
        <v>29</v>
      </c>
      <c r="N1010" t="s">
        <v>30</v>
      </c>
      <c r="O1010" t="s">
        <v>44</v>
      </c>
      <c r="P1010">
        <v>2</v>
      </c>
      <c r="Q1010" t="s">
        <v>32</v>
      </c>
      <c r="R1010" t="s">
        <v>37</v>
      </c>
      <c r="S1010">
        <v>4</v>
      </c>
      <c r="T1010">
        <v>0</v>
      </c>
      <c r="U1010">
        <v>8</v>
      </c>
      <c r="V1010">
        <v>3</v>
      </c>
      <c r="W1010">
        <v>6</v>
      </c>
      <c r="X1010">
        <v>2</v>
      </c>
      <c r="Y1010">
        <v>0</v>
      </c>
      <c r="Z1010">
        <v>0</v>
      </c>
      <c r="AA1010" t="str">
        <f t="shared" si="83"/>
        <v>Mid Tenure</v>
      </c>
      <c r="AB1010" s="5">
        <v>45058</v>
      </c>
      <c r="AC1010">
        <f t="shared" si="84"/>
        <v>0</v>
      </c>
      <c r="AD1010" t="s">
        <v>49</v>
      </c>
      <c r="AE1010">
        <f>VLOOKUP(A1010,'Employee Engagement Survey'!A942:B2411,2,FALSE)</f>
        <v>4</v>
      </c>
      <c r="AF1010">
        <f>VLOOKUP(A1010,'Employee Engagement Survey'!A942:C2411,3,FALSE)</f>
        <v>4</v>
      </c>
      <c r="AG1010">
        <f>VLOOKUP(A1010,'Employee Engagement Survey'!A942:D2411,4,FALSE)</f>
        <v>2</v>
      </c>
      <c r="AH1010">
        <f>VLOOKUP(A1010,'Employee Engagement Survey'!A942:E2411,5,FALSE)</f>
        <v>3</v>
      </c>
      <c r="AI1010">
        <f t="shared" si="82"/>
        <v>3.25</v>
      </c>
    </row>
    <row r="1011" spans="1:35" hidden="1" x14ac:dyDescent="0.4">
      <c r="A1011">
        <v>936</v>
      </c>
      <c r="B1011" t="s">
        <v>34</v>
      </c>
      <c r="C1011">
        <f t="shared" si="85"/>
        <v>1</v>
      </c>
      <c r="D1011" t="s">
        <v>57</v>
      </c>
      <c r="E1011">
        <f t="shared" si="81"/>
        <v>0</v>
      </c>
      <c r="F1011" t="s">
        <v>40</v>
      </c>
      <c r="G1011">
        <v>8</v>
      </c>
      <c r="H1011" s="1">
        <v>86928</v>
      </c>
      <c r="I1011" s="10">
        <v>0.17</v>
      </c>
      <c r="J1011">
        <v>37.5</v>
      </c>
      <c r="K1011" t="s">
        <v>34</v>
      </c>
      <c r="L1011">
        <v>42</v>
      </c>
      <c r="M1011" t="s">
        <v>47</v>
      </c>
      <c r="N1011" t="s">
        <v>30</v>
      </c>
      <c r="O1011" t="s">
        <v>31</v>
      </c>
      <c r="P1011">
        <v>14</v>
      </c>
      <c r="Q1011" t="s">
        <v>36</v>
      </c>
      <c r="R1011" t="s">
        <v>33</v>
      </c>
      <c r="S1011">
        <v>3</v>
      </c>
      <c r="T1011">
        <v>0</v>
      </c>
      <c r="U1011">
        <v>10</v>
      </c>
      <c r="V1011">
        <v>6</v>
      </c>
      <c r="W1011">
        <v>5</v>
      </c>
      <c r="X1011">
        <v>4</v>
      </c>
      <c r="Y1011">
        <v>0</v>
      </c>
      <c r="Z1011">
        <v>3</v>
      </c>
      <c r="AA1011" t="str">
        <f t="shared" si="83"/>
        <v>Mid Tenure</v>
      </c>
      <c r="AB1011" s="5">
        <v>44778</v>
      </c>
      <c r="AC1011">
        <f t="shared" si="84"/>
        <v>0</v>
      </c>
      <c r="AD1011" t="s">
        <v>49</v>
      </c>
      <c r="AE1011">
        <f>VLOOKUP(A1011,'Employee Engagement Survey'!A943:B2412,2,FALSE)</f>
        <v>3</v>
      </c>
      <c r="AF1011">
        <f>VLOOKUP(A1011,'Employee Engagement Survey'!A943:C2412,3,FALSE)</f>
        <v>3</v>
      </c>
      <c r="AG1011">
        <f>VLOOKUP(A1011,'Employee Engagement Survey'!A943:D2412,4,FALSE)</f>
        <v>1</v>
      </c>
      <c r="AH1011">
        <f>VLOOKUP(A1011,'Employee Engagement Survey'!A943:E2412,5,FALSE)</f>
        <v>3</v>
      </c>
      <c r="AI1011">
        <f t="shared" si="82"/>
        <v>2.5</v>
      </c>
    </row>
    <row r="1012" spans="1:35" hidden="1" x14ac:dyDescent="0.4">
      <c r="A1012">
        <v>1373</v>
      </c>
      <c r="B1012" t="s">
        <v>34</v>
      </c>
      <c r="C1012">
        <f t="shared" si="85"/>
        <v>1</v>
      </c>
      <c r="D1012" t="s">
        <v>54</v>
      </c>
      <c r="E1012">
        <f t="shared" si="81"/>
        <v>1</v>
      </c>
      <c r="F1012" t="s">
        <v>28</v>
      </c>
      <c r="G1012">
        <v>10</v>
      </c>
      <c r="H1012" s="1">
        <v>172824</v>
      </c>
      <c r="I1012" s="10">
        <v>0.12</v>
      </c>
      <c r="J1012">
        <v>37.5</v>
      </c>
      <c r="K1012" t="s">
        <v>26</v>
      </c>
      <c r="L1012">
        <v>56</v>
      </c>
      <c r="M1012" t="s">
        <v>29</v>
      </c>
      <c r="N1012" t="s">
        <v>42</v>
      </c>
      <c r="O1012" t="s">
        <v>31</v>
      </c>
      <c r="P1012">
        <v>23</v>
      </c>
      <c r="Q1012" t="s">
        <v>43</v>
      </c>
      <c r="R1012" t="s">
        <v>37</v>
      </c>
      <c r="S1012">
        <v>3</v>
      </c>
      <c r="T1012">
        <v>1</v>
      </c>
      <c r="U1012">
        <v>33</v>
      </c>
      <c r="V1012">
        <v>0</v>
      </c>
      <c r="W1012">
        <v>19</v>
      </c>
      <c r="X1012">
        <v>16</v>
      </c>
      <c r="Y1012">
        <v>15</v>
      </c>
      <c r="Z1012">
        <v>9</v>
      </c>
      <c r="AA1012" t="str">
        <f t="shared" si="83"/>
        <v>Long Tenure</v>
      </c>
      <c r="AB1012" s="5">
        <v>45628</v>
      </c>
      <c r="AC1012">
        <f t="shared" si="84"/>
        <v>1</v>
      </c>
      <c r="AD1012" t="s">
        <v>38</v>
      </c>
      <c r="AE1012">
        <f>VLOOKUP(A1012,'Employee Engagement Survey'!A945:B2414,2,FALSE)</f>
        <v>4</v>
      </c>
      <c r="AF1012">
        <f>VLOOKUP(A1012,'Employee Engagement Survey'!A945:C2414,3,FALSE)</f>
        <v>2</v>
      </c>
      <c r="AG1012">
        <f>VLOOKUP(A1012,'Employee Engagement Survey'!A945:D2414,4,FALSE)</f>
        <v>1</v>
      </c>
      <c r="AH1012">
        <f>VLOOKUP(A1012,'Employee Engagement Survey'!A945:E2414,5,FALSE)</f>
        <v>3</v>
      </c>
      <c r="AI1012">
        <f t="shared" si="82"/>
        <v>2.5</v>
      </c>
    </row>
    <row r="1013" spans="1:35" hidden="1" x14ac:dyDescent="0.4">
      <c r="A1013">
        <v>1377</v>
      </c>
      <c r="B1013" t="s">
        <v>34</v>
      </c>
      <c r="C1013">
        <f t="shared" si="85"/>
        <v>1</v>
      </c>
      <c r="D1013" t="s">
        <v>46</v>
      </c>
      <c r="E1013">
        <f t="shared" si="81"/>
        <v>0</v>
      </c>
      <c r="F1013" t="s">
        <v>28</v>
      </c>
      <c r="G1013">
        <v>7</v>
      </c>
      <c r="H1013" s="1">
        <v>77148</v>
      </c>
      <c r="I1013" s="10">
        <v>0.13</v>
      </c>
      <c r="J1013">
        <v>37.5</v>
      </c>
      <c r="K1013" t="s">
        <v>34</v>
      </c>
      <c r="L1013">
        <v>34</v>
      </c>
      <c r="M1013" t="s">
        <v>29</v>
      </c>
      <c r="N1013" t="s">
        <v>42</v>
      </c>
      <c r="O1013" t="s">
        <v>31</v>
      </c>
      <c r="P1013">
        <v>29</v>
      </c>
      <c r="Q1013" t="s">
        <v>43</v>
      </c>
      <c r="R1013" t="s">
        <v>33</v>
      </c>
      <c r="S1013">
        <v>3</v>
      </c>
      <c r="T1013">
        <v>2</v>
      </c>
      <c r="U1013">
        <v>10</v>
      </c>
      <c r="V1013">
        <v>1</v>
      </c>
      <c r="W1013">
        <v>8</v>
      </c>
      <c r="X1013">
        <v>7</v>
      </c>
      <c r="Y1013">
        <v>7</v>
      </c>
      <c r="Z1013">
        <v>7</v>
      </c>
      <c r="AA1013" t="str">
        <f t="shared" si="83"/>
        <v>Mid Tenure</v>
      </c>
      <c r="AB1013" s="5">
        <v>45885</v>
      </c>
      <c r="AC1013">
        <f t="shared" si="84"/>
        <v>1</v>
      </c>
      <c r="AD1013" t="s">
        <v>38</v>
      </c>
      <c r="AE1013">
        <f>VLOOKUP(A1013,'Employee Engagement Survey'!A946:B2415,2,FALSE)</f>
        <v>2</v>
      </c>
      <c r="AF1013">
        <f>VLOOKUP(A1013,'Employee Engagement Survey'!A946:C2415,3,FALSE)</f>
        <v>3</v>
      </c>
      <c r="AG1013">
        <f>VLOOKUP(A1013,'Employee Engagement Survey'!A946:D2415,4,FALSE)</f>
        <v>1</v>
      </c>
      <c r="AH1013">
        <f>VLOOKUP(A1013,'Employee Engagement Survey'!A946:E2415,5,FALSE)</f>
        <v>3</v>
      </c>
      <c r="AI1013">
        <f t="shared" si="82"/>
        <v>2.25</v>
      </c>
    </row>
    <row r="1014" spans="1:35" hidden="1" x14ac:dyDescent="0.4">
      <c r="A1014">
        <v>1382</v>
      </c>
      <c r="B1014" t="s">
        <v>34</v>
      </c>
      <c r="C1014">
        <f t="shared" si="85"/>
        <v>1</v>
      </c>
      <c r="D1014" t="s">
        <v>27</v>
      </c>
      <c r="E1014">
        <f t="shared" si="81"/>
        <v>0</v>
      </c>
      <c r="F1014" t="s">
        <v>28</v>
      </c>
      <c r="G1014">
        <v>5</v>
      </c>
      <c r="H1014" s="1">
        <v>55320</v>
      </c>
      <c r="I1014" s="10">
        <v>0.11</v>
      </c>
      <c r="J1014">
        <v>37.5</v>
      </c>
      <c r="K1014" t="s">
        <v>34</v>
      </c>
      <c r="L1014">
        <v>38</v>
      </c>
      <c r="M1014" t="s">
        <v>29</v>
      </c>
      <c r="N1014" t="s">
        <v>48</v>
      </c>
      <c r="O1014" t="s">
        <v>44</v>
      </c>
      <c r="P1014">
        <v>7</v>
      </c>
      <c r="Q1014" t="s">
        <v>43</v>
      </c>
      <c r="R1014" t="s">
        <v>37</v>
      </c>
      <c r="S1014">
        <v>3</v>
      </c>
      <c r="T1014">
        <v>3</v>
      </c>
      <c r="U1014">
        <v>4</v>
      </c>
      <c r="V1014">
        <v>2</v>
      </c>
      <c r="W1014">
        <v>4</v>
      </c>
      <c r="X1014">
        <v>2</v>
      </c>
      <c r="Y1014">
        <v>0</v>
      </c>
      <c r="Z1014">
        <v>3</v>
      </c>
      <c r="AA1014" t="str">
        <f t="shared" si="83"/>
        <v>Mid Tenure</v>
      </c>
      <c r="AB1014" s="5">
        <v>45757</v>
      </c>
      <c r="AC1014">
        <f t="shared" si="84"/>
        <v>1</v>
      </c>
      <c r="AD1014" t="s">
        <v>38</v>
      </c>
      <c r="AE1014">
        <f>VLOOKUP(A1014,'Employee Engagement Survey'!A947:B2416,2,FALSE)</f>
        <v>4</v>
      </c>
      <c r="AF1014">
        <f>VLOOKUP(A1014,'Employee Engagement Survey'!A947:C2416,3,FALSE)</f>
        <v>3</v>
      </c>
      <c r="AG1014">
        <f>VLOOKUP(A1014,'Employee Engagement Survey'!A947:D2416,4,FALSE)</f>
        <v>4</v>
      </c>
      <c r="AH1014">
        <f>VLOOKUP(A1014,'Employee Engagement Survey'!A947:E2416,5,FALSE)</f>
        <v>3</v>
      </c>
      <c r="AI1014">
        <f t="shared" si="82"/>
        <v>3.5</v>
      </c>
    </row>
    <row r="1015" spans="1:35" hidden="1" x14ac:dyDescent="0.4">
      <c r="A1015">
        <v>1387</v>
      </c>
      <c r="B1015" t="s">
        <v>34</v>
      </c>
      <c r="C1015">
        <f t="shared" si="85"/>
        <v>1</v>
      </c>
      <c r="D1015" t="s">
        <v>57</v>
      </c>
      <c r="E1015">
        <f t="shared" si="81"/>
        <v>0</v>
      </c>
      <c r="F1015" t="s">
        <v>40</v>
      </c>
      <c r="G1015">
        <v>6</v>
      </c>
      <c r="H1015" s="1">
        <v>68688</v>
      </c>
      <c r="I1015" s="10">
        <v>0.11</v>
      </c>
      <c r="J1015">
        <v>37.5</v>
      </c>
      <c r="K1015" t="s">
        <v>34</v>
      </c>
      <c r="L1015">
        <v>28</v>
      </c>
      <c r="M1015" t="s">
        <v>29</v>
      </c>
      <c r="N1015" t="s">
        <v>42</v>
      </c>
      <c r="O1015" t="s">
        <v>31</v>
      </c>
      <c r="P1015">
        <v>26</v>
      </c>
      <c r="Q1015" t="s">
        <v>43</v>
      </c>
      <c r="R1015" t="s">
        <v>37</v>
      </c>
      <c r="S1015">
        <v>3</v>
      </c>
      <c r="T1015">
        <v>1</v>
      </c>
      <c r="U1015">
        <v>5</v>
      </c>
      <c r="V1015">
        <v>0</v>
      </c>
      <c r="W1015">
        <v>5</v>
      </c>
      <c r="X1015">
        <v>3</v>
      </c>
      <c r="Y1015">
        <v>0</v>
      </c>
      <c r="Z1015">
        <v>4</v>
      </c>
      <c r="AA1015" t="str">
        <f t="shared" si="83"/>
        <v>Mid Tenure</v>
      </c>
      <c r="AB1015" s="5">
        <v>45450</v>
      </c>
      <c r="AC1015">
        <f t="shared" si="84"/>
        <v>1</v>
      </c>
      <c r="AD1015" t="s">
        <v>49</v>
      </c>
      <c r="AE1015">
        <f>VLOOKUP(A1015,'Employee Engagement Survey'!A948:B2417,2,FALSE)</f>
        <v>3</v>
      </c>
      <c r="AF1015">
        <f>VLOOKUP(A1015,'Employee Engagement Survey'!A948:C2417,3,FALSE)</f>
        <v>1</v>
      </c>
      <c r="AG1015">
        <f>VLOOKUP(A1015,'Employee Engagement Survey'!A948:D2417,4,FALSE)</f>
        <v>3</v>
      </c>
      <c r="AH1015">
        <f>VLOOKUP(A1015,'Employee Engagement Survey'!A948:E2417,5,FALSE)</f>
        <v>3</v>
      </c>
      <c r="AI1015">
        <f t="shared" si="82"/>
        <v>2.5</v>
      </c>
    </row>
    <row r="1016" spans="1:35" hidden="1" x14ac:dyDescent="0.4">
      <c r="A1016">
        <v>1390</v>
      </c>
      <c r="B1016" t="s">
        <v>34</v>
      </c>
      <c r="C1016">
        <f t="shared" si="85"/>
        <v>1</v>
      </c>
      <c r="D1016" t="s">
        <v>57</v>
      </c>
      <c r="E1016">
        <f t="shared" si="81"/>
        <v>0</v>
      </c>
      <c r="F1016" t="s">
        <v>40</v>
      </c>
      <c r="G1016">
        <v>8</v>
      </c>
      <c r="H1016" s="1">
        <v>85440</v>
      </c>
      <c r="I1016" s="10">
        <v>0.12</v>
      </c>
      <c r="J1016">
        <v>37.5</v>
      </c>
      <c r="K1016" t="s">
        <v>26</v>
      </c>
      <c r="L1016">
        <v>39</v>
      </c>
      <c r="M1016" t="s">
        <v>29</v>
      </c>
      <c r="N1016" t="s">
        <v>42</v>
      </c>
      <c r="O1016" t="s">
        <v>31</v>
      </c>
      <c r="P1016">
        <v>21</v>
      </c>
      <c r="Q1016" t="s">
        <v>51</v>
      </c>
      <c r="R1016" t="s">
        <v>37</v>
      </c>
      <c r="S1016">
        <v>3</v>
      </c>
      <c r="T1016">
        <v>2</v>
      </c>
      <c r="U1016">
        <v>8</v>
      </c>
      <c r="V1016">
        <v>2</v>
      </c>
      <c r="W1016">
        <v>5</v>
      </c>
      <c r="X1016">
        <v>4</v>
      </c>
      <c r="Y1016">
        <v>1</v>
      </c>
      <c r="Z1016">
        <v>4</v>
      </c>
      <c r="AA1016" t="str">
        <f t="shared" si="83"/>
        <v>Mid Tenure</v>
      </c>
      <c r="AB1016" s="5">
        <v>45184</v>
      </c>
      <c r="AC1016">
        <f t="shared" si="84"/>
        <v>0</v>
      </c>
      <c r="AD1016" t="s">
        <v>49</v>
      </c>
      <c r="AE1016">
        <f>VLOOKUP(A1016,'Employee Engagement Survey'!A950:B2419,2,FALSE)</f>
        <v>1</v>
      </c>
      <c r="AF1016">
        <f>VLOOKUP(A1016,'Employee Engagement Survey'!A950:C2419,3,FALSE)</f>
        <v>4</v>
      </c>
      <c r="AG1016">
        <f>VLOOKUP(A1016,'Employee Engagement Survey'!A950:D2419,4,FALSE)</f>
        <v>4</v>
      </c>
      <c r="AH1016">
        <f>VLOOKUP(A1016,'Employee Engagement Survey'!A950:E2419,5,FALSE)</f>
        <v>4</v>
      </c>
      <c r="AI1016">
        <f t="shared" si="82"/>
        <v>3.25</v>
      </c>
    </row>
    <row r="1017" spans="1:35" hidden="1" x14ac:dyDescent="0.4">
      <c r="A1017">
        <v>679</v>
      </c>
      <c r="B1017" t="s">
        <v>34</v>
      </c>
      <c r="C1017">
        <f t="shared" si="85"/>
        <v>1</v>
      </c>
      <c r="D1017" t="s">
        <v>27</v>
      </c>
      <c r="E1017">
        <f t="shared" si="81"/>
        <v>0</v>
      </c>
      <c r="F1017" t="s">
        <v>28</v>
      </c>
      <c r="G1017">
        <v>8</v>
      </c>
      <c r="H1017" s="1">
        <v>87864</v>
      </c>
      <c r="I1017" s="10">
        <v>0.12</v>
      </c>
      <c r="J1017">
        <v>37.5</v>
      </c>
      <c r="K1017" t="s">
        <v>26</v>
      </c>
      <c r="L1017">
        <v>32</v>
      </c>
      <c r="M1017" t="s">
        <v>47</v>
      </c>
      <c r="N1017" t="s">
        <v>42</v>
      </c>
      <c r="O1017" t="s">
        <v>31</v>
      </c>
      <c r="P1017">
        <v>9</v>
      </c>
      <c r="Q1017" t="s">
        <v>51</v>
      </c>
      <c r="R1017" t="s">
        <v>37</v>
      </c>
      <c r="S1017">
        <v>3</v>
      </c>
      <c r="T1017">
        <v>1</v>
      </c>
      <c r="U1017">
        <v>6</v>
      </c>
      <c r="V1017">
        <v>2</v>
      </c>
      <c r="W1017">
        <v>6</v>
      </c>
      <c r="X1017">
        <v>4</v>
      </c>
      <c r="Y1017">
        <v>0</v>
      </c>
      <c r="Z1017">
        <v>5</v>
      </c>
      <c r="AA1017" t="str">
        <f t="shared" si="83"/>
        <v>Mid Tenure</v>
      </c>
      <c r="AB1017" s="5">
        <v>45794</v>
      </c>
      <c r="AC1017">
        <f t="shared" si="84"/>
        <v>1</v>
      </c>
      <c r="AD1017" t="s">
        <v>49</v>
      </c>
      <c r="AE1017">
        <f>VLOOKUP(A1017,'Employee Engagement Survey'!A951:B2420,2,FALSE)</f>
        <v>1</v>
      </c>
      <c r="AF1017">
        <f>VLOOKUP(A1017,'Employee Engagement Survey'!A951:C2420,3,FALSE)</f>
        <v>4</v>
      </c>
      <c r="AG1017">
        <f>VLOOKUP(A1017,'Employee Engagement Survey'!A951:D2420,4,FALSE)</f>
        <v>4</v>
      </c>
      <c r="AH1017">
        <f>VLOOKUP(A1017,'Employee Engagement Survey'!A951:E2420,5,FALSE)</f>
        <v>2</v>
      </c>
      <c r="AI1017">
        <f t="shared" si="82"/>
        <v>2.75</v>
      </c>
    </row>
    <row r="1018" spans="1:35" hidden="1" x14ac:dyDescent="0.4">
      <c r="A1018">
        <v>1985</v>
      </c>
      <c r="B1018" t="s">
        <v>34</v>
      </c>
      <c r="C1018">
        <f t="shared" si="85"/>
        <v>1</v>
      </c>
      <c r="D1018" t="s">
        <v>46</v>
      </c>
      <c r="E1018">
        <f t="shared" si="81"/>
        <v>0</v>
      </c>
      <c r="F1018" t="s">
        <v>28</v>
      </c>
      <c r="G1018">
        <v>8</v>
      </c>
      <c r="H1018" s="1">
        <v>87876</v>
      </c>
      <c r="I1018" s="10">
        <v>0.11</v>
      </c>
      <c r="J1018">
        <v>37.5</v>
      </c>
      <c r="K1018" t="s">
        <v>34</v>
      </c>
      <c r="L1018">
        <v>40</v>
      </c>
      <c r="M1018" t="s">
        <v>47</v>
      </c>
      <c r="N1018" t="s">
        <v>42</v>
      </c>
      <c r="O1018" t="s">
        <v>44</v>
      </c>
      <c r="P1018">
        <v>11</v>
      </c>
      <c r="Q1018" t="s">
        <v>43</v>
      </c>
      <c r="R1018" t="s">
        <v>45</v>
      </c>
      <c r="S1018">
        <v>3</v>
      </c>
      <c r="T1018">
        <v>1</v>
      </c>
      <c r="U1018">
        <v>10</v>
      </c>
      <c r="V1018">
        <v>2</v>
      </c>
      <c r="W1018">
        <v>10</v>
      </c>
      <c r="X1018">
        <v>9</v>
      </c>
      <c r="Y1018">
        <v>9</v>
      </c>
      <c r="Z1018">
        <v>4</v>
      </c>
      <c r="AA1018" t="str">
        <f t="shared" si="83"/>
        <v>Long Tenure</v>
      </c>
      <c r="AB1018" s="5">
        <v>45892</v>
      </c>
      <c r="AC1018">
        <f t="shared" si="84"/>
        <v>1</v>
      </c>
      <c r="AD1018" t="s">
        <v>49</v>
      </c>
      <c r="AE1018">
        <f>VLOOKUP(A1018,'Employee Engagement Survey'!A952:B2421,2,FALSE)</f>
        <v>4</v>
      </c>
      <c r="AF1018">
        <f>VLOOKUP(A1018,'Employee Engagement Survey'!A952:C2421,3,FALSE)</f>
        <v>3</v>
      </c>
      <c r="AG1018">
        <f>VLOOKUP(A1018,'Employee Engagement Survey'!A952:D2421,4,FALSE)</f>
        <v>1</v>
      </c>
      <c r="AH1018">
        <f>VLOOKUP(A1018,'Employee Engagement Survey'!A952:E2421,5,FALSE)</f>
        <v>4</v>
      </c>
      <c r="AI1018">
        <f t="shared" si="82"/>
        <v>3</v>
      </c>
    </row>
    <row r="1019" spans="1:35" hidden="1" x14ac:dyDescent="0.4">
      <c r="A1019">
        <v>1391</v>
      </c>
      <c r="B1019" t="s">
        <v>34</v>
      </c>
      <c r="C1019">
        <f t="shared" si="85"/>
        <v>1</v>
      </c>
      <c r="D1019" t="s">
        <v>57</v>
      </c>
      <c r="E1019">
        <f t="shared" si="81"/>
        <v>0</v>
      </c>
      <c r="F1019" t="s">
        <v>40</v>
      </c>
      <c r="G1019">
        <v>9</v>
      </c>
      <c r="H1019" s="1">
        <v>139152</v>
      </c>
      <c r="I1019" s="10">
        <v>0.11</v>
      </c>
      <c r="J1019">
        <v>37.5</v>
      </c>
      <c r="K1019" t="s">
        <v>34</v>
      </c>
      <c r="L1019">
        <v>51</v>
      </c>
      <c r="M1019" t="s">
        <v>29</v>
      </c>
      <c r="N1019" t="s">
        <v>42</v>
      </c>
      <c r="O1019" t="s">
        <v>44</v>
      </c>
      <c r="P1019">
        <v>2</v>
      </c>
      <c r="Q1019" t="s">
        <v>43</v>
      </c>
      <c r="R1019" t="s">
        <v>56</v>
      </c>
      <c r="S1019">
        <v>3</v>
      </c>
      <c r="T1019">
        <v>0</v>
      </c>
      <c r="U1019">
        <v>14</v>
      </c>
      <c r="V1019">
        <v>5</v>
      </c>
      <c r="W1019">
        <v>4</v>
      </c>
      <c r="X1019">
        <v>2</v>
      </c>
      <c r="Y1019">
        <v>3</v>
      </c>
      <c r="Z1019">
        <v>2</v>
      </c>
      <c r="AA1019" t="str">
        <f t="shared" si="83"/>
        <v>Mid Tenure</v>
      </c>
      <c r="AB1019" s="5">
        <v>44802</v>
      </c>
      <c r="AC1019">
        <f t="shared" si="84"/>
        <v>0</v>
      </c>
      <c r="AD1019" t="s">
        <v>49</v>
      </c>
      <c r="AE1019">
        <f>VLOOKUP(A1019,'Employee Engagement Survey'!A953:B2422,2,FALSE)</f>
        <v>2</v>
      </c>
      <c r="AF1019">
        <f>VLOOKUP(A1019,'Employee Engagement Survey'!A953:C2422,3,FALSE)</f>
        <v>2</v>
      </c>
      <c r="AG1019">
        <f>VLOOKUP(A1019,'Employee Engagement Survey'!A953:D2422,4,FALSE)</f>
        <v>2</v>
      </c>
      <c r="AH1019">
        <f>VLOOKUP(A1019,'Employee Engagement Survey'!A953:E2422,5,FALSE)</f>
        <v>3</v>
      </c>
      <c r="AI1019">
        <f t="shared" si="82"/>
        <v>2.25</v>
      </c>
    </row>
    <row r="1020" spans="1:35" hidden="1" x14ac:dyDescent="0.4">
      <c r="A1020">
        <v>1394</v>
      </c>
      <c r="B1020" t="s">
        <v>34</v>
      </c>
      <c r="C1020">
        <f t="shared" si="85"/>
        <v>1</v>
      </c>
      <c r="D1020" t="s">
        <v>27</v>
      </c>
      <c r="E1020">
        <f t="shared" si="81"/>
        <v>0</v>
      </c>
      <c r="F1020" t="s">
        <v>28</v>
      </c>
      <c r="G1020">
        <v>5</v>
      </c>
      <c r="H1020" s="1">
        <v>59952</v>
      </c>
      <c r="I1020" s="10">
        <v>0.15</v>
      </c>
      <c r="J1020">
        <v>37.5</v>
      </c>
      <c r="K1020" t="s">
        <v>26</v>
      </c>
      <c r="L1020">
        <v>37</v>
      </c>
      <c r="M1020" t="s">
        <v>29</v>
      </c>
      <c r="N1020" t="s">
        <v>42</v>
      </c>
      <c r="O1020" t="s">
        <v>31</v>
      </c>
      <c r="P1020">
        <v>4</v>
      </c>
      <c r="Q1020" t="s">
        <v>32</v>
      </c>
      <c r="R1020" t="s">
        <v>37</v>
      </c>
      <c r="S1020">
        <v>3</v>
      </c>
      <c r="T1020">
        <v>0</v>
      </c>
      <c r="U1020">
        <v>8</v>
      </c>
      <c r="V1020">
        <v>2</v>
      </c>
      <c r="W1020">
        <v>6</v>
      </c>
      <c r="X1020">
        <v>4</v>
      </c>
      <c r="Y1020">
        <v>1</v>
      </c>
      <c r="Z1020">
        <v>3</v>
      </c>
      <c r="AA1020" t="str">
        <f t="shared" si="83"/>
        <v>Mid Tenure</v>
      </c>
      <c r="AB1020" s="5">
        <v>45674</v>
      </c>
      <c r="AC1020">
        <f t="shared" si="84"/>
        <v>1</v>
      </c>
      <c r="AD1020" t="s">
        <v>38</v>
      </c>
      <c r="AE1020">
        <f>VLOOKUP(A1020,'Employee Engagement Survey'!A954:B2423,2,FALSE)</f>
        <v>3</v>
      </c>
      <c r="AF1020">
        <f>VLOOKUP(A1020,'Employee Engagement Survey'!A954:C2423,3,FALSE)</f>
        <v>3</v>
      </c>
      <c r="AG1020">
        <f>VLOOKUP(A1020,'Employee Engagement Survey'!A954:D2423,4,FALSE)</f>
        <v>4</v>
      </c>
      <c r="AH1020">
        <f>VLOOKUP(A1020,'Employee Engagement Survey'!A954:E2423,5,FALSE)</f>
        <v>3</v>
      </c>
      <c r="AI1020">
        <f t="shared" si="82"/>
        <v>3.25</v>
      </c>
    </row>
    <row r="1021" spans="1:35" hidden="1" x14ac:dyDescent="0.4">
      <c r="A1021">
        <v>1395</v>
      </c>
      <c r="B1021" t="s">
        <v>34</v>
      </c>
      <c r="C1021">
        <f t="shared" si="85"/>
        <v>1</v>
      </c>
      <c r="D1021" t="s">
        <v>57</v>
      </c>
      <c r="E1021">
        <f t="shared" si="81"/>
        <v>0</v>
      </c>
      <c r="F1021" t="s">
        <v>40</v>
      </c>
      <c r="G1021">
        <v>9</v>
      </c>
      <c r="H1021" s="1">
        <v>131976</v>
      </c>
      <c r="I1021" s="10">
        <v>0.13</v>
      </c>
      <c r="J1021">
        <v>37.5</v>
      </c>
      <c r="K1021" t="s">
        <v>34</v>
      </c>
      <c r="L1021">
        <v>33</v>
      </c>
      <c r="M1021" t="s">
        <v>29</v>
      </c>
      <c r="N1021" t="s">
        <v>42</v>
      </c>
      <c r="O1021" t="s">
        <v>44</v>
      </c>
      <c r="P1021">
        <v>5</v>
      </c>
      <c r="Q1021" t="s">
        <v>32</v>
      </c>
      <c r="R1021" t="s">
        <v>37</v>
      </c>
      <c r="S1021">
        <v>3</v>
      </c>
      <c r="T1021">
        <v>0</v>
      </c>
      <c r="U1021">
        <v>8</v>
      </c>
      <c r="V1021">
        <v>2</v>
      </c>
      <c r="W1021">
        <v>5</v>
      </c>
      <c r="X1021">
        <v>4</v>
      </c>
      <c r="Y1021">
        <v>1</v>
      </c>
      <c r="Z1021">
        <v>2</v>
      </c>
      <c r="AA1021" t="str">
        <f t="shared" si="83"/>
        <v>Mid Tenure</v>
      </c>
      <c r="AB1021" s="5">
        <v>45153</v>
      </c>
      <c r="AC1021">
        <f t="shared" si="84"/>
        <v>0</v>
      </c>
      <c r="AD1021" t="s">
        <v>49</v>
      </c>
      <c r="AE1021">
        <f>VLOOKUP(A1021,'Employee Engagement Survey'!A955:B2424,2,FALSE)</f>
        <v>2</v>
      </c>
      <c r="AF1021">
        <f>VLOOKUP(A1021,'Employee Engagement Survey'!A955:C2424,3,FALSE)</f>
        <v>4</v>
      </c>
      <c r="AG1021">
        <f>VLOOKUP(A1021,'Employee Engagement Survey'!A955:D2424,4,FALSE)</f>
        <v>1</v>
      </c>
      <c r="AH1021">
        <f>VLOOKUP(A1021,'Employee Engagement Survey'!A955:E2424,5,FALSE)</f>
        <v>4</v>
      </c>
      <c r="AI1021">
        <f t="shared" si="82"/>
        <v>2.75</v>
      </c>
    </row>
    <row r="1022" spans="1:35" hidden="1" x14ac:dyDescent="0.4">
      <c r="A1022">
        <v>1040</v>
      </c>
      <c r="B1022" t="s">
        <v>34</v>
      </c>
      <c r="C1022">
        <f t="shared" si="85"/>
        <v>1</v>
      </c>
      <c r="D1022" t="s">
        <v>57</v>
      </c>
      <c r="E1022">
        <f t="shared" si="81"/>
        <v>0</v>
      </c>
      <c r="F1022" t="s">
        <v>40</v>
      </c>
      <c r="G1022">
        <v>8</v>
      </c>
      <c r="H1022" s="1">
        <v>88164</v>
      </c>
      <c r="I1022" s="10">
        <v>0.12</v>
      </c>
      <c r="J1022">
        <v>37.5</v>
      </c>
      <c r="K1022" t="s">
        <v>34</v>
      </c>
      <c r="L1022">
        <v>50</v>
      </c>
      <c r="M1022" t="s">
        <v>47</v>
      </c>
      <c r="N1022" t="s">
        <v>42</v>
      </c>
      <c r="O1022" t="s">
        <v>35</v>
      </c>
      <c r="P1022">
        <v>1</v>
      </c>
      <c r="Q1022" t="s">
        <v>43</v>
      </c>
      <c r="R1022" t="s">
        <v>37</v>
      </c>
      <c r="S1022">
        <v>3</v>
      </c>
      <c r="T1022">
        <v>1</v>
      </c>
      <c r="U1022">
        <v>19</v>
      </c>
      <c r="V1022">
        <v>3</v>
      </c>
      <c r="W1022">
        <v>18</v>
      </c>
      <c r="X1022">
        <v>7</v>
      </c>
      <c r="Y1022">
        <v>0</v>
      </c>
      <c r="Z1022">
        <v>13</v>
      </c>
      <c r="AA1022" t="str">
        <f t="shared" si="83"/>
        <v>Long Tenure</v>
      </c>
      <c r="AB1022" s="5">
        <v>45073</v>
      </c>
      <c r="AC1022">
        <f t="shared" si="84"/>
        <v>0</v>
      </c>
      <c r="AD1022" t="s">
        <v>38</v>
      </c>
      <c r="AE1022">
        <f>VLOOKUP(A1022,'Employee Engagement Survey'!A956:B2425,2,FALSE)</f>
        <v>4</v>
      </c>
      <c r="AF1022">
        <f>VLOOKUP(A1022,'Employee Engagement Survey'!A956:C2425,3,FALSE)</f>
        <v>3</v>
      </c>
      <c r="AG1022">
        <f>VLOOKUP(A1022,'Employee Engagement Survey'!A956:D2425,4,FALSE)</f>
        <v>1</v>
      </c>
      <c r="AH1022">
        <f>VLOOKUP(A1022,'Employee Engagement Survey'!A956:E2425,5,FALSE)</f>
        <v>3</v>
      </c>
      <c r="AI1022">
        <f t="shared" si="82"/>
        <v>2.75</v>
      </c>
    </row>
    <row r="1023" spans="1:35" hidden="1" x14ac:dyDescent="0.4">
      <c r="A1023">
        <v>1396</v>
      </c>
      <c r="B1023" t="s">
        <v>34</v>
      </c>
      <c r="C1023">
        <f t="shared" si="85"/>
        <v>1</v>
      </c>
      <c r="D1023" t="s">
        <v>57</v>
      </c>
      <c r="E1023">
        <f t="shared" si="81"/>
        <v>0</v>
      </c>
      <c r="F1023" t="s">
        <v>40</v>
      </c>
      <c r="G1023">
        <v>6</v>
      </c>
      <c r="H1023" s="1">
        <v>60936</v>
      </c>
      <c r="I1023" s="10">
        <v>0.13</v>
      </c>
      <c r="J1023">
        <v>37.5</v>
      </c>
      <c r="K1023" t="s">
        <v>26</v>
      </c>
      <c r="L1023">
        <v>32</v>
      </c>
      <c r="M1023" t="s">
        <v>29</v>
      </c>
      <c r="N1023" t="s">
        <v>42</v>
      </c>
      <c r="O1023" t="s">
        <v>31</v>
      </c>
      <c r="P1023">
        <v>2</v>
      </c>
      <c r="Q1023" t="s">
        <v>32</v>
      </c>
      <c r="R1023" t="s">
        <v>56</v>
      </c>
      <c r="S1023">
        <v>3</v>
      </c>
      <c r="T1023">
        <v>3</v>
      </c>
      <c r="U1023">
        <v>4</v>
      </c>
      <c r="V1023">
        <v>3</v>
      </c>
      <c r="W1023">
        <v>3</v>
      </c>
      <c r="X1023">
        <v>2</v>
      </c>
      <c r="Y1023">
        <v>1</v>
      </c>
      <c r="Z1023">
        <v>2</v>
      </c>
      <c r="AA1023" t="str">
        <f t="shared" si="83"/>
        <v>Mid Tenure</v>
      </c>
      <c r="AB1023" s="5">
        <v>44680</v>
      </c>
      <c r="AC1023">
        <f t="shared" si="84"/>
        <v>0</v>
      </c>
      <c r="AD1023" t="s">
        <v>49</v>
      </c>
      <c r="AE1023">
        <f>VLOOKUP(A1023,'Employee Engagement Survey'!A957:B2426,2,FALSE)</f>
        <v>3</v>
      </c>
      <c r="AF1023">
        <f>VLOOKUP(A1023,'Employee Engagement Survey'!A957:C2426,3,FALSE)</f>
        <v>2</v>
      </c>
      <c r="AG1023">
        <f>VLOOKUP(A1023,'Employee Engagement Survey'!A957:D2426,4,FALSE)</f>
        <v>1</v>
      </c>
      <c r="AH1023">
        <f>VLOOKUP(A1023,'Employee Engagement Survey'!A957:E2426,5,FALSE)</f>
        <v>2</v>
      </c>
      <c r="AI1023">
        <f t="shared" si="82"/>
        <v>2</v>
      </c>
    </row>
    <row r="1024" spans="1:35" hidden="1" x14ac:dyDescent="0.4">
      <c r="A1024">
        <v>1375</v>
      </c>
      <c r="B1024" t="s">
        <v>34</v>
      </c>
      <c r="C1024">
        <f t="shared" si="85"/>
        <v>1</v>
      </c>
      <c r="D1024" t="s">
        <v>55</v>
      </c>
      <c r="E1024">
        <f t="shared" si="81"/>
        <v>0</v>
      </c>
      <c r="F1024" t="s">
        <v>28</v>
      </c>
      <c r="G1024">
        <v>8</v>
      </c>
      <c r="H1024" s="1">
        <v>88524</v>
      </c>
      <c r="I1024" s="10">
        <v>0.2</v>
      </c>
      <c r="J1024">
        <v>37.5</v>
      </c>
      <c r="K1024" t="s">
        <v>34</v>
      </c>
      <c r="L1024">
        <v>40</v>
      </c>
      <c r="M1024" t="s">
        <v>47</v>
      </c>
      <c r="N1024" t="s">
        <v>48</v>
      </c>
      <c r="O1024" t="s">
        <v>31</v>
      </c>
      <c r="P1024">
        <v>2</v>
      </c>
      <c r="Q1024" t="s">
        <v>32</v>
      </c>
      <c r="R1024" t="s">
        <v>33</v>
      </c>
      <c r="S1024">
        <v>4</v>
      </c>
      <c r="T1024">
        <v>3</v>
      </c>
      <c r="U1024">
        <v>15</v>
      </c>
      <c r="V1024">
        <v>0</v>
      </c>
      <c r="W1024">
        <v>12</v>
      </c>
      <c r="X1024">
        <v>11</v>
      </c>
      <c r="Y1024">
        <v>11</v>
      </c>
      <c r="Z1024">
        <v>8</v>
      </c>
      <c r="AA1024" t="str">
        <f t="shared" si="83"/>
        <v>Long Tenure</v>
      </c>
      <c r="AB1024" s="5">
        <v>45082</v>
      </c>
      <c r="AC1024">
        <f t="shared" si="84"/>
        <v>0</v>
      </c>
      <c r="AD1024" t="s">
        <v>38</v>
      </c>
      <c r="AE1024">
        <f>VLOOKUP(A1024,'Employee Engagement Survey'!A958:B2427,2,FALSE)</f>
        <v>2</v>
      </c>
      <c r="AF1024">
        <f>VLOOKUP(A1024,'Employee Engagement Survey'!A958:C2427,3,FALSE)</f>
        <v>3</v>
      </c>
      <c r="AG1024">
        <f>VLOOKUP(A1024,'Employee Engagement Survey'!A958:D2427,4,FALSE)</f>
        <v>2</v>
      </c>
      <c r="AH1024">
        <f>VLOOKUP(A1024,'Employee Engagement Survey'!A958:E2427,5,FALSE)</f>
        <v>3</v>
      </c>
      <c r="AI1024">
        <f t="shared" si="82"/>
        <v>2.5</v>
      </c>
    </row>
    <row r="1025" spans="1:35" hidden="1" x14ac:dyDescent="0.4">
      <c r="A1025">
        <v>1397</v>
      </c>
      <c r="B1025" t="s">
        <v>34</v>
      </c>
      <c r="C1025">
        <f t="shared" si="85"/>
        <v>1</v>
      </c>
      <c r="D1025" t="s">
        <v>55</v>
      </c>
      <c r="E1025">
        <f t="shared" si="81"/>
        <v>0</v>
      </c>
      <c r="F1025" t="s">
        <v>28</v>
      </c>
      <c r="G1025">
        <v>10</v>
      </c>
      <c r="H1025" s="1">
        <v>143040</v>
      </c>
      <c r="I1025" s="10">
        <v>0.21</v>
      </c>
      <c r="J1025">
        <v>37.5</v>
      </c>
      <c r="K1025" t="s">
        <v>34</v>
      </c>
      <c r="L1025">
        <v>39</v>
      </c>
      <c r="M1025" t="s">
        <v>29</v>
      </c>
      <c r="N1025" t="s">
        <v>42</v>
      </c>
      <c r="O1025" t="s">
        <v>35</v>
      </c>
      <c r="P1025">
        <v>25</v>
      </c>
      <c r="Q1025" t="s">
        <v>36</v>
      </c>
      <c r="R1025" t="s">
        <v>37</v>
      </c>
      <c r="S1025">
        <v>4</v>
      </c>
      <c r="T1025">
        <v>1</v>
      </c>
      <c r="U1025">
        <v>13</v>
      </c>
      <c r="V1025">
        <v>2</v>
      </c>
      <c r="W1025">
        <v>6</v>
      </c>
      <c r="X1025">
        <v>4</v>
      </c>
      <c r="Y1025">
        <v>0</v>
      </c>
      <c r="Z1025">
        <v>5</v>
      </c>
      <c r="AA1025" t="str">
        <f t="shared" si="83"/>
        <v>Mid Tenure</v>
      </c>
      <c r="AB1025" s="5">
        <v>45759</v>
      </c>
      <c r="AC1025">
        <f t="shared" si="84"/>
        <v>1</v>
      </c>
      <c r="AD1025" t="s">
        <v>38</v>
      </c>
      <c r="AE1025">
        <f>VLOOKUP(A1025,'Employee Engagement Survey'!A959:B2428,2,FALSE)</f>
        <v>3</v>
      </c>
      <c r="AF1025">
        <f>VLOOKUP(A1025,'Employee Engagement Survey'!A959:C2428,3,FALSE)</f>
        <v>3</v>
      </c>
      <c r="AG1025">
        <f>VLOOKUP(A1025,'Employee Engagement Survey'!A959:D2428,4,FALSE)</f>
        <v>2</v>
      </c>
      <c r="AH1025">
        <f>VLOOKUP(A1025,'Employee Engagement Survey'!A959:E2428,5,FALSE)</f>
        <v>3</v>
      </c>
      <c r="AI1025">
        <f t="shared" si="82"/>
        <v>2.75</v>
      </c>
    </row>
    <row r="1026" spans="1:35" hidden="1" x14ac:dyDescent="0.4">
      <c r="A1026">
        <v>1399</v>
      </c>
      <c r="B1026" t="s">
        <v>34</v>
      </c>
      <c r="C1026">
        <f t="shared" si="85"/>
        <v>1</v>
      </c>
      <c r="D1026" t="s">
        <v>57</v>
      </c>
      <c r="E1026">
        <f t="shared" ref="E1026:E1089" si="86">IF(OR(D1026="Manager, HR", D1026="Manager, Sales", D1026="Manager, R&amp;D", D1026="Manufacturing Director",D1026="Research Director", D1026="VP, HR", D1026="CEO"),1,0)</f>
        <v>0</v>
      </c>
      <c r="F1026" t="s">
        <v>40</v>
      </c>
      <c r="G1026">
        <v>8</v>
      </c>
      <c r="H1026" s="1">
        <v>86784</v>
      </c>
      <c r="I1026" s="10">
        <v>0.11</v>
      </c>
      <c r="J1026">
        <v>37.5</v>
      </c>
      <c r="K1026" t="s">
        <v>34</v>
      </c>
      <c r="L1026">
        <v>25</v>
      </c>
      <c r="M1026" t="s">
        <v>29</v>
      </c>
      <c r="N1026" t="s">
        <v>42</v>
      </c>
      <c r="O1026" t="s">
        <v>31</v>
      </c>
      <c r="P1026">
        <v>18</v>
      </c>
      <c r="Q1026" t="s">
        <v>32</v>
      </c>
      <c r="R1026" t="s">
        <v>37</v>
      </c>
      <c r="S1026">
        <v>3</v>
      </c>
      <c r="T1026">
        <v>0</v>
      </c>
      <c r="U1026">
        <v>6</v>
      </c>
      <c r="V1026">
        <v>3</v>
      </c>
      <c r="W1026">
        <v>3</v>
      </c>
      <c r="X1026">
        <v>2</v>
      </c>
      <c r="Y1026">
        <v>1</v>
      </c>
      <c r="Z1026">
        <v>2</v>
      </c>
      <c r="AA1026" t="str">
        <f t="shared" si="83"/>
        <v>Mid Tenure</v>
      </c>
      <c r="AB1026" s="5">
        <v>45538</v>
      </c>
      <c r="AC1026">
        <f t="shared" si="84"/>
        <v>1</v>
      </c>
      <c r="AD1026" t="s">
        <v>49</v>
      </c>
      <c r="AE1026">
        <f>VLOOKUP(A1026,'Employee Engagement Survey'!A960:B2429,2,FALSE)</f>
        <v>1</v>
      </c>
      <c r="AF1026">
        <f>VLOOKUP(A1026,'Employee Engagement Survey'!A960:C2429,3,FALSE)</f>
        <v>3</v>
      </c>
      <c r="AG1026">
        <f>VLOOKUP(A1026,'Employee Engagement Survey'!A960:D2429,4,FALSE)</f>
        <v>2</v>
      </c>
      <c r="AH1026">
        <f>VLOOKUP(A1026,'Employee Engagement Survey'!A960:E2429,5,FALSE)</f>
        <v>2</v>
      </c>
      <c r="AI1026">
        <f t="shared" ref="AI1026:AI1089" si="87">AVERAGE(AE1026:AH1026)</f>
        <v>2</v>
      </c>
    </row>
    <row r="1027" spans="1:35" hidden="1" x14ac:dyDescent="0.4">
      <c r="A1027">
        <v>1407</v>
      </c>
      <c r="B1027" t="s">
        <v>34</v>
      </c>
      <c r="C1027">
        <f t="shared" si="85"/>
        <v>1</v>
      </c>
      <c r="D1027" t="s">
        <v>27</v>
      </c>
      <c r="E1027">
        <f t="shared" si="86"/>
        <v>0</v>
      </c>
      <c r="F1027" t="s">
        <v>28</v>
      </c>
      <c r="G1027">
        <v>7</v>
      </c>
      <c r="H1027" s="1">
        <v>70848</v>
      </c>
      <c r="I1027" s="10">
        <v>0.12</v>
      </c>
      <c r="J1027">
        <v>37.5</v>
      </c>
      <c r="K1027" t="s">
        <v>34</v>
      </c>
      <c r="L1027">
        <v>26</v>
      </c>
      <c r="M1027" t="s">
        <v>29</v>
      </c>
      <c r="N1027" t="s">
        <v>30</v>
      </c>
      <c r="O1027" t="s">
        <v>31</v>
      </c>
      <c r="P1027">
        <v>2</v>
      </c>
      <c r="Q1027" t="s">
        <v>32</v>
      </c>
      <c r="R1027" t="s">
        <v>33</v>
      </c>
      <c r="S1027">
        <v>3</v>
      </c>
      <c r="T1027">
        <v>0</v>
      </c>
      <c r="U1027">
        <v>5</v>
      </c>
      <c r="V1027">
        <v>2</v>
      </c>
      <c r="W1027">
        <v>4</v>
      </c>
      <c r="X1027">
        <v>3</v>
      </c>
      <c r="Y1027">
        <v>1</v>
      </c>
      <c r="Z1027">
        <v>1</v>
      </c>
      <c r="AA1027" t="str">
        <f t="shared" ref="AA1027:AA1090" si="88">IF(W1027&lt;=2,"Early Tenure",IF(W1027&lt;=9,"Mid Tenure","Long Tenure"))</f>
        <v>Mid Tenure</v>
      </c>
      <c r="AB1027" s="5">
        <v>44654</v>
      </c>
      <c r="AC1027">
        <f t="shared" ref="AC1027:AC1090" si="89">IF(AND(AB1027&lt;&gt;"",AB1027&gt;DATE(2024,1,1)),1,0)</f>
        <v>0</v>
      </c>
      <c r="AD1027" t="s">
        <v>49</v>
      </c>
      <c r="AE1027">
        <f>VLOOKUP(A1027,'Employee Engagement Survey'!A961:B2430,2,FALSE)</f>
        <v>1</v>
      </c>
      <c r="AF1027">
        <f>VLOOKUP(A1027,'Employee Engagement Survey'!A961:C2430,3,FALSE)</f>
        <v>4</v>
      </c>
      <c r="AG1027">
        <f>VLOOKUP(A1027,'Employee Engagement Survey'!A961:D2430,4,FALSE)</f>
        <v>4</v>
      </c>
      <c r="AH1027">
        <f>VLOOKUP(A1027,'Employee Engagement Survey'!A961:E2430,5,FALSE)</f>
        <v>3</v>
      </c>
      <c r="AI1027">
        <f t="shared" si="87"/>
        <v>3</v>
      </c>
    </row>
    <row r="1028" spans="1:35" x14ac:dyDescent="0.4">
      <c r="A1028">
        <v>1412</v>
      </c>
      <c r="B1028" t="s">
        <v>34</v>
      </c>
      <c r="C1028">
        <f t="shared" si="85"/>
        <v>1</v>
      </c>
      <c r="D1028" t="s">
        <v>54</v>
      </c>
      <c r="E1028">
        <f t="shared" si="86"/>
        <v>1</v>
      </c>
      <c r="F1028" t="s">
        <v>28</v>
      </c>
      <c r="G1028">
        <v>9</v>
      </c>
      <c r="H1028" s="1">
        <v>124344</v>
      </c>
      <c r="I1028" s="10">
        <v>0.11</v>
      </c>
      <c r="J1028">
        <v>37.5</v>
      </c>
      <c r="K1028" t="s">
        <v>34</v>
      </c>
      <c r="L1028">
        <v>35</v>
      </c>
      <c r="M1028" t="s">
        <v>29</v>
      </c>
      <c r="N1028" t="s">
        <v>30</v>
      </c>
      <c r="O1028" t="s">
        <v>44</v>
      </c>
      <c r="P1028">
        <v>18</v>
      </c>
      <c r="Q1028" t="s">
        <v>36</v>
      </c>
      <c r="R1028" t="s">
        <v>37</v>
      </c>
      <c r="S1028">
        <v>3</v>
      </c>
      <c r="T1028">
        <v>0</v>
      </c>
      <c r="U1028">
        <v>10</v>
      </c>
      <c r="V1028">
        <v>2</v>
      </c>
      <c r="W1028">
        <v>2</v>
      </c>
      <c r="X1028">
        <v>2</v>
      </c>
      <c r="Y1028">
        <v>2</v>
      </c>
      <c r="Z1028">
        <v>2</v>
      </c>
      <c r="AA1028" t="str">
        <f t="shared" si="88"/>
        <v>Early Tenure</v>
      </c>
      <c r="AB1028" s="5">
        <v>45631</v>
      </c>
      <c r="AC1028">
        <f t="shared" si="89"/>
        <v>1</v>
      </c>
      <c r="AD1028" t="s">
        <v>49</v>
      </c>
      <c r="AE1028">
        <f>VLOOKUP(A1028,'Employee Engagement Survey'!A962:B2431,2,FALSE)</f>
        <v>3</v>
      </c>
      <c r="AF1028">
        <f>VLOOKUP(A1028,'Employee Engagement Survey'!A962:C2431,3,FALSE)</f>
        <v>4</v>
      </c>
      <c r="AG1028">
        <f>VLOOKUP(A1028,'Employee Engagement Survey'!A962:D2431,4,FALSE)</f>
        <v>3</v>
      </c>
      <c r="AH1028">
        <f>VLOOKUP(A1028,'Employee Engagement Survey'!A962:E2431,5,FALSE)</f>
        <v>3</v>
      </c>
      <c r="AI1028">
        <f t="shared" si="87"/>
        <v>3.25</v>
      </c>
    </row>
    <row r="1029" spans="1:35" hidden="1" x14ac:dyDescent="0.4">
      <c r="A1029">
        <v>760</v>
      </c>
      <c r="B1029" t="s">
        <v>34</v>
      </c>
      <c r="C1029">
        <f t="shared" si="85"/>
        <v>1</v>
      </c>
      <c r="D1029" t="s">
        <v>104</v>
      </c>
      <c r="E1029">
        <f t="shared" si="86"/>
        <v>0</v>
      </c>
      <c r="F1029" t="s">
        <v>59</v>
      </c>
      <c r="G1029">
        <v>8</v>
      </c>
      <c r="H1029" s="1">
        <v>88668</v>
      </c>
      <c r="I1029" s="10">
        <v>0.15</v>
      </c>
      <c r="J1029">
        <v>37.5</v>
      </c>
      <c r="K1029" t="s">
        <v>34</v>
      </c>
      <c r="L1029">
        <v>39</v>
      </c>
      <c r="M1029" t="s">
        <v>47</v>
      </c>
      <c r="N1029" t="s">
        <v>42</v>
      </c>
      <c r="O1029" t="s">
        <v>31</v>
      </c>
      <c r="P1029">
        <v>3</v>
      </c>
      <c r="Q1029" t="s">
        <v>43</v>
      </c>
      <c r="R1029" t="s">
        <v>59</v>
      </c>
      <c r="S1029">
        <v>3</v>
      </c>
      <c r="T1029">
        <v>1</v>
      </c>
      <c r="U1029">
        <v>12</v>
      </c>
      <c r="V1029">
        <v>3</v>
      </c>
      <c r="W1029">
        <v>8</v>
      </c>
      <c r="X1029">
        <v>3</v>
      </c>
      <c r="Y1029">
        <v>3</v>
      </c>
      <c r="Z1029">
        <v>6</v>
      </c>
      <c r="AA1029" t="str">
        <f t="shared" si="88"/>
        <v>Mid Tenure</v>
      </c>
      <c r="AB1029" s="5">
        <v>45871</v>
      </c>
      <c r="AC1029">
        <f t="shared" si="89"/>
        <v>1</v>
      </c>
      <c r="AD1029" t="s">
        <v>38</v>
      </c>
      <c r="AE1029">
        <f>VLOOKUP(A1029,'Employee Engagement Survey'!A963:B2432,2,FALSE)</f>
        <v>3</v>
      </c>
      <c r="AF1029">
        <f>VLOOKUP(A1029,'Employee Engagement Survey'!A963:C2432,3,FALSE)</f>
        <v>2</v>
      </c>
      <c r="AG1029">
        <f>VLOOKUP(A1029,'Employee Engagement Survey'!A963:D2432,4,FALSE)</f>
        <v>3</v>
      </c>
      <c r="AH1029">
        <f>VLOOKUP(A1029,'Employee Engagement Survey'!A963:E2432,5,FALSE)</f>
        <v>1</v>
      </c>
      <c r="AI1029">
        <f t="shared" si="87"/>
        <v>2.25</v>
      </c>
    </row>
    <row r="1030" spans="1:35" hidden="1" x14ac:dyDescent="0.4">
      <c r="A1030">
        <v>1415</v>
      </c>
      <c r="B1030" t="s">
        <v>34</v>
      </c>
      <c r="C1030">
        <f t="shared" si="85"/>
        <v>1</v>
      </c>
      <c r="D1030" t="s">
        <v>46</v>
      </c>
      <c r="E1030">
        <f t="shared" si="86"/>
        <v>0</v>
      </c>
      <c r="F1030" t="s">
        <v>28</v>
      </c>
      <c r="G1030">
        <v>6</v>
      </c>
      <c r="H1030" s="1">
        <v>62748</v>
      </c>
      <c r="I1030" s="10">
        <v>0.11</v>
      </c>
      <c r="J1030">
        <v>37.5</v>
      </c>
      <c r="K1030" t="s">
        <v>34</v>
      </c>
      <c r="L1030">
        <v>25</v>
      </c>
      <c r="M1030" t="s">
        <v>29</v>
      </c>
      <c r="N1030" t="s">
        <v>42</v>
      </c>
      <c r="O1030" t="s">
        <v>31</v>
      </c>
      <c r="P1030">
        <v>1</v>
      </c>
      <c r="Q1030" t="s">
        <v>43</v>
      </c>
      <c r="R1030" t="s">
        <v>45</v>
      </c>
      <c r="S1030">
        <v>3</v>
      </c>
      <c r="T1030">
        <v>1</v>
      </c>
      <c r="U1030">
        <v>7</v>
      </c>
      <c r="V1030">
        <v>2</v>
      </c>
      <c r="W1030">
        <v>3</v>
      </c>
      <c r="X1030">
        <v>2</v>
      </c>
      <c r="Y1030">
        <v>0</v>
      </c>
      <c r="Z1030">
        <v>2</v>
      </c>
      <c r="AA1030" t="str">
        <f t="shared" si="88"/>
        <v>Mid Tenure</v>
      </c>
      <c r="AB1030" s="5">
        <v>45093</v>
      </c>
      <c r="AC1030">
        <f t="shared" si="89"/>
        <v>0</v>
      </c>
      <c r="AD1030" t="s">
        <v>38</v>
      </c>
      <c r="AE1030">
        <f>VLOOKUP(A1030,'Employee Engagement Survey'!A964:B2433,2,FALSE)</f>
        <v>1</v>
      </c>
      <c r="AF1030">
        <f>VLOOKUP(A1030,'Employee Engagement Survey'!A964:C2433,3,FALSE)</f>
        <v>4</v>
      </c>
      <c r="AG1030">
        <f>VLOOKUP(A1030,'Employee Engagement Survey'!A964:D2433,4,FALSE)</f>
        <v>2</v>
      </c>
      <c r="AH1030">
        <f>VLOOKUP(A1030,'Employee Engagement Survey'!A964:E2433,5,FALSE)</f>
        <v>2</v>
      </c>
      <c r="AI1030">
        <f t="shared" si="87"/>
        <v>2.25</v>
      </c>
    </row>
    <row r="1031" spans="1:35" hidden="1" x14ac:dyDescent="0.4">
      <c r="A1031">
        <v>384</v>
      </c>
      <c r="B1031" t="s">
        <v>34</v>
      </c>
      <c r="C1031">
        <f t="shared" si="85"/>
        <v>1</v>
      </c>
      <c r="D1031" t="s">
        <v>54</v>
      </c>
      <c r="E1031">
        <f t="shared" si="86"/>
        <v>1</v>
      </c>
      <c r="F1031" t="s">
        <v>28</v>
      </c>
      <c r="G1031">
        <v>8</v>
      </c>
      <c r="H1031" s="1">
        <v>88764</v>
      </c>
      <c r="I1031" s="10">
        <v>0.2</v>
      </c>
      <c r="J1031">
        <v>37.5</v>
      </c>
      <c r="K1031" t="s">
        <v>34</v>
      </c>
      <c r="L1031">
        <v>26</v>
      </c>
      <c r="M1031" t="s">
        <v>47</v>
      </c>
      <c r="N1031" t="s">
        <v>48</v>
      </c>
      <c r="O1031" t="s">
        <v>44</v>
      </c>
      <c r="P1031">
        <v>1</v>
      </c>
      <c r="Q1031" t="s">
        <v>43</v>
      </c>
      <c r="R1031" t="s">
        <v>37</v>
      </c>
      <c r="S1031">
        <v>4</v>
      </c>
      <c r="T1031">
        <v>1</v>
      </c>
      <c r="U1031">
        <v>6</v>
      </c>
      <c r="V1031">
        <v>6</v>
      </c>
      <c r="W1031">
        <v>6</v>
      </c>
      <c r="X1031">
        <v>5</v>
      </c>
      <c r="Y1031">
        <v>1</v>
      </c>
      <c r="Z1031">
        <v>4</v>
      </c>
      <c r="AA1031" t="str">
        <f t="shared" si="88"/>
        <v>Mid Tenure</v>
      </c>
      <c r="AB1031" s="5">
        <v>44944</v>
      </c>
      <c r="AC1031">
        <f t="shared" si="89"/>
        <v>0</v>
      </c>
      <c r="AD1031" t="s">
        <v>38</v>
      </c>
      <c r="AE1031">
        <f>VLOOKUP(A1031,'Employee Engagement Survey'!A965:B2434,2,FALSE)</f>
        <v>3</v>
      </c>
      <c r="AF1031">
        <f>VLOOKUP(A1031,'Employee Engagement Survey'!A965:C2434,3,FALSE)</f>
        <v>2</v>
      </c>
      <c r="AG1031">
        <f>VLOOKUP(A1031,'Employee Engagement Survey'!A965:D2434,4,FALSE)</f>
        <v>1</v>
      </c>
      <c r="AH1031">
        <f>VLOOKUP(A1031,'Employee Engagement Survey'!A965:E2434,5,FALSE)</f>
        <v>1</v>
      </c>
      <c r="AI1031">
        <f t="shared" si="87"/>
        <v>1.75</v>
      </c>
    </row>
    <row r="1032" spans="1:35" hidden="1" x14ac:dyDescent="0.4">
      <c r="A1032">
        <v>1417</v>
      </c>
      <c r="B1032" t="s">
        <v>34</v>
      </c>
      <c r="C1032">
        <f t="shared" si="85"/>
        <v>1</v>
      </c>
      <c r="D1032" t="s">
        <v>46</v>
      </c>
      <c r="E1032">
        <f t="shared" si="86"/>
        <v>0</v>
      </c>
      <c r="F1032" t="s">
        <v>28</v>
      </c>
      <c r="G1032">
        <v>6</v>
      </c>
      <c r="H1032" s="1">
        <v>66936</v>
      </c>
      <c r="I1032" s="10">
        <v>0.12</v>
      </c>
      <c r="J1032">
        <v>37.5</v>
      </c>
      <c r="K1032" t="s">
        <v>34</v>
      </c>
      <c r="L1032">
        <v>26</v>
      </c>
      <c r="M1032" t="s">
        <v>29</v>
      </c>
      <c r="N1032" t="s">
        <v>30</v>
      </c>
      <c r="O1032" t="s">
        <v>31</v>
      </c>
      <c r="P1032">
        <v>7</v>
      </c>
      <c r="Q1032" t="s">
        <v>43</v>
      </c>
      <c r="R1032" t="s">
        <v>53</v>
      </c>
      <c r="S1032">
        <v>3</v>
      </c>
      <c r="T1032">
        <v>0</v>
      </c>
      <c r="U1032">
        <v>8</v>
      </c>
      <c r="V1032">
        <v>2</v>
      </c>
      <c r="W1032">
        <v>7</v>
      </c>
      <c r="X1032">
        <v>7</v>
      </c>
      <c r="Y1032">
        <v>0</v>
      </c>
      <c r="Z1032">
        <v>7</v>
      </c>
      <c r="AA1032" t="str">
        <f t="shared" si="88"/>
        <v>Mid Tenure</v>
      </c>
      <c r="AB1032" s="5">
        <v>44704</v>
      </c>
      <c r="AC1032">
        <f t="shared" si="89"/>
        <v>0</v>
      </c>
      <c r="AD1032" t="s">
        <v>49</v>
      </c>
      <c r="AE1032">
        <f>VLOOKUP(A1032,'Employee Engagement Survey'!A967:B2436,2,FALSE)</f>
        <v>3</v>
      </c>
      <c r="AF1032">
        <f>VLOOKUP(A1032,'Employee Engagement Survey'!A967:C2436,3,FALSE)</f>
        <v>1</v>
      </c>
      <c r="AG1032">
        <f>VLOOKUP(A1032,'Employee Engagement Survey'!A967:D2436,4,FALSE)</f>
        <v>4</v>
      </c>
      <c r="AH1032">
        <f>VLOOKUP(A1032,'Employee Engagement Survey'!A967:E2436,5,FALSE)</f>
        <v>3</v>
      </c>
      <c r="AI1032">
        <f t="shared" si="87"/>
        <v>2.75</v>
      </c>
    </row>
    <row r="1033" spans="1:35" hidden="1" x14ac:dyDescent="0.4">
      <c r="A1033">
        <v>1419</v>
      </c>
      <c r="B1033" t="s">
        <v>34</v>
      </c>
      <c r="C1033">
        <f t="shared" si="85"/>
        <v>1</v>
      </c>
      <c r="D1033" t="s">
        <v>104</v>
      </c>
      <c r="E1033">
        <f t="shared" si="86"/>
        <v>0</v>
      </c>
      <c r="F1033" t="s">
        <v>59</v>
      </c>
      <c r="G1033">
        <v>9</v>
      </c>
      <c r="H1033" s="1">
        <v>107856</v>
      </c>
      <c r="I1033" s="10">
        <v>0.13</v>
      </c>
      <c r="J1033">
        <v>37.5</v>
      </c>
      <c r="K1033" t="s">
        <v>34</v>
      </c>
      <c r="L1033">
        <v>29</v>
      </c>
      <c r="M1033" t="s">
        <v>29</v>
      </c>
      <c r="N1033" t="s">
        <v>30</v>
      </c>
      <c r="O1033" t="s">
        <v>31</v>
      </c>
      <c r="P1033">
        <v>17</v>
      </c>
      <c r="Q1033" t="s">
        <v>43</v>
      </c>
      <c r="R1033" t="s">
        <v>53</v>
      </c>
      <c r="S1033">
        <v>3</v>
      </c>
      <c r="T1033">
        <v>0</v>
      </c>
      <c r="U1033">
        <v>10</v>
      </c>
      <c r="V1033">
        <v>3</v>
      </c>
      <c r="W1033">
        <v>10</v>
      </c>
      <c r="X1033">
        <v>9</v>
      </c>
      <c r="Y1033">
        <v>0</v>
      </c>
      <c r="Z1033">
        <v>9</v>
      </c>
      <c r="AA1033" t="str">
        <f t="shared" si="88"/>
        <v>Long Tenure</v>
      </c>
      <c r="AB1033" s="5">
        <v>45863</v>
      </c>
      <c r="AC1033">
        <f t="shared" si="89"/>
        <v>1</v>
      </c>
      <c r="AD1033" t="s">
        <v>38</v>
      </c>
      <c r="AE1033">
        <f>VLOOKUP(A1033,'Employee Engagement Survey'!A968:B2437,2,FALSE)</f>
        <v>2</v>
      </c>
      <c r="AF1033">
        <f>VLOOKUP(A1033,'Employee Engagement Survey'!A968:C2437,3,FALSE)</f>
        <v>1</v>
      </c>
      <c r="AG1033">
        <f>VLOOKUP(A1033,'Employee Engagement Survey'!A968:D2437,4,FALSE)</f>
        <v>1</v>
      </c>
      <c r="AH1033">
        <f>VLOOKUP(A1033,'Employee Engagement Survey'!A968:E2437,5,FALSE)</f>
        <v>2</v>
      </c>
      <c r="AI1033">
        <f t="shared" si="87"/>
        <v>1.5</v>
      </c>
    </row>
    <row r="1034" spans="1:35" hidden="1" x14ac:dyDescent="0.4">
      <c r="A1034">
        <v>1557</v>
      </c>
      <c r="B1034" t="s">
        <v>34</v>
      </c>
      <c r="C1034">
        <f t="shared" si="85"/>
        <v>1</v>
      </c>
      <c r="D1034" t="s">
        <v>57</v>
      </c>
      <c r="E1034">
        <f t="shared" si="86"/>
        <v>0</v>
      </c>
      <c r="F1034" t="s">
        <v>40</v>
      </c>
      <c r="G1034">
        <v>8</v>
      </c>
      <c r="H1034" s="1">
        <v>89268</v>
      </c>
      <c r="I1034" s="10">
        <v>0.14000000000000001</v>
      </c>
      <c r="J1034">
        <v>37.5</v>
      </c>
      <c r="K1034" t="s">
        <v>34</v>
      </c>
      <c r="L1034">
        <v>48</v>
      </c>
      <c r="M1034" t="s">
        <v>47</v>
      </c>
      <c r="N1034" t="s">
        <v>48</v>
      </c>
      <c r="O1034" t="s">
        <v>31</v>
      </c>
      <c r="P1034">
        <v>16</v>
      </c>
      <c r="Q1034" t="s">
        <v>51</v>
      </c>
      <c r="R1034" t="s">
        <v>37</v>
      </c>
      <c r="S1034">
        <v>3</v>
      </c>
      <c r="T1034">
        <v>1</v>
      </c>
      <c r="U1034">
        <v>18</v>
      </c>
      <c r="V1034">
        <v>2</v>
      </c>
      <c r="W1034">
        <v>8</v>
      </c>
      <c r="X1034">
        <v>7</v>
      </c>
      <c r="Y1034">
        <v>7</v>
      </c>
      <c r="Z1034">
        <v>7</v>
      </c>
      <c r="AA1034" t="str">
        <f t="shared" si="88"/>
        <v>Mid Tenure</v>
      </c>
      <c r="AB1034" s="5">
        <v>45519</v>
      </c>
      <c r="AC1034">
        <f t="shared" si="89"/>
        <v>1</v>
      </c>
      <c r="AD1034" t="s">
        <v>38</v>
      </c>
      <c r="AE1034">
        <f>VLOOKUP(A1034,'Employee Engagement Survey'!A970:B2439,2,FALSE)</f>
        <v>3</v>
      </c>
      <c r="AF1034">
        <f>VLOOKUP(A1034,'Employee Engagement Survey'!A970:C2439,3,FALSE)</f>
        <v>3</v>
      </c>
      <c r="AG1034">
        <f>VLOOKUP(A1034,'Employee Engagement Survey'!A970:D2439,4,FALSE)</f>
        <v>3</v>
      </c>
      <c r="AH1034">
        <f>VLOOKUP(A1034,'Employee Engagement Survey'!A970:E2439,5,FALSE)</f>
        <v>3</v>
      </c>
      <c r="AI1034">
        <f t="shared" si="87"/>
        <v>3</v>
      </c>
    </row>
    <row r="1035" spans="1:35" hidden="1" x14ac:dyDescent="0.4">
      <c r="A1035">
        <v>635</v>
      </c>
      <c r="B1035" t="s">
        <v>34</v>
      </c>
      <c r="C1035">
        <f t="shared" si="85"/>
        <v>1</v>
      </c>
      <c r="D1035" t="s">
        <v>54</v>
      </c>
      <c r="E1035">
        <f t="shared" si="86"/>
        <v>1</v>
      </c>
      <c r="F1035" t="s">
        <v>28</v>
      </c>
      <c r="G1035">
        <v>8</v>
      </c>
      <c r="H1035" s="1">
        <v>89364</v>
      </c>
      <c r="I1035" s="10">
        <v>0.12</v>
      </c>
      <c r="J1035">
        <v>37.5</v>
      </c>
      <c r="K1035" t="s">
        <v>34</v>
      </c>
      <c r="L1035">
        <v>37</v>
      </c>
      <c r="M1035" t="s">
        <v>47</v>
      </c>
      <c r="N1035" t="s">
        <v>42</v>
      </c>
      <c r="O1035" t="s">
        <v>31</v>
      </c>
      <c r="P1035">
        <v>1</v>
      </c>
      <c r="Q1035" t="s">
        <v>51</v>
      </c>
      <c r="R1035" t="s">
        <v>37</v>
      </c>
      <c r="S1035">
        <v>3</v>
      </c>
      <c r="T1035">
        <v>1</v>
      </c>
      <c r="U1035">
        <v>8</v>
      </c>
      <c r="V1035">
        <v>2</v>
      </c>
      <c r="W1035">
        <v>6</v>
      </c>
      <c r="X1035">
        <v>5</v>
      </c>
      <c r="Y1035">
        <v>4</v>
      </c>
      <c r="Z1035">
        <v>3</v>
      </c>
      <c r="AA1035" t="str">
        <f t="shared" si="88"/>
        <v>Mid Tenure</v>
      </c>
      <c r="AB1035" s="5">
        <v>45381</v>
      </c>
      <c r="AC1035">
        <f t="shared" si="89"/>
        <v>1</v>
      </c>
      <c r="AD1035" t="s">
        <v>38</v>
      </c>
      <c r="AE1035">
        <f>VLOOKUP(A1035,'Employee Engagement Survey'!A971:B2440,2,FALSE)</f>
        <v>2</v>
      </c>
      <c r="AF1035">
        <f>VLOOKUP(A1035,'Employee Engagement Survey'!A971:C2440,3,FALSE)</f>
        <v>2</v>
      </c>
      <c r="AG1035">
        <f>VLOOKUP(A1035,'Employee Engagement Survey'!A971:D2440,4,FALSE)</f>
        <v>2</v>
      </c>
      <c r="AH1035">
        <f>VLOOKUP(A1035,'Employee Engagement Survey'!A971:E2440,5,FALSE)</f>
        <v>2</v>
      </c>
      <c r="AI1035">
        <f t="shared" si="87"/>
        <v>2</v>
      </c>
    </row>
    <row r="1036" spans="1:35" hidden="1" x14ac:dyDescent="0.4">
      <c r="A1036">
        <v>1424</v>
      </c>
      <c r="B1036" t="s">
        <v>34</v>
      </c>
      <c r="C1036">
        <f t="shared" si="85"/>
        <v>1</v>
      </c>
      <c r="D1036" t="s">
        <v>60</v>
      </c>
      <c r="E1036">
        <f t="shared" si="86"/>
        <v>1</v>
      </c>
      <c r="F1036" t="s">
        <v>28</v>
      </c>
      <c r="G1036">
        <v>4</v>
      </c>
      <c r="H1036" s="1">
        <v>188784</v>
      </c>
      <c r="I1036" s="10">
        <v>0.13</v>
      </c>
      <c r="J1036">
        <v>37.5</v>
      </c>
      <c r="K1036" t="s">
        <v>34</v>
      </c>
      <c r="L1036">
        <v>55</v>
      </c>
      <c r="M1036" t="s">
        <v>29</v>
      </c>
      <c r="N1036" t="s">
        <v>48</v>
      </c>
      <c r="O1036" t="s">
        <v>31</v>
      </c>
      <c r="P1036">
        <v>1</v>
      </c>
      <c r="Q1036" t="s">
        <v>51</v>
      </c>
      <c r="R1036" t="s">
        <v>33</v>
      </c>
      <c r="S1036">
        <v>3</v>
      </c>
      <c r="T1036">
        <v>2</v>
      </c>
      <c r="U1036">
        <v>31</v>
      </c>
      <c r="V1036">
        <v>4</v>
      </c>
      <c r="W1036">
        <v>7</v>
      </c>
      <c r="X1036">
        <v>7</v>
      </c>
      <c r="Y1036">
        <v>0</v>
      </c>
      <c r="Z1036">
        <v>0</v>
      </c>
      <c r="AA1036" t="str">
        <f t="shared" si="88"/>
        <v>Mid Tenure</v>
      </c>
      <c r="AB1036" s="5">
        <v>45846</v>
      </c>
      <c r="AC1036">
        <f t="shared" si="89"/>
        <v>1</v>
      </c>
      <c r="AD1036" t="s">
        <v>49</v>
      </c>
      <c r="AE1036">
        <f>VLOOKUP(A1036,'Employee Engagement Survey'!A972:B2441,2,FALSE)</f>
        <v>2</v>
      </c>
      <c r="AF1036">
        <f>VLOOKUP(A1036,'Employee Engagement Survey'!A972:C2441,3,FALSE)</f>
        <v>4</v>
      </c>
      <c r="AG1036">
        <f>VLOOKUP(A1036,'Employee Engagement Survey'!A972:D2441,4,FALSE)</f>
        <v>4</v>
      </c>
      <c r="AH1036">
        <f>VLOOKUP(A1036,'Employee Engagement Survey'!A972:E2441,5,FALSE)</f>
        <v>4</v>
      </c>
      <c r="AI1036">
        <f t="shared" si="87"/>
        <v>3.5</v>
      </c>
    </row>
    <row r="1037" spans="1:35" hidden="1" x14ac:dyDescent="0.4">
      <c r="A1037">
        <v>1431</v>
      </c>
      <c r="B1037" t="s">
        <v>34</v>
      </c>
      <c r="C1037">
        <f t="shared" si="85"/>
        <v>1</v>
      </c>
      <c r="D1037" t="s">
        <v>27</v>
      </c>
      <c r="E1037">
        <f t="shared" si="86"/>
        <v>0</v>
      </c>
      <c r="F1037" t="s">
        <v>28</v>
      </c>
      <c r="G1037">
        <v>5</v>
      </c>
      <c r="H1037" s="1">
        <v>59952</v>
      </c>
      <c r="I1037" s="10">
        <v>0.14000000000000001</v>
      </c>
      <c r="J1037">
        <v>37.5</v>
      </c>
      <c r="K1037" t="s">
        <v>34</v>
      </c>
      <c r="L1037">
        <v>34</v>
      </c>
      <c r="M1037" t="s">
        <v>29</v>
      </c>
      <c r="N1037" t="s">
        <v>48</v>
      </c>
      <c r="O1037" t="s">
        <v>44</v>
      </c>
      <c r="P1037">
        <v>1</v>
      </c>
      <c r="Q1037" t="s">
        <v>51</v>
      </c>
      <c r="R1037" t="s">
        <v>53</v>
      </c>
      <c r="S1037">
        <v>3</v>
      </c>
      <c r="T1037">
        <v>2</v>
      </c>
      <c r="U1037">
        <v>10</v>
      </c>
      <c r="V1037">
        <v>2</v>
      </c>
      <c r="W1037">
        <v>4</v>
      </c>
      <c r="X1037">
        <v>3</v>
      </c>
      <c r="Y1037">
        <v>1</v>
      </c>
      <c r="Z1037">
        <v>3</v>
      </c>
      <c r="AA1037" t="str">
        <f t="shared" si="88"/>
        <v>Mid Tenure</v>
      </c>
      <c r="AB1037" s="5">
        <v>44682</v>
      </c>
      <c r="AC1037">
        <f t="shared" si="89"/>
        <v>0</v>
      </c>
      <c r="AD1037" t="s">
        <v>38</v>
      </c>
      <c r="AE1037">
        <f>VLOOKUP(A1037,'Employee Engagement Survey'!A973:B2442,2,FALSE)</f>
        <v>4</v>
      </c>
      <c r="AF1037">
        <f>VLOOKUP(A1037,'Employee Engagement Survey'!A973:C2442,3,FALSE)</f>
        <v>1</v>
      </c>
      <c r="AG1037">
        <f>VLOOKUP(A1037,'Employee Engagement Survey'!A973:D2442,4,FALSE)</f>
        <v>3</v>
      </c>
      <c r="AH1037">
        <f>VLOOKUP(A1037,'Employee Engagement Survey'!A973:E2442,5,FALSE)</f>
        <v>3</v>
      </c>
      <c r="AI1037">
        <f t="shared" si="87"/>
        <v>2.75</v>
      </c>
    </row>
    <row r="1038" spans="1:35" hidden="1" x14ac:dyDescent="0.4">
      <c r="A1038">
        <v>1196</v>
      </c>
      <c r="B1038" t="s">
        <v>34</v>
      </c>
      <c r="C1038">
        <f t="shared" si="85"/>
        <v>1</v>
      </c>
      <c r="D1038" t="s">
        <v>54</v>
      </c>
      <c r="E1038">
        <f t="shared" si="86"/>
        <v>1</v>
      </c>
      <c r="F1038" t="s">
        <v>28</v>
      </c>
      <c r="G1038">
        <v>8</v>
      </c>
      <c r="H1038" s="1">
        <v>89688</v>
      </c>
      <c r="I1038" s="10">
        <v>0.13</v>
      </c>
      <c r="J1038">
        <v>37.5</v>
      </c>
      <c r="K1038" t="s">
        <v>34</v>
      </c>
      <c r="L1038">
        <v>37</v>
      </c>
      <c r="M1038" t="s">
        <v>47</v>
      </c>
      <c r="N1038" t="s">
        <v>42</v>
      </c>
      <c r="O1038" t="s">
        <v>31</v>
      </c>
      <c r="P1038">
        <v>1</v>
      </c>
      <c r="Q1038" t="s">
        <v>43</v>
      </c>
      <c r="R1038" t="s">
        <v>37</v>
      </c>
      <c r="S1038">
        <v>3</v>
      </c>
      <c r="T1038">
        <v>1</v>
      </c>
      <c r="U1038">
        <v>14</v>
      </c>
      <c r="V1038">
        <v>2</v>
      </c>
      <c r="W1038">
        <v>14</v>
      </c>
      <c r="X1038">
        <v>8</v>
      </c>
      <c r="Y1038">
        <v>3</v>
      </c>
      <c r="Z1038">
        <v>11</v>
      </c>
      <c r="AA1038" t="str">
        <f t="shared" si="88"/>
        <v>Long Tenure</v>
      </c>
      <c r="AB1038" s="5">
        <v>45055</v>
      </c>
      <c r="AC1038">
        <f t="shared" si="89"/>
        <v>0</v>
      </c>
      <c r="AD1038" t="s">
        <v>49</v>
      </c>
      <c r="AE1038">
        <f>VLOOKUP(A1038,'Employee Engagement Survey'!A974:B2443,2,FALSE)</f>
        <v>4</v>
      </c>
      <c r="AF1038">
        <f>VLOOKUP(A1038,'Employee Engagement Survey'!A974:C2443,3,FALSE)</f>
        <v>4</v>
      </c>
      <c r="AG1038">
        <f>VLOOKUP(A1038,'Employee Engagement Survey'!A974:D2443,4,FALSE)</f>
        <v>2</v>
      </c>
      <c r="AH1038">
        <f>VLOOKUP(A1038,'Employee Engagement Survey'!A974:E2443,5,FALSE)</f>
        <v>2</v>
      </c>
      <c r="AI1038">
        <f t="shared" si="87"/>
        <v>3</v>
      </c>
    </row>
    <row r="1039" spans="1:35" hidden="1" x14ac:dyDescent="0.4">
      <c r="A1039">
        <v>1434</v>
      </c>
      <c r="B1039" t="s">
        <v>34</v>
      </c>
      <c r="C1039">
        <f t="shared" si="85"/>
        <v>1</v>
      </c>
      <c r="D1039" t="s">
        <v>46</v>
      </c>
      <c r="E1039">
        <f t="shared" si="86"/>
        <v>0</v>
      </c>
      <c r="F1039" t="s">
        <v>28</v>
      </c>
      <c r="G1039">
        <v>3</v>
      </c>
      <c r="H1039" s="1">
        <v>49188</v>
      </c>
      <c r="I1039" s="10">
        <v>0.14000000000000001</v>
      </c>
      <c r="J1039">
        <v>37.5</v>
      </c>
      <c r="K1039" t="s">
        <v>34</v>
      </c>
      <c r="L1039">
        <v>27</v>
      </c>
      <c r="M1039" t="s">
        <v>29</v>
      </c>
      <c r="N1039" t="s">
        <v>42</v>
      </c>
      <c r="O1039" t="s">
        <v>31</v>
      </c>
      <c r="P1039">
        <v>11</v>
      </c>
      <c r="Q1039" t="s">
        <v>32</v>
      </c>
      <c r="R1039" t="s">
        <v>37</v>
      </c>
      <c r="S1039">
        <v>3</v>
      </c>
      <c r="T1039">
        <v>0</v>
      </c>
      <c r="U1039">
        <v>6</v>
      </c>
      <c r="V1039">
        <v>3</v>
      </c>
      <c r="W1039">
        <v>5</v>
      </c>
      <c r="X1039">
        <v>0</v>
      </c>
      <c r="Y1039">
        <v>1</v>
      </c>
      <c r="Z1039">
        <v>4</v>
      </c>
      <c r="AA1039" t="str">
        <f t="shared" si="88"/>
        <v>Mid Tenure</v>
      </c>
      <c r="AB1039" s="5">
        <v>45523</v>
      </c>
      <c r="AC1039">
        <f t="shared" si="89"/>
        <v>1</v>
      </c>
      <c r="AD1039" t="s">
        <v>38</v>
      </c>
      <c r="AE1039">
        <f>VLOOKUP(A1039,'Employee Engagement Survey'!A975:B2444,2,FALSE)</f>
        <v>2</v>
      </c>
      <c r="AF1039">
        <f>VLOOKUP(A1039,'Employee Engagement Survey'!A975:C2444,3,FALSE)</f>
        <v>1</v>
      </c>
      <c r="AG1039">
        <f>VLOOKUP(A1039,'Employee Engagement Survey'!A975:D2444,4,FALSE)</f>
        <v>2</v>
      </c>
      <c r="AH1039">
        <f>VLOOKUP(A1039,'Employee Engagement Survey'!A975:E2444,5,FALSE)</f>
        <v>4</v>
      </c>
      <c r="AI1039">
        <f t="shared" si="87"/>
        <v>2.25</v>
      </c>
    </row>
    <row r="1040" spans="1:35" hidden="1" x14ac:dyDescent="0.4">
      <c r="A1040">
        <v>808</v>
      </c>
      <c r="B1040" t="s">
        <v>34</v>
      </c>
      <c r="C1040">
        <f t="shared" si="85"/>
        <v>1</v>
      </c>
      <c r="D1040" t="s">
        <v>57</v>
      </c>
      <c r="E1040">
        <f t="shared" si="86"/>
        <v>0</v>
      </c>
      <c r="F1040" t="s">
        <v>40</v>
      </c>
      <c r="G1040">
        <v>8</v>
      </c>
      <c r="H1040" s="1">
        <v>90000</v>
      </c>
      <c r="I1040" s="10">
        <v>0.17</v>
      </c>
      <c r="J1040">
        <v>37.5</v>
      </c>
      <c r="K1040" t="s">
        <v>34</v>
      </c>
      <c r="L1040">
        <v>34</v>
      </c>
      <c r="M1040" t="s">
        <v>47</v>
      </c>
      <c r="N1040" t="s">
        <v>42</v>
      </c>
      <c r="O1040" t="s">
        <v>31</v>
      </c>
      <c r="P1040">
        <v>8</v>
      </c>
      <c r="Q1040" t="s">
        <v>36</v>
      </c>
      <c r="R1040" t="s">
        <v>37</v>
      </c>
      <c r="S1040">
        <v>3</v>
      </c>
      <c r="T1040">
        <v>1</v>
      </c>
      <c r="U1040">
        <v>6</v>
      </c>
      <c r="V1040">
        <v>1</v>
      </c>
      <c r="W1040">
        <v>3</v>
      </c>
      <c r="X1040">
        <v>2</v>
      </c>
      <c r="Y1040">
        <v>1</v>
      </c>
      <c r="Z1040">
        <v>2</v>
      </c>
      <c r="AA1040" t="str">
        <f t="shared" si="88"/>
        <v>Mid Tenure</v>
      </c>
      <c r="AB1040" s="5">
        <v>45477</v>
      </c>
      <c r="AC1040">
        <f t="shared" si="89"/>
        <v>1</v>
      </c>
      <c r="AD1040" t="s">
        <v>49</v>
      </c>
      <c r="AE1040">
        <f>VLOOKUP(A1040,'Employee Engagement Survey'!A976:B2445,2,FALSE)</f>
        <v>3</v>
      </c>
      <c r="AF1040">
        <f>VLOOKUP(A1040,'Employee Engagement Survey'!A976:C2445,3,FALSE)</f>
        <v>1</v>
      </c>
      <c r="AG1040">
        <f>VLOOKUP(A1040,'Employee Engagement Survey'!A976:D2445,4,FALSE)</f>
        <v>2</v>
      </c>
      <c r="AH1040">
        <f>VLOOKUP(A1040,'Employee Engagement Survey'!A976:E2445,5,FALSE)</f>
        <v>3</v>
      </c>
      <c r="AI1040">
        <f t="shared" si="87"/>
        <v>2.25</v>
      </c>
    </row>
    <row r="1041" spans="1:35" hidden="1" x14ac:dyDescent="0.4">
      <c r="A1041">
        <v>1898</v>
      </c>
      <c r="B1041" t="s">
        <v>34</v>
      </c>
      <c r="C1041">
        <f t="shared" si="85"/>
        <v>1</v>
      </c>
      <c r="D1041" t="s">
        <v>57</v>
      </c>
      <c r="E1041">
        <f t="shared" si="86"/>
        <v>0</v>
      </c>
      <c r="F1041" t="s">
        <v>40</v>
      </c>
      <c r="G1041">
        <v>8</v>
      </c>
      <c r="H1041" s="1">
        <v>90000</v>
      </c>
      <c r="I1041" s="10">
        <v>0.14000000000000001</v>
      </c>
      <c r="J1041">
        <v>37.5</v>
      </c>
      <c r="K1041" t="s">
        <v>34</v>
      </c>
      <c r="L1041">
        <v>27</v>
      </c>
      <c r="M1041" t="s">
        <v>47</v>
      </c>
      <c r="N1041" t="s">
        <v>30</v>
      </c>
      <c r="O1041" t="s">
        <v>31</v>
      </c>
      <c r="P1041">
        <v>2</v>
      </c>
      <c r="Q1041" t="s">
        <v>36</v>
      </c>
      <c r="R1041" t="s">
        <v>33</v>
      </c>
      <c r="S1041">
        <v>3</v>
      </c>
      <c r="T1041">
        <v>0</v>
      </c>
      <c r="U1041">
        <v>9</v>
      </c>
      <c r="V1041">
        <v>5</v>
      </c>
      <c r="W1041">
        <v>8</v>
      </c>
      <c r="X1041">
        <v>7</v>
      </c>
      <c r="Y1041">
        <v>0</v>
      </c>
      <c r="Z1041">
        <v>7</v>
      </c>
      <c r="AA1041" t="str">
        <f t="shared" si="88"/>
        <v>Mid Tenure</v>
      </c>
      <c r="AB1041" s="5">
        <v>45037</v>
      </c>
      <c r="AC1041">
        <f t="shared" si="89"/>
        <v>0</v>
      </c>
      <c r="AD1041" t="s">
        <v>38</v>
      </c>
      <c r="AE1041">
        <f>VLOOKUP(A1041,'Employee Engagement Survey'!A977:B2446,2,FALSE)</f>
        <v>1</v>
      </c>
      <c r="AF1041">
        <f>VLOOKUP(A1041,'Employee Engagement Survey'!A977:C2446,3,FALSE)</f>
        <v>3</v>
      </c>
      <c r="AG1041">
        <f>VLOOKUP(A1041,'Employee Engagement Survey'!A977:D2446,4,FALSE)</f>
        <v>2</v>
      </c>
      <c r="AH1041">
        <f>VLOOKUP(A1041,'Employee Engagement Survey'!A977:E2446,5,FALSE)</f>
        <v>2</v>
      </c>
      <c r="AI1041">
        <f t="shared" si="87"/>
        <v>2</v>
      </c>
    </row>
    <row r="1042" spans="1:35" hidden="1" x14ac:dyDescent="0.4">
      <c r="A1042">
        <v>1435</v>
      </c>
      <c r="B1042" t="s">
        <v>34</v>
      </c>
      <c r="C1042">
        <f t="shared" si="85"/>
        <v>1</v>
      </c>
      <c r="D1042" t="s">
        <v>46</v>
      </c>
      <c r="E1042">
        <f t="shared" si="86"/>
        <v>0</v>
      </c>
      <c r="F1042" t="s">
        <v>28</v>
      </c>
      <c r="G1042">
        <v>7</v>
      </c>
      <c r="H1042" s="1">
        <v>81720</v>
      </c>
      <c r="I1042" s="10">
        <v>0.16</v>
      </c>
      <c r="J1042">
        <v>37.5</v>
      </c>
      <c r="K1042" t="s">
        <v>34</v>
      </c>
      <c r="L1042">
        <v>36</v>
      </c>
      <c r="M1042" t="s">
        <v>29</v>
      </c>
      <c r="N1042" t="s">
        <v>30</v>
      </c>
      <c r="O1042" t="s">
        <v>31</v>
      </c>
      <c r="P1042">
        <v>4</v>
      </c>
      <c r="Q1042" t="s">
        <v>51</v>
      </c>
      <c r="R1042" t="s">
        <v>37</v>
      </c>
      <c r="S1042">
        <v>3</v>
      </c>
      <c r="T1042">
        <v>0</v>
      </c>
      <c r="U1042">
        <v>10</v>
      </c>
      <c r="V1042">
        <v>2</v>
      </c>
      <c r="W1042">
        <v>10</v>
      </c>
      <c r="X1042">
        <v>4</v>
      </c>
      <c r="Y1042">
        <v>1</v>
      </c>
      <c r="Z1042">
        <v>8</v>
      </c>
      <c r="AA1042" t="str">
        <f t="shared" si="88"/>
        <v>Long Tenure</v>
      </c>
      <c r="AB1042" s="5">
        <v>45461</v>
      </c>
      <c r="AC1042">
        <f t="shared" si="89"/>
        <v>1</v>
      </c>
      <c r="AD1042" t="s">
        <v>38</v>
      </c>
      <c r="AE1042">
        <f>VLOOKUP(A1042,'Employee Engagement Survey'!A978:B2447,2,FALSE)</f>
        <v>1</v>
      </c>
      <c r="AF1042">
        <f>VLOOKUP(A1042,'Employee Engagement Survey'!A978:C2447,3,FALSE)</f>
        <v>4</v>
      </c>
      <c r="AG1042">
        <f>VLOOKUP(A1042,'Employee Engagement Survey'!A978:D2447,4,FALSE)</f>
        <v>3</v>
      </c>
      <c r="AH1042">
        <f>VLOOKUP(A1042,'Employee Engagement Survey'!A978:E2447,5,FALSE)</f>
        <v>2</v>
      </c>
      <c r="AI1042">
        <f t="shared" si="87"/>
        <v>2.5</v>
      </c>
    </row>
    <row r="1043" spans="1:35" hidden="1" x14ac:dyDescent="0.4">
      <c r="A1043">
        <v>1822</v>
      </c>
      <c r="B1043" t="s">
        <v>34</v>
      </c>
      <c r="C1043">
        <f t="shared" si="85"/>
        <v>1</v>
      </c>
      <c r="D1043" t="s">
        <v>55</v>
      </c>
      <c r="E1043">
        <f t="shared" si="86"/>
        <v>0</v>
      </c>
      <c r="F1043" t="s">
        <v>28</v>
      </c>
      <c r="G1043">
        <v>8</v>
      </c>
      <c r="H1043" s="1">
        <v>90156</v>
      </c>
      <c r="I1043" s="10">
        <v>0.17</v>
      </c>
      <c r="J1043">
        <v>37.5</v>
      </c>
      <c r="K1043" t="s">
        <v>34</v>
      </c>
      <c r="L1043">
        <v>40</v>
      </c>
      <c r="M1043" t="s">
        <v>47</v>
      </c>
      <c r="N1043" t="s">
        <v>48</v>
      </c>
      <c r="O1043" t="s">
        <v>31</v>
      </c>
      <c r="P1043">
        <v>1</v>
      </c>
      <c r="Q1043" t="s">
        <v>43</v>
      </c>
      <c r="R1043" t="s">
        <v>37</v>
      </c>
      <c r="S1043">
        <v>3</v>
      </c>
      <c r="T1043">
        <v>1</v>
      </c>
      <c r="U1043">
        <v>12</v>
      </c>
      <c r="V1043">
        <v>3</v>
      </c>
      <c r="W1043">
        <v>5</v>
      </c>
      <c r="X1043">
        <v>3</v>
      </c>
      <c r="Y1043">
        <v>0</v>
      </c>
      <c r="Z1043">
        <v>3</v>
      </c>
      <c r="AA1043" t="str">
        <f t="shared" si="88"/>
        <v>Mid Tenure</v>
      </c>
      <c r="AB1043" s="5">
        <v>44618</v>
      </c>
      <c r="AC1043">
        <f t="shared" si="89"/>
        <v>0</v>
      </c>
      <c r="AD1043" t="s">
        <v>38</v>
      </c>
      <c r="AE1043">
        <f>VLOOKUP(A1043,'Employee Engagement Survey'!A979:B2448,2,FALSE)</f>
        <v>3</v>
      </c>
      <c r="AF1043">
        <f>VLOOKUP(A1043,'Employee Engagement Survey'!A979:C2448,3,FALSE)</f>
        <v>4</v>
      </c>
      <c r="AG1043">
        <f>VLOOKUP(A1043,'Employee Engagement Survey'!A979:D2448,4,FALSE)</f>
        <v>4</v>
      </c>
      <c r="AH1043">
        <f>VLOOKUP(A1043,'Employee Engagement Survey'!A979:E2448,5,FALSE)</f>
        <v>3</v>
      </c>
      <c r="AI1043">
        <f t="shared" si="87"/>
        <v>3.5</v>
      </c>
    </row>
    <row r="1044" spans="1:35" x14ac:dyDescent="0.4">
      <c r="A1044">
        <v>1724</v>
      </c>
      <c r="B1044" t="s">
        <v>34</v>
      </c>
      <c r="C1044">
        <f t="shared" si="85"/>
        <v>1</v>
      </c>
      <c r="D1044" t="s">
        <v>54</v>
      </c>
      <c r="E1044">
        <f t="shared" si="86"/>
        <v>1</v>
      </c>
      <c r="F1044" t="s">
        <v>28</v>
      </c>
      <c r="G1044">
        <v>8</v>
      </c>
      <c r="H1044" s="1">
        <v>90192</v>
      </c>
      <c r="I1044" s="10">
        <v>0.16</v>
      </c>
      <c r="J1044">
        <v>37.5</v>
      </c>
      <c r="K1044" t="s">
        <v>26</v>
      </c>
      <c r="L1044">
        <v>40</v>
      </c>
      <c r="M1044" t="s">
        <v>47</v>
      </c>
      <c r="N1044" t="s">
        <v>42</v>
      </c>
      <c r="O1044" t="s">
        <v>31</v>
      </c>
      <c r="P1044">
        <v>8</v>
      </c>
      <c r="Q1044" t="s">
        <v>36</v>
      </c>
      <c r="R1044" t="s">
        <v>37</v>
      </c>
      <c r="S1044">
        <v>3</v>
      </c>
      <c r="T1044">
        <v>1</v>
      </c>
      <c r="U1044">
        <v>18</v>
      </c>
      <c r="V1044">
        <v>3</v>
      </c>
      <c r="W1044">
        <v>1</v>
      </c>
      <c r="X1044">
        <v>0</v>
      </c>
      <c r="Y1044">
        <v>0</v>
      </c>
      <c r="Z1044">
        <v>0</v>
      </c>
      <c r="AA1044" t="str">
        <f t="shared" si="88"/>
        <v>Early Tenure</v>
      </c>
      <c r="AB1044" s="5">
        <v>45104</v>
      </c>
      <c r="AC1044">
        <f t="shared" si="89"/>
        <v>0</v>
      </c>
      <c r="AD1044" t="s">
        <v>49</v>
      </c>
      <c r="AE1044">
        <f>VLOOKUP(A1044,'Employee Engagement Survey'!A980:B2449,2,FALSE)</f>
        <v>2</v>
      </c>
      <c r="AF1044">
        <f>VLOOKUP(A1044,'Employee Engagement Survey'!A980:C2449,3,FALSE)</f>
        <v>1</v>
      </c>
      <c r="AG1044">
        <f>VLOOKUP(A1044,'Employee Engagement Survey'!A980:D2449,4,FALSE)</f>
        <v>2</v>
      </c>
      <c r="AH1044">
        <f>VLOOKUP(A1044,'Employee Engagement Survey'!A980:E2449,5,FALSE)</f>
        <v>3</v>
      </c>
      <c r="AI1044">
        <f t="shared" si="87"/>
        <v>2</v>
      </c>
    </row>
    <row r="1045" spans="1:35" hidden="1" x14ac:dyDescent="0.4">
      <c r="A1045">
        <v>1438</v>
      </c>
      <c r="B1045" t="s">
        <v>34</v>
      </c>
      <c r="C1045">
        <f t="shared" si="85"/>
        <v>1</v>
      </c>
      <c r="D1045" t="s">
        <v>27</v>
      </c>
      <c r="E1045">
        <f t="shared" si="86"/>
        <v>0</v>
      </c>
      <c r="F1045" t="s">
        <v>28</v>
      </c>
      <c r="G1045">
        <v>6</v>
      </c>
      <c r="H1045" s="1">
        <v>65040</v>
      </c>
      <c r="I1045" s="10">
        <v>0.12</v>
      </c>
      <c r="J1045">
        <v>37.5</v>
      </c>
      <c r="K1045" t="s">
        <v>34</v>
      </c>
      <c r="L1045">
        <v>47</v>
      </c>
      <c r="M1045" t="s">
        <v>29</v>
      </c>
      <c r="N1045" t="s">
        <v>42</v>
      </c>
      <c r="O1045" t="s">
        <v>31</v>
      </c>
      <c r="P1045">
        <v>1</v>
      </c>
      <c r="Q1045" t="s">
        <v>43</v>
      </c>
      <c r="R1045" t="s">
        <v>45</v>
      </c>
      <c r="S1045">
        <v>3</v>
      </c>
      <c r="T1045">
        <v>1</v>
      </c>
      <c r="U1045">
        <v>17</v>
      </c>
      <c r="V1045">
        <v>2</v>
      </c>
      <c r="W1045">
        <v>6</v>
      </c>
      <c r="X1045">
        <v>5</v>
      </c>
      <c r="Y1045">
        <v>1</v>
      </c>
      <c r="Z1045">
        <v>2</v>
      </c>
      <c r="AA1045" t="str">
        <f t="shared" si="88"/>
        <v>Mid Tenure</v>
      </c>
      <c r="AB1045" s="5">
        <v>45123</v>
      </c>
      <c r="AC1045">
        <f t="shared" si="89"/>
        <v>0</v>
      </c>
      <c r="AD1045" t="s">
        <v>38</v>
      </c>
      <c r="AE1045">
        <f>VLOOKUP(A1045,'Employee Engagement Survey'!A981:B2450,2,FALSE)</f>
        <v>1</v>
      </c>
      <c r="AF1045">
        <f>VLOOKUP(A1045,'Employee Engagement Survey'!A981:C2450,3,FALSE)</f>
        <v>4</v>
      </c>
      <c r="AG1045">
        <f>VLOOKUP(A1045,'Employee Engagement Survey'!A981:D2450,4,FALSE)</f>
        <v>3</v>
      </c>
      <c r="AH1045">
        <f>VLOOKUP(A1045,'Employee Engagement Survey'!A981:E2450,5,FALSE)</f>
        <v>2</v>
      </c>
      <c r="AI1045">
        <f t="shared" si="87"/>
        <v>2.5</v>
      </c>
    </row>
    <row r="1046" spans="1:35" hidden="1" x14ac:dyDescent="0.4">
      <c r="A1046">
        <v>523</v>
      </c>
      <c r="B1046" t="s">
        <v>34</v>
      </c>
      <c r="C1046">
        <f t="shared" si="85"/>
        <v>1</v>
      </c>
      <c r="D1046" t="s">
        <v>57</v>
      </c>
      <c r="E1046">
        <f t="shared" si="86"/>
        <v>0</v>
      </c>
      <c r="F1046" t="s">
        <v>40</v>
      </c>
      <c r="G1046">
        <v>8</v>
      </c>
      <c r="H1046" s="1">
        <v>90456</v>
      </c>
      <c r="I1046" s="10">
        <v>0.15</v>
      </c>
      <c r="J1046">
        <v>37.5</v>
      </c>
      <c r="K1046" t="s">
        <v>34</v>
      </c>
      <c r="L1046">
        <v>34</v>
      </c>
      <c r="M1046" t="s">
        <v>47</v>
      </c>
      <c r="N1046" t="s">
        <v>42</v>
      </c>
      <c r="O1046" t="s">
        <v>35</v>
      </c>
      <c r="P1046">
        <v>4</v>
      </c>
      <c r="Q1046" t="s">
        <v>51</v>
      </c>
      <c r="R1046" t="s">
        <v>56</v>
      </c>
      <c r="S1046">
        <v>3</v>
      </c>
      <c r="T1046">
        <v>1</v>
      </c>
      <c r="U1046">
        <v>6</v>
      </c>
      <c r="V1046">
        <v>3</v>
      </c>
      <c r="W1046">
        <v>3</v>
      </c>
      <c r="X1046">
        <v>2</v>
      </c>
      <c r="Y1046">
        <v>1</v>
      </c>
      <c r="Z1046">
        <v>2</v>
      </c>
      <c r="AA1046" t="str">
        <f t="shared" si="88"/>
        <v>Mid Tenure</v>
      </c>
      <c r="AB1046" s="5">
        <v>45331</v>
      </c>
      <c r="AC1046">
        <f t="shared" si="89"/>
        <v>1</v>
      </c>
      <c r="AD1046" t="s">
        <v>38</v>
      </c>
      <c r="AE1046">
        <f>VLOOKUP(A1046,'Employee Engagement Survey'!A982:B2451,2,FALSE)</f>
        <v>3</v>
      </c>
      <c r="AF1046">
        <f>VLOOKUP(A1046,'Employee Engagement Survey'!A982:C2451,3,FALSE)</f>
        <v>3</v>
      </c>
      <c r="AG1046">
        <f>VLOOKUP(A1046,'Employee Engagement Survey'!A982:D2451,4,FALSE)</f>
        <v>1</v>
      </c>
      <c r="AH1046">
        <f>VLOOKUP(A1046,'Employee Engagement Survey'!A982:E2451,5,FALSE)</f>
        <v>3</v>
      </c>
      <c r="AI1046">
        <f t="shared" si="87"/>
        <v>2.5</v>
      </c>
    </row>
    <row r="1047" spans="1:35" hidden="1" x14ac:dyDescent="0.4">
      <c r="A1047">
        <v>347</v>
      </c>
      <c r="B1047" t="s">
        <v>34</v>
      </c>
      <c r="C1047">
        <f t="shared" si="85"/>
        <v>1</v>
      </c>
      <c r="D1047" t="s">
        <v>27</v>
      </c>
      <c r="E1047">
        <f t="shared" si="86"/>
        <v>0</v>
      </c>
      <c r="F1047" t="s">
        <v>28</v>
      </c>
      <c r="G1047">
        <v>8</v>
      </c>
      <c r="H1047" s="1">
        <v>90540</v>
      </c>
      <c r="I1047" s="10">
        <v>0.13</v>
      </c>
      <c r="J1047">
        <v>37.5</v>
      </c>
      <c r="K1047" t="s">
        <v>26</v>
      </c>
      <c r="L1047">
        <v>42</v>
      </c>
      <c r="M1047" t="s">
        <v>47</v>
      </c>
      <c r="N1047" t="s">
        <v>30</v>
      </c>
      <c r="O1047" t="s">
        <v>31</v>
      </c>
      <c r="P1047">
        <v>17</v>
      </c>
      <c r="Q1047" t="s">
        <v>36</v>
      </c>
      <c r="R1047" t="s">
        <v>37</v>
      </c>
      <c r="S1047">
        <v>3</v>
      </c>
      <c r="T1047">
        <v>0</v>
      </c>
      <c r="U1047">
        <v>10</v>
      </c>
      <c r="V1047">
        <v>1</v>
      </c>
      <c r="W1047">
        <v>3</v>
      </c>
      <c r="X1047">
        <v>2</v>
      </c>
      <c r="Y1047">
        <v>0</v>
      </c>
      <c r="Z1047">
        <v>2</v>
      </c>
      <c r="AA1047" t="str">
        <f t="shared" si="88"/>
        <v>Mid Tenure</v>
      </c>
      <c r="AB1047" s="5">
        <v>45249</v>
      </c>
      <c r="AC1047">
        <f t="shared" si="89"/>
        <v>0</v>
      </c>
      <c r="AD1047" t="s">
        <v>38</v>
      </c>
      <c r="AE1047">
        <f>VLOOKUP(A1047,'Employee Engagement Survey'!A984:B2453,2,FALSE)</f>
        <v>4</v>
      </c>
      <c r="AF1047">
        <f>VLOOKUP(A1047,'Employee Engagement Survey'!A984:C2453,3,FALSE)</f>
        <v>1</v>
      </c>
      <c r="AG1047">
        <f>VLOOKUP(A1047,'Employee Engagement Survey'!A984:D2453,4,FALSE)</f>
        <v>3</v>
      </c>
      <c r="AH1047">
        <f>VLOOKUP(A1047,'Employee Engagement Survey'!A984:E2453,5,FALSE)</f>
        <v>3</v>
      </c>
      <c r="AI1047">
        <f t="shared" si="87"/>
        <v>2.75</v>
      </c>
    </row>
    <row r="1048" spans="1:35" hidden="1" x14ac:dyDescent="0.4">
      <c r="A1048">
        <v>1440</v>
      </c>
      <c r="B1048" t="s">
        <v>34</v>
      </c>
      <c r="C1048">
        <f t="shared" si="85"/>
        <v>1</v>
      </c>
      <c r="D1048" t="s">
        <v>46</v>
      </c>
      <c r="E1048">
        <f t="shared" si="86"/>
        <v>0</v>
      </c>
      <c r="F1048" t="s">
        <v>28</v>
      </c>
      <c r="G1048">
        <v>6</v>
      </c>
      <c r="H1048" s="1">
        <v>66000</v>
      </c>
      <c r="I1048" s="10">
        <v>0.14000000000000001</v>
      </c>
      <c r="J1048">
        <v>37.5</v>
      </c>
      <c r="K1048" t="s">
        <v>34</v>
      </c>
      <c r="L1048">
        <v>37</v>
      </c>
      <c r="M1048" t="s">
        <v>29</v>
      </c>
      <c r="N1048" t="s">
        <v>30</v>
      </c>
      <c r="O1048" t="s">
        <v>35</v>
      </c>
      <c r="P1048">
        <v>5</v>
      </c>
      <c r="Q1048" t="s">
        <v>36</v>
      </c>
      <c r="R1048" t="s">
        <v>45</v>
      </c>
      <c r="S1048">
        <v>3</v>
      </c>
      <c r="T1048">
        <v>0</v>
      </c>
      <c r="U1048">
        <v>7</v>
      </c>
      <c r="V1048">
        <v>2</v>
      </c>
      <c r="W1048">
        <v>6</v>
      </c>
      <c r="X1048">
        <v>5</v>
      </c>
      <c r="Y1048">
        <v>1</v>
      </c>
      <c r="Z1048">
        <v>3</v>
      </c>
      <c r="AA1048" t="str">
        <f t="shared" si="88"/>
        <v>Mid Tenure</v>
      </c>
      <c r="AB1048" s="5">
        <v>44890</v>
      </c>
      <c r="AC1048">
        <f t="shared" si="89"/>
        <v>0</v>
      </c>
      <c r="AD1048" t="s">
        <v>49</v>
      </c>
      <c r="AE1048">
        <f>VLOOKUP(A1048,'Employee Engagement Survey'!A985:B2454,2,FALSE)</f>
        <v>3</v>
      </c>
      <c r="AF1048">
        <f>VLOOKUP(A1048,'Employee Engagement Survey'!A985:C2454,3,FALSE)</f>
        <v>3</v>
      </c>
      <c r="AG1048">
        <f>VLOOKUP(A1048,'Employee Engagement Survey'!A985:D2454,4,FALSE)</f>
        <v>1</v>
      </c>
      <c r="AH1048">
        <f>VLOOKUP(A1048,'Employee Engagement Survey'!A985:E2454,5,FALSE)</f>
        <v>1</v>
      </c>
      <c r="AI1048">
        <f t="shared" si="87"/>
        <v>2</v>
      </c>
    </row>
    <row r="1049" spans="1:35" hidden="1" x14ac:dyDescent="0.4">
      <c r="A1049">
        <v>1446</v>
      </c>
      <c r="B1049" t="s">
        <v>34</v>
      </c>
      <c r="C1049">
        <f t="shared" si="85"/>
        <v>1</v>
      </c>
      <c r="D1049" t="s">
        <v>57</v>
      </c>
      <c r="E1049">
        <f t="shared" si="86"/>
        <v>0</v>
      </c>
      <c r="F1049" t="s">
        <v>40</v>
      </c>
      <c r="G1049">
        <v>9</v>
      </c>
      <c r="H1049" s="1">
        <v>122448</v>
      </c>
      <c r="I1049" s="10">
        <v>0.12</v>
      </c>
      <c r="J1049">
        <v>37.5</v>
      </c>
      <c r="K1049" t="s">
        <v>34</v>
      </c>
      <c r="L1049">
        <v>32</v>
      </c>
      <c r="M1049" t="s">
        <v>29</v>
      </c>
      <c r="N1049" t="s">
        <v>42</v>
      </c>
      <c r="O1049" t="s">
        <v>31</v>
      </c>
      <c r="P1049">
        <v>7</v>
      </c>
      <c r="Q1049" t="s">
        <v>58</v>
      </c>
      <c r="R1049" t="s">
        <v>56</v>
      </c>
      <c r="S1049">
        <v>3</v>
      </c>
      <c r="T1049">
        <v>1</v>
      </c>
      <c r="U1049">
        <v>7</v>
      </c>
      <c r="V1049">
        <v>3</v>
      </c>
      <c r="W1049">
        <v>4</v>
      </c>
      <c r="X1049">
        <v>3</v>
      </c>
      <c r="Y1049">
        <v>0</v>
      </c>
      <c r="Z1049">
        <v>3</v>
      </c>
      <c r="AA1049" t="str">
        <f t="shared" si="88"/>
        <v>Mid Tenure</v>
      </c>
      <c r="AB1049" s="5">
        <v>45204</v>
      </c>
      <c r="AC1049">
        <f t="shared" si="89"/>
        <v>0</v>
      </c>
      <c r="AD1049" t="s">
        <v>49</v>
      </c>
      <c r="AE1049">
        <f>VLOOKUP(A1049,'Employee Engagement Survey'!A986:B2455,2,FALSE)</f>
        <v>4</v>
      </c>
      <c r="AF1049">
        <f>VLOOKUP(A1049,'Employee Engagement Survey'!A986:C2455,3,FALSE)</f>
        <v>4</v>
      </c>
      <c r="AG1049">
        <f>VLOOKUP(A1049,'Employee Engagement Survey'!A986:D2455,4,FALSE)</f>
        <v>3</v>
      </c>
      <c r="AH1049">
        <f>VLOOKUP(A1049,'Employee Engagement Survey'!A986:E2455,5,FALSE)</f>
        <v>2</v>
      </c>
      <c r="AI1049">
        <f t="shared" si="87"/>
        <v>3.25</v>
      </c>
    </row>
    <row r="1050" spans="1:35" hidden="1" x14ac:dyDescent="0.4">
      <c r="A1050">
        <v>170</v>
      </c>
      <c r="B1050" t="s">
        <v>34</v>
      </c>
      <c r="C1050">
        <f t="shared" si="85"/>
        <v>1</v>
      </c>
      <c r="D1050" t="s">
        <v>54</v>
      </c>
      <c r="E1050">
        <f t="shared" si="86"/>
        <v>1</v>
      </c>
      <c r="F1050" t="s">
        <v>28</v>
      </c>
      <c r="G1050">
        <v>8</v>
      </c>
      <c r="H1050" s="1">
        <v>90804</v>
      </c>
      <c r="I1050" s="10">
        <v>0.14000000000000001</v>
      </c>
      <c r="J1050">
        <v>37.5</v>
      </c>
      <c r="K1050" t="s">
        <v>34</v>
      </c>
      <c r="L1050">
        <v>49</v>
      </c>
      <c r="M1050" t="s">
        <v>47</v>
      </c>
      <c r="N1050" t="s">
        <v>42</v>
      </c>
      <c r="O1050" t="s">
        <v>31</v>
      </c>
      <c r="P1050">
        <v>20</v>
      </c>
      <c r="Q1050" t="s">
        <v>51</v>
      </c>
      <c r="R1050" t="s">
        <v>33</v>
      </c>
      <c r="S1050">
        <v>3</v>
      </c>
      <c r="T1050">
        <v>0</v>
      </c>
      <c r="U1050">
        <v>16</v>
      </c>
      <c r="V1050">
        <v>2</v>
      </c>
      <c r="W1050">
        <v>15</v>
      </c>
      <c r="X1050">
        <v>11</v>
      </c>
      <c r="Y1050">
        <v>5</v>
      </c>
      <c r="Z1050">
        <v>11</v>
      </c>
      <c r="AA1050" t="str">
        <f t="shared" si="88"/>
        <v>Long Tenure</v>
      </c>
      <c r="AB1050" s="5">
        <v>45782</v>
      </c>
      <c r="AC1050">
        <f t="shared" si="89"/>
        <v>1</v>
      </c>
      <c r="AD1050" t="s">
        <v>38</v>
      </c>
      <c r="AE1050">
        <f>VLOOKUP(A1050,'Employee Engagement Survey'!A987:B2456,2,FALSE)</f>
        <v>3</v>
      </c>
      <c r="AF1050">
        <f>VLOOKUP(A1050,'Employee Engagement Survey'!A987:C2456,3,FALSE)</f>
        <v>1</v>
      </c>
      <c r="AG1050">
        <f>VLOOKUP(A1050,'Employee Engagement Survey'!A987:D2456,4,FALSE)</f>
        <v>3</v>
      </c>
      <c r="AH1050">
        <f>VLOOKUP(A1050,'Employee Engagement Survey'!A987:E2456,5,FALSE)</f>
        <v>2</v>
      </c>
      <c r="AI1050">
        <f t="shared" si="87"/>
        <v>2.25</v>
      </c>
    </row>
    <row r="1051" spans="1:35" hidden="1" x14ac:dyDescent="0.4">
      <c r="A1051">
        <v>533</v>
      </c>
      <c r="B1051" t="s">
        <v>34</v>
      </c>
      <c r="C1051">
        <f t="shared" si="85"/>
        <v>1</v>
      </c>
      <c r="D1051" t="s">
        <v>57</v>
      </c>
      <c r="E1051">
        <f t="shared" si="86"/>
        <v>0</v>
      </c>
      <c r="F1051" t="s">
        <v>40</v>
      </c>
      <c r="G1051">
        <v>8</v>
      </c>
      <c r="H1051" s="1">
        <v>90924</v>
      </c>
      <c r="I1051" s="10">
        <v>0.11</v>
      </c>
      <c r="J1051">
        <v>37.5</v>
      </c>
      <c r="K1051" t="s">
        <v>34</v>
      </c>
      <c r="L1051">
        <v>30</v>
      </c>
      <c r="M1051" t="s">
        <v>47</v>
      </c>
      <c r="N1051" t="s">
        <v>30</v>
      </c>
      <c r="O1051" t="s">
        <v>31</v>
      </c>
      <c r="P1051">
        <v>12</v>
      </c>
      <c r="Q1051" t="s">
        <v>43</v>
      </c>
      <c r="R1051" t="s">
        <v>45</v>
      </c>
      <c r="S1051">
        <v>3</v>
      </c>
      <c r="T1051">
        <v>0</v>
      </c>
      <c r="U1051">
        <v>6</v>
      </c>
      <c r="V1051">
        <v>6</v>
      </c>
      <c r="W1051">
        <v>5</v>
      </c>
      <c r="X1051">
        <v>4</v>
      </c>
      <c r="Y1051">
        <v>4</v>
      </c>
      <c r="Z1051">
        <v>4</v>
      </c>
      <c r="AA1051" t="str">
        <f t="shared" si="88"/>
        <v>Mid Tenure</v>
      </c>
      <c r="AB1051" s="5">
        <v>44918</v>
      </c>
      <c r="AC1051">
        <f t="shared" si="89"/>
        <v>0</v>
      </c>
      <c r="AD1051" t="s">
        <v>49</v>
      </c>
      <c r="AE1051">
        <f>VLOOKUP(A1051,'Employee Engagement Survey'!A988:B2457,2,FALSE)</f>
        <v>2</v>
      </c>
      <c r="AF1051">
        <f>VLOOKUP(A1051,'Employee Engagement Survey'!A988:C2457,3,FALSE)</f>
        <v>3</v>
      </c>
      <c r="AG1051">
        <f>VLOOKUP(A1051,'Employee Engagement Survey'!A988:D2457,4,FALSE)</f>
        <v>2</v>
      </c>
      <c r="AH1051">
        <f>VLOOKUP(A1051,'Employee Engagement Survey'!A988:E2457,5,FALSE)</f>
        <v>3</v>
      </c>
      <c r="AI1051">
        <f t="shared" si="87"/>
        <v>2.5</v>
      </c>
    </row>
    <row r="1052" spans="1:35" hidden="1" x14ac:dyDescent="0.4">
      <c r="A1052">
        <v>1448</v>
      </c>
      <c r="B1052" t="s">
        <v>34</v>
      </c>
      <c r="C1052">
        <f t="shared" si="85"/>
        <v>1</v>
      </c>
      <c r="D1052" t="s">
        <v>27</v>
      </c>
      <c r="E1052">
        <f t="shared" si="86"/>
        <v>0</v>
      </c>
      <c r="F1052" t="s">
        <v>28</v>
      </c>
      <c r="G1052">
        <v>3</v>
      </c>
      <c r="H1052" s="1">
        <v>49524</v>
      </c>
      <c r="I1052" s="10">
        <v>0.12</v>
      </c>
      <c r="J1052">
        <v>37.5</v>
      </c>
      <c r="K1052" t="s">
        <v>26</v>
      </c>
      <c r="L1052">
        <v>41</v>
      </c>
      <c r="M1052" t="s">
        <v>29</v>
      </c>
      <c r="N1052" t="s">
        <v>42</v>
      </c>
      <c r="O1052" t="s">
        <v>31</v>
      </c>
      <c r="P1052">
        <v>5</v>
      </c>
      <c r="Q1052" t="s">
        <v>58</v>
      </c>
      <c r="R1052" t="s">
        <v>33</v>
      </c>
      <c r="S1052">
        <v>3</v>
      </c>
      <c r="T1052">
        <v>0</v>
      </c>
      <c r="U1052">
        <v>7</v>
      </c>
      <c r="V1052">
        <v>5</v>
      </c>
      <c r="W1052">
        <v>4</v>
      </c>
      <c r="X1052">
        <v>2</v>
      </c>
      <c r="Y1052">
        <v>0</v>
      </c>
      <c r="Z1052">
        <v>3</v>
      </c>
      <c r="AA1052" t="str">
        <f t="shared" si="88"/>
        <v>Mid Tenure</v>
      </c>
      <c r="AB1052" s="5">
        <v>45198</v>
      </c>
      <c r="AC1052">
        <f t="shared" si="89"/>
        <v>0</v>
      </c>
      <c r="AD1052" t="s">
        <v>38</v>
      </c>
      <c r="AE1052">
        <f>VLOOKUP(A1052,'Employee Engagement Survey'!A989:B2458,2,FALSE)</f>
        <v>2</v>
      </c>
      <c r="AF1052">
        <f>VLOOKUP(A1052,'Employee Engagement Survey'!A989:C2458,3,FALSE)</f>
        <v>3</v>
      </c>
      <c r="AG1052">
        <f>VLOOKUP(A1052,'Employee Engagement Survey'!A989:D2458,4,FALSE)</f>
        <v>1</v>
      </c>
      <c r="AH1052">
        <f>VLOOKUP(A1052,'Employee Engagement Survey'!A989:E2458,5,FALSE)</f>
        <v>2</v>
      </c>
      <c r="AI1052">
        <f t="shared" si="87"/>
        <v>2</v>
      </c>
    </row>
    <row r="1053" spans="1:35" hidden="1" x14ac:dyDescent="0.4">
      <c r="A1053">
        <v>1449</v>
      </c>
      <c r="B1053" t="s">
        <v>34</v>
      </c>
      <c r="C1053">
        <f t="shared" si="85"/>
        <v>1</v>
      </c>
      <c r="D1053" t="s">
        <v>46</v>
      </c>
      <c r="E1053">
        <f t="shared" si="86"/>
        <v>0</v>
      </c>
      <c r="F1053" t="s">
        <v>28</v>
      </c>
      <c r="G1053">
        <v>7</v>
      </c>
      <c r="H1053" s="1">
        <v>71700</v>
      </c>
      <c r="I1053" s="10">
        <v>0.11</v>
      </c>
      <c r="J1053">
        <v>37.5</v>
      </c>
      <c r="K1053" t="s">
        <v>34</v>
      </c>
      <c r="L1053">
        <v>40</v>
      </c>
      <c r="M1053" t="s">
        <v>29</v>
      </c>
      <c r="N1053" t="s">
        <v>48</v>
      </c>
      <c r="O1053" t="s">
        <v>35</v>
      </c>
      <c r="P1053">
        <v>9</v>
      </c>
      <c r="Q1053" t="s">
        <v>51</v>
      </c>
      <c r="R1053" t="s">
        <v>53</v>
      </c>
      <c r="S1053">
        <v>3</v>
      </c>
      <c r="T1053">
        <v>2</v>
      </c>
      <c r="U1053">
        <v>11</v>
      </c>
      <c r="V1053">
        <v>2</v>
      </c>
      <c r="W1053">
        <v>8</v>
      </c>
      <c r="X1053">
        <v>7</v>
      </c>
      <c r="Y1053">
        <v>0</v>
      </c>
      <c r="Z1053">
        <v>7</v>
      </c>
      <c r="AA1053" t="str">
        <f t="shared" si="88"/>
        <v>Mid Tenure</v>
      </c>
      <c r="AB1053" s="5">
        <v>44755</v>
      </c>
      <c r="AC1053">
        <f t="shared" si="89"/>
        <v>0</v>
      </c>
      <c r="AD1053" t="s">
        <v>38</v>
      </c>
      <c r="AE1053">
        <f>VLOOKUP(A1053,'Employee Engagement Survey'!A990:B2459,2,FALSE)</f>
        <v>3</v>
      </c>
      <c r="AF1053">
        <f>VLOOKUP(A1053,'Employee Engagement Survey'!A990:C2459,3,FALSE)</f>
        <v>3</v>
      </c>
      <c r="AG1053">
        <f>VLOOKUP(A1053,'Employee Engagement Survey'!A990:D2459,4,FALSE)</f>
        <v>3</v>
      </c>
      <c r="AH1053">
        <f>VLOOKUP(A1053,'Employee Engagement Survey'!A990:E2459,5,FALSE)</f>
        <v>4</v>
      </c>
      <c r="AI1053">
        <f t="shared" si="87"/>
        <v>3.25</v>
      </c>
    </row>
    <row r="1054" spans="1:35" hidden="1" x14ac:dyDescent="0.4">
      <c r="A1054">
        <v>1912</v>
      </c>
      <c r="B1054" t="s">
        <v>34</v>
      </c>
      <c r="C1054">
        <f t="shared" si="85"/>
        <v>1</v>
      </c>
      <c r="D1054" t="s">
        <v>57</v>
      </c>
      <c r="E1054">
        <f t="shared" si="86"/>
        <v>0</v>
      </c>
      <c r="F1054" t="s">
        <v>40</v>
      </c>
      <c r="G1054">
        <v>8</v>
      </c>
      <c r="H1054" s="1">
        <v>90996</v>
      </c>
      <c r="I1054" s="10">
        <v>0.11</v>
      </c>
      <c r="J1054">
        <v>37.5</v>
      </c>
      <c r="K1054" t="s">
        <v>26</v>
      </c>
      <c r="L1054">
        <v>31</v>
      </c>
      <c r="M1054" t="s">
        <v>47</v>
      </c>
      <c r="N1054" t="s">
        <v>48</v>
      </c>
      <c r="O1054" t="s">
        <v>31</v>
      </c>
      <c r="P1054">
        <v>10</v>
      </c>
      <c r="Q1054" t="s">
        <v>36</v>
      </c>
      <c r="R1054" t="s">
        <v>33</v>
      </c>
      <c r="S1054">
        <v>3</v>
      </c>
      <c r="T1054">
        <v>1</v>
      </c>
      <c r="U1054">
        <v>8</v>
      </c>
      <c r="V1054">
        <v>2</v>
      </c>
      <c r="W1054">
        <v>5</v>
      </c>
      <c r="X1054">
        <v>2</v>
      </c>
      <c r="Y1054">
        <v>1</v>
      </c>
      <c r="Z1054">
        <v>4</v>
      </c>
      <c r="AA1054" t="str">
        <f t="shared" si="88"/>
        <v>Mid Tenure</v>
      </c>
      <c r="AB1054" s="5">
        <v>44690</v>
      </c>
      <c r="AC1054">
        <f t="shared" si="89"/>
        <v>0</v>
      </c>
      <c r="AD1054" t="s">
        <v>49</v>
      </c>
      <c r="AE1054">
        <f>VLOOKUP(A1054,'Employee Engagement Survey'!A991:B2460,2,FALSE)</f>
        <v>3</v>
      </c>
      <c r="AF1054">
        <f>VLOOKUP(A1054,'Employee Engagement Survey'!A991:C2460,3,FALSE)</f>
        <v>4</v>
      </c>
      <c r="AG1054">
        <f>VLOOKUP(A1054,'Employee Engagement Survey'!A991:D2460,4,FALSE)</f>
        <v>4</v>
      </c>
      <c r="AH1054">
        <f>VLOOKUP(A1054,'Employee Engagement Survey'!A991:E2460,5,FALSE)</f>
        <v>3</v>
      </c>
      <c r="AI1054">
        <f t="shared" si="87"/>
        <v>3.5</v>
      </c>
    </row>
    <row r="1055" spans="1:35" hidden="1" x14ac:dyDescent="0.4">
      <c r="A1055">
        <v>1453</v>
      </c>
      <c r="B1055" t="s">
        <v>34</v>
      </c>
      <c r="C1055">
        <f t="shared" si="85"/>
        <v>1</v>
      </c>
      <c r="D1055" t="s">
        <v>57</v>
      </c>
      <c r="E1055">
        <f t="shared" si="86"/>
        <v>0</v>
      </c>
      <c r="F1055" t="s">
        <v>40</v>
      </c>
      <c r="G1055">
        <v>10</v>
      </c>
      <c r="H1055" s="1">
        <v>141516</v>
      </c>
      <c r="I1055" s="10">
        <v>0.18</v>
      </c>
      <c r="J1055">
        <v>37.5</v>
      </c>
      <c r="K1055" t="s">
        <v>34</v>
      </c>
      <c r="L1055">
        <v>31</v>
      </c>
      <c r="M1055" t="s">
        <v>29</v>
      </c>
      <c r="N1055" t="s">
        <v>48</v>
      </c>
      <c r="O1055" t="s">
        <v>31</v>
      </c>
      <c r="P1055">
        <v>8</v>
      </c>
      <c r="Q1055" t="s">
        <v>36</v>
      </c>
      <c r="R1055" t="s">
        <v>37</v>
      </c>
      <c r="S1055">
        <v>3</v>
      </c>
      <c r="T1055">
        <v>1</v>
      </c>
      <c r="U1055">
        <v>13</v>
      </c>
      <c r="V1055">
        <v>5</v>
      </c>
      <c r="W1055">
        <v>13</v>
      </c>
      <c r="X1055">
        <v>7</v>
      </c>
      <c r="Y1055">
        <v>9</v>
      </c>
      <c r="Z1055">
        <v>9</v>
      </c>
      <c r="AA1055" t="str">
        <f t="shared" si="88"/>
        <v>Long Tenure</v>
      </c>
      <c r="AB1055" s="5">
        <v>45488</v>
      </c>
      <c r="AC1055">
        <f t="shared" si="89"/>
        <v>1</v>
      </c>
      <c r="AD1055" t="s">
        <v>38</v>
      </c>
      <c r="AE1055">
        <f>VLOOKUP(A1055,'Employee Engagement Survey'!A992:B2461,2,FALSE)</f>
        <v>1</v>
      </c>
      <c r="AF1055">
        <f>VLOOKUP(A1055,'Employee Engagement Survey'!A992:C2461,3,FALSE)</f>
        <v>4</v>
      </c>
      <c r="AG1055">
        <f>VLOOKUP(A1055,'Employee Engagement Survey'!A992:D2461,4,FALSE)</f>
        <v>1</v>
      </c>
      <c r="AH1055">
        <f>VLOOKUP(A1055,'Employee Engagement Survey'!A992:E2461,5,FALSE)</f>
        <v>3</v>
      </c>
      <c r="AI1055">
        <f t="shared" si="87"/>
        <v>2.25</v>
      </c>
    </row>
    <row r="1056" spans="1:35" hidden="1" x14ac:dyDescent="0.4">
      <c r="A1056">
        <v>1460</v>
      </c>
      <c r="B1056" t="s">
        <v>34</v>
      </c>
      <c r="C1056">
        <f t="shared" si="85"/>
        <v>1</v>
      </c>
      <c r="D1056" t="s">
        <v>55</v>
      </c>
      <c r="E1056">
        <f t="shared" si="86"/>
        <v>0</v>
      </c>
      <c r="F1056" t="s">
        <v>28</v>
      </c>
      <c r="G1056">
        <v>10</v>
      </c>
      <c r="H1056" s="1">
        <v>142212</v>
      </c>
      <c r="I1056" s="10">
        <v>0.18</v>
      </c>
      <c r="J1056">
        <v>37.5</v>
      </c>
      <c r="K1056" t="s">
        <v>26</v>
      </c>
      <c r="L1056">
        <v>45</v>
      </c>
      <c r="M1056" t="s">
        <v>29</v>
      </c>
      <c r="N1056" t="s">
        <v>48</v>
      </c>
      <c r="O1056" t="s">
        <v>31</v>
      </c>
      <c r="P1056">
        <v>20</v>
      </c>
      <c r="Q1056" t="s">
        <v>43</v>
      </c>
      <c r="R1056" t="s">
        <v>33</v>
      </c>
      <c r="S1056">
        <v>3</v>
      </c>
      <c r="T1056">
        <v>1</v>
      </c>
      <c r="U1056">
        <v>24</v>
      </c>
      <c r="V1056">
        <v>2</v>
      </c>
      <c r="W1056">
        <v>7</v>
      </c>
      <c r="X1056">
        <v>7</v>
      </c>
      <c r="Y1056">
        <v>0</v>
      </c>
      <c r="Z1056">
        <v>7</v>
      </c>
      <c r="AA1056" t="str">
        <f t="shared" si="88"/>
        <v>Mid Tenure</v>
      </c>
      <c r="AB1056" s="5">
        <v>45035</v>
      </c>
      <c r="AC1056">
        <f t="shared" si="89"/>
        <v>0</v>
      </c>
      <c r="AD1056" t="s">
        <v>38</v>
      </c>
      <c r="AE1056">
        <f>VLOOKUP(A1056,'Employee Engagement Survey'!A994:B2463,2,FALSE)</f>
        <v>2</v>
      </c>
      <c r="AF1056">
        <f>VLOOKUP(A1056,'Employee Engagement Survey'!A994:C2463,3,FALSE)</f>
        <v>1</v>
      </c>
      <c r="AG1056">
        <f>VLOOKUP(A1056,'Employee Engagement Survey'!A994:D2463,4,FALSE)</f>
        <v>2</v>
      </c>
      <c r="AH1056">
        <f>VLOOKUP(A1056,'Employee Engagement Survey'!A994:E2463,5,FALSE)</f>
        <v>3</v>
      </c>
      <c r="AI1056">
        <f t="shared" si="87"/>
        <v>2</v>
      </c>
    </row>
    <row r="1057" spans="1:35" hidden="1" x14ac:dyDescent="0.4">
      <c r="A1057">
        <v>1465</v>
      </c>
      <c r="B1057" t="s">
        <v>34</v>
      </c>
      <c r="C1057">
        <f t="shared" si="85"/>
        <v>1</v>
      </c>
      <c r="D1057" t="s">
        <v>54</v>
      </c>
      <c r="E1057">
        <f t="shared" si="86"/>
        <v>1</v>
      </c>
      <c r="F1057" t="s">
        <v>28</v>
      </c>
      <c r="G1057">
        <v>9</v>
      </c>
      <c r="H1057" s="1">
        <v>124560</v>
      </c>
      <c r="I1057" s="10">
        <v>0.18</v>
      </c>
      <c r="J1057">
        <v>37.5</v>
      </c>
      <c r="K1057" t="s">
        <v>26</v>
      </c>
      <c r="L1057">
        <v>45</v>
      </c>
      <c r="M1057" t="s">
        <v>29</v>
      </c>
      <c r="N1057" t="s">
        <v>42</v>
      </c>
      <c r="O1057" t="s">
        <v>31</v>
      </c>
      <c r="P1057">
        <v>29</v>
      </c>
      <c r="Q1057" t="s">
        <v>43</v>
      </c>
      <c r="R1057" t="s">
        <v>45</v>
      </c>
      <c r="S1057">
        <v>3</v>
      </c>
      <c r="T1057">
        <v>2</v>
      </c>
      <c r="U1057">
        <v>10</v>
      </c>
      <c r="V1057">
        <v>4</v>
      </c>
      <c r="W1057">
        <v>3</v>
      </c>
      <c r="X1057">
        <v>1</v>
      </c>
      <c r="Y1057">
        <v>1</v>
      </c>
      <c r="Z1057">
        <v>2</v>
      </c>
      <c r="AA1057" t="str">
        <f t="shared" si="88"/>
        <v>Mid Tenure</v>
      </c>
      <c r="AB1057" s="5">
        <v>45311</v>
      </c>
      <c r="AC1057">
        <f t="shared" si="89"/>
        <v>1</v>
      </c>
      <c r="AD1057" t="s">
        <v>49</v>
      </c>
      <c r="AE1057">
        <f>VLOOKUP(A1057,'Employee Engagement Survey'!A996:B2465,2,FALSE)</f>
        <v>2</v>
      </c>
      <c r="AF1057">
        <f>VLOOKUP(A1057,'Employee Engagement Survey'!A996:C2465,3,FALSE)</f>
        <v>4</v>
      </c>
      <c r="AG1057">
        <f>VLOOKUP(A1057,'Employee Engagement Survey'!A996:D2465,4,FALSE)</f>
        <v>4</v>
      </c>
      <c r="AH1057">
        <f>VLOOKUP(A1057,'Employee Engagement Survey'!A996:E2465,5,FALSE)</f>
        <v>4</v>
      </c>
      <c r="AI1057">
        <f t="shared" si="87"/>
        <v>3.5</v>
      </c>
    </row>
    <row r="1058" spans="1:35" hidden="1" x14ac:dyDescent="0.4">
      <c r="A1058">
        <v>1466</v>
      </c>
      <c r="B1058" t="s">
        <v>34</v>
      </c>
      <c r="C1058">
        <f t="shared" si="85"/>
        <v>1</v>
      </c>
      <c r="D1058" t="s">
        <v>57</v>
      </c>
      <c r="E1058">
        <f t="shared" si="86"/>
        <v>0</v>
      </c>
      <c r="F1058" t="s">
        <v>40</v>
      </c>
      <c r="G1058">
        <v>7</v>
      </c>
      <c r="H1058" s="1">
        <v>77832</v>
      </c>
      <c r="I1058" s="10">
        <v>0.11</v>
      </c>
      <c r="J1058">
        <v>37.5</v>
      </c>
      <c r="K1058" t="s">
        <v>34</v>
      </c>
      <c r="L1058">
        <v>48</v>
      </c>
      <c r="M1058" t="s">
        <v>29</v>
      </c>
      <c r="N1058" t="s">
        <v>48</v>
      </c>
      <c r="O1058" t="s">
        <v>31</v>
      </c>
      <c r="P1058">
        <v>7</v>
      </c>
      <c r="Q1058" t="s">
        <v>43</v>
      </c>
      <c r="R1058" t="s">
        <v>56</v>
      </c>
      <c r="S1058">
        <v>3</v>
      </c>
      <c r="T1058">
        <v>3</v>
      </c>
      <c r="U1058">
        <v>15</v>
      </c>
      <c r="V1058">
        <v>3</v>
      </c>
      <c r="W1058">
        <v>2</v>
      </c>
      <c r="X1058">
        <v>2</v>
      </c>
      <c r="Y1058">
        <v>2</v>
      </c>
      <c r="Z1058">
        <v>2</v>
      </c>
      <c r="AA1058" t="str">
        <f t="shared" si="88"/>
        <v>Early Tenure</v>
      </c>
      <c r="AB1058" s="5">
        <v>44686</v>
      </c>
      <c r="AC1058">
        <f t="shared" si="89"/>
        <v>0</v>
      </c>
      <c r="AD1058" t="s">
        <v>49</v>
      </c>
      <c r="AE1058">
        <f>VLOOKUP(A1058,'Employee Engagement Survey'!A997:B2466,2,FALSE)</f>
        <v>3</v>
      </c>
      <c r="AF1058">
        <f>VLOOKUP(A1058,'Employee Engagement Survey'!A997:C2466,3,FALSE)</f>
        <v>1</v>
      </c>
      <c r="AG1058">
        <f>VLOOKUP(A1058,'Employee Engagement Survey'!A997:D2466,4,FALSE)</f>
        <v>1</v>
      </c>
      <c r="AH1058">
        <f>VLOOKUP(A1058,'Employee Engagement Survey'!A997:E2466,5,FALSE)</f>
        <v>3</v>
      </c>
      <c r="AI1058">
        <f t="shared" si="87"/>
        <v>2</v>
      </c>
    </row>
    <row r="1059" spans="1:35" hidden="1" x14ac:dyDescent="0.4">
      <c r="A1059">
        <v>2045</v>
      </c>
      <c r="B1059" t="s">
        <v>34</v>
      </c>
      <c r="C1059">
        <f t="shared" si="85"/>
        <v>1</v>
      </c>
      <c r="D1059" t="s">
        <v>57</v>
      </c>
      <c r="E1059">
        <f t="shared" si="86"/>
        <v>0</v>
      </c>
      <c r="F1059" t="s">
        <v>40</v>
      </c>
      <c r="G1059">
        <v>8</v>
      </c>
      <c r="H1059" s="1">
        <v>91824</v>
      </c>
      <c r="I1059" s="10">
        <v>0.13</v>
      </c>
      <c r="J1059">
        <v>37.5</v>
      </c>
      <c r="K1059" t="s">
        <v>34</v>
      </c>
      <c r="L1059">
        <v>36</v>
      </c>
      <c r="M1059" t="s">
        <v>47</v>
      </c>
      <c r="N1059" t="s">
        <v>42</v>
      </c>
      <c r="O1059" t="s">
        <v>31</v>
      </c>
      <c r="P1059">
        <v>11</v>
      </c>
      <c r="Q1059" t="s">
        <v>51</v>
      </c>
      <c r="R1059" t="s">
        <v>56</v>
      </c>
      <c r="S1059">
        <v>3</v>
      </c>
      <c r="T1059">
        <v>1</v>
      </c>
      <c r="U1059">
        <v>8</v>
      </c>
      <c r="V1059">
        <v>2</v>
      </c>
      <c r="W1059">
        <v>6</v>
      </c>
      <c r="X1059">
        <v>3</v>
      </c>
      <c r="Y1059">
        <v>0</v>
      </c>
      <c r="Z1059">
        <v>0</v>
      </c>
      <c r="AA1059" t="str">
        <f t="shared" si="88"/>
        <v>Mid Tenure</v>
      </c>
      <c r="AB1059" s="5">
        <v>45025</v>
      </c>
      <c r="AC1059">
        <f t="shared" si="89"/>
        <v>0</v>
      </c>
      <c r="AD1059" t="s">
        <v>49</v>
      </c>
      <c r="AE1059">
        <f>VLOOKUP(A1059,'Employee Engagement Survey'!A998:B2467,2,FALSE)</f>
        <v>2</v>
      </c>
      <c r="AF1059">
        <f>VLOOKUP(A1059,'Employee Engagement Survey'!A998:C2467,3,FALSE)</f>
        <v>4</v>
      </c>
      <c r="AG1059">
        <f>VLOOKUP(A1059,'Employee Engagement Survey'!A998:D2467,4,FALSE)</f>
        <v>1</v>
      </c>
      <c r="AH1059">
        <f>VLOOKUP(A1059,'Employee Engagement Survey'!A998:E2467,5,FALSE)</f>
        <v>2</v>
      </c>
      <c r="AI1059">
        <f t="shared" si="87"/>
        <v>2.25</v>
      </c>
    </row>
    <row r="1060" spans="1:35" hidden="1" x14ac:dyDescent="0.4">
      <c r="A1060">
        <v>479</v>
      </c>
      <c r="B1060" t="s">
        <v>34</v>
      </c>
      <c r="C1060">
        <f t="shared" si="85"/>
        <v>1</v>
      </c>
      <c r="D1060" t="s">
        <v>57</v>
      </c>
      <c r="E1060">
        <f t="shared" si="86"/>
        <v>0</v>
      </c>
      <c r="F1060" t="s">
        <v>40</v>
      </c>
      <c r="G1060">
        <v>8</v>
      </c>
      <c r="H1060" s="1">
        <v>91836</v>
      </c>
      <c r="I1060" s="10">
        <v>0.15</v>
      </c>
      <c r="J1060">
        <v>37.5</v>
      </c>
      <c r="K1060" t="s">
        <v>34</v>
      </c>
      <c r="L1060">
        <v>36</v>
      </c>
      <c r="M1060" t="s">
        <v>47</v>
      </c>
      <c r="N1060" t="s">
        <v>30</v>
      </c>
      <c r="O1060" t="s">
        <v>35</v>
      </c>
      <c r="P1060">
        <v>1</v>
      </c>
      <c r="Q1060" t="s">
        <v>58</v>
      </c>
      <c r="R1060" t="s">
        <v>33</v>
      </c>
      <c r="S1060">
        <v>3</v>
      </c>
      <c r="T1060">
        <v>0</v>
      </c>
      <c r="U1060">
        <v>7</v>
      </c>
      <c r="V1060">
        <v>6</v>
      </c>
      <c r="W1060">
        <v>1</v>
      </c>
      <c r="X1060">
        <v>0</v>
      </c>
      <c r="Y1060">
        <v>0</v>
      </c>
      <c r="Z1060">
        <v>0</v>
      </c>
      <c r="AA1060" t="str">
        <f t="shared" si="88"/>
        <v>Early Tenure</v>
      </c>
      <c r="AB1060" s="5">
        <v>45260</v>
      </c>
      <c r="AC1060">
        <f t="shared" si="89"/>
        <v>0</v>
      </c>
      <c r="AD1060" t="s">
        <v>38</v>
      </c>
      <c r="AE1060">
        <f>VLOOKUP(A1060,'Employee Engagement Survey'!A999:B2468,2,FALSE)</f>
        <v>4</v>
      </c>
      <c r="AF1060">
        <f>VLOOKUP(A1060,'Employee Engagement Survey'!A999:C2468,3,FALSE)</f>
        <v>4</v>
      </c>
      <c r="AG1060">
        <f>VLOOKUP(A1060,'Employee Engagement Survey'!A999:D2468,4,FALSE)</f>
        <v>2</v>
      </c>
      <c r="AH1060">
        <f>VLOOKUP(A1060,'Employee Engagement Survey'!A999:E2468,5,FALSE)</f>
        <v>3</v>
      </c>
      <c r="AI1060">
        <f t="shared" si="87"/>
        <v>3.25</v>
      </c>
    </row>
    <row r="1061" spans="1:35" hidden="1" x14ac:dyDescent="0.4">
      <c r="A1061">
        <v>1955</v>
      </c>
      <c r="B1061" t="s">
        <v>34</v>
      </c>
      <c r="C1061">
        <f t="shared" si="85"/>
        <v>1</v>
      </c>
      <c r="D1061" t="s">
        <v>55</v>
      </c>
      <c r="E1061">
        <f t="shared" si="86"/>
        <v>0</v>
      </c>
      <c r="F1061" t="s">
        <v>28</v>
      </c>
      <c r="G1061">
        <v>8</v>
      </c>
      <c r="H1061" s="1">
        <v>92004</v>
      </c>
      <c r="I1061" s="10">
        <v>0.18</v>
      </c>
      <c r="J1061">
        <v>37.5</v>
      </c>
      <c r="K1061" t="s">
        <v>34</v>
      </c>
      <c r="L1061">
        <v>32</v>
      </c>
      <c r="M1061" t="s">
        <v>47</v>
      </c>
      <c r="N1061" t="s">
        <v>48</v>
      </c>
      <c r="O1061" t="s">
        <v>35</v>
      </c>
      <c r="P1061">
        <v>15</v>
      </c>
      <c r="Q1061" t="s">
        <v>51</v>
      </c>
      <c r="R1061" t="s">
        <v>33</v>
      </c>
      <c r="S1061">
        <v>3</v>
      </c>
      <c r="T1061">
        <v>1</v>
      </c>
      <c r="U1061">
        <v>9</v>
      </c>
      <c r="V1061">
        <v>6</v>
      </c>
      <c r="W1061">
        <v>5</v>
      </c>
      <c r="X1061">
        <v>1</v>
      </c>
      <c r="Y1061">
        <v>1</v>
      </c>
      <c r="Z1061">
        <v>2</v>
      </c>
      <c r="AA1061" t="str">
        <f t="shared" si="88"/>
        <v>Mid Tenure</v>
      </c>
      <c r="AB1061" s="5">
        <v>45284</v>
      </c>
      <c r="AC1061">
        <f t="shared" si="89"/>
        <v>0</v>
      </c>
      <c r="AD1061" t="s">
        <v>38</v>
      </c>
      <c r="AE1061">
        <f>VLOOKUP(A1061,'Employee Engagement Survey'!A1000:B2469,2,FALSE)</f>
        <v>3</v>
      </c>
      <c r="AF1061">
        <f>VLOOKUP(A1061,'Employee Engagement Survey'!A1000:C2469,3,FALSE)</f>
        <v>4</v>
      </c>
      <c r="AG1061">
        <f>VLOOKUP(A1061,'Employee Engagement Survey'!A1000:D2469,4,FALSE)</f>
        <v>2</v>
      </c>
      <c r="AH1061">
        <f>VLOOKUP(A1061,'Employee Engagement Survey'!A1000:E2469,5,FALSE)</f>
        <v>3</v>
      </c>
      <c r="AI1061">
        <f t="shared" si="87"/>
        <v>3</v>
      </c>
    </row>
    <row r="1062" spans="1:35" hidden="1" x14ac:dyDescent="0.4">
      <c r="A1062">
        <v>1468</v>
      </c>
      <c r="B1062" t="s">
        <v>34</v>
      </c>
      <c r="C1062">
        <f t="shared" si="85"/>
        <v>1</v>
      </c>
      <c r="D1062" t="s">
        <v>60</v>
      </c>
      <c r="E1062">
        <f t="shared" si="86"/>
        <v>1</v>
      </c>
      <c r="F1062" t="s">
        <v>28</v>
      </c>
      <c r="G1062">
        <v>3</v>
      </c>
      <c r="H1062" s="1">
        <v>177084</v>
      </c>
      <c r="I1062" s="10">
        <v>0.11</v>
      </c>
      <c r="J1062">
        <v>37.5</v>
      </c>
      <c r="K1062" t="s">
        <v>34</v>
      </c>
      <c r="L1062">
        <v>40</v>
      </c>
      <c r="M1062" t="s">
        <v>29</v>
      </c>
      <c r="N1062" t="s">
        <v>48</v>
      </c>
      <c r="O1062" t="s">
        <v>35</v>
      </c>
      <c r="P1062">
        <v>8</v>
      </c>
      <c r="Q1062" t="s">
        <v>32</v>
      </c>
      <c r="R1062" t="s">
        <v>33</v>
      </c>
      <c r="S1062">
        <v>3</v>
      </c>
      <c r="T1062">
        <v>1</v>
      </c>
      <c r="U1062">
        <v>16</v>
      </c>
      <c r="V1062">
        <v>5</v>
      </c>
      <c r="W1062">
        <v>9</v>
      </c>
      <c r="X1062">
        <v>8</v>
      </c>
      <c r="Y1062">
        <v>4</v>
      </c>
      <c r="Z1062">
        <v>8</v>
      </c>
      <c r="AA1062" t="str">
        <f t="shared" si="88"/>
        <v>Mid Tenure</v>
      </c>
      <c r="AB1062" s="5">
        <v>45364</v>
      </c>
      <c r="AC1062">
        <f t="shared" si="89"/>
        <v>1</v>
      </c>
      <c r="AD1062" t="s">
        <v>38</v>
      </c>
      <c r="AE1062">
        <f>VLOOKUP(A1062,'Employee Engagement Survey'!A1001:B2470,2,FALSE)</f>
        <v>4</v>
      </c>
      <c r="AF1062">
        <f>VLOOKUP(A1062,'Employee Engagement Survey'!A1001:C2470,3,FALSE)</f>
        <v>2</v>
      </c>
      <c r="AG1062">
        <f>VLOOKUP(A1062,'Employee Engagement Survey'!A1001:D2470,4,FALSE)</f>
        <v>3</v>
      </c>
      <c r="AH1062">
        <f>VLOOKUP(A1062,'Employee Engagement Survey'!A1001:E2470,5,FALSE)</f>
        <v>3</v>
      </c>
      <c r="AI1062">
        <f t="shared" si="87"/>
        <v>3</v>
      </c>
    </row>
    <row r="1063" spans="1:35" hidden="1" x14ac:dyDescent="0.4">
      <c r="A1063">
        <v>1315</v>
      </c>
      <c r="B1063" t="s">
        <v>34</v>
      </c>
      <c r="C1063">
        <f t="shared" si="85"/>
        <v>1</v>
      </c>
      <c r="D1063" t="s">
        <v>46</v>
      </c>
      <c r="E1063">
        <f t="shared" si="86"/>
        <v>0</v>
      </c>
      <c r="F1063" t="s">
        <v>28</v>
      </c>
      <c r="G1063">
        <v>8</v>
      </c>
      <c r="H1063" s="1">
        <v>92088</v>
      </c>
      <c r="I1063" s="10">
        <v>0.11</v>
      </c>
      <c r="J1063">
        <v>37.5</v>
      </c>
      <c r="K1063" t="s">
        <v>34</v>
      </c>
      <c r="L1063">
        <v>28</v>
      </c>
      <c r="M1063" t="s">
        <v>47</v>
      </c>
      <c r="N1063" t="s">
        <v>42</v>
      </c>
      <c r="O1063" t="s">
        <v>35</v>
      </c>
      <c r="P1063">
        <v>1</v>
      </c>
      <c r="Q1063" t="s">
        <v>43</v>
      </c>
      <c r="R1063" t="s">
        <v>37</v>
      </c>
      <c r="S1063">
        <v>3</v>
      </c>
      <c r="T1063">
        <v>3</v>
      </c>
      <c r="U1063">
        <v>10</v>
      </c>
      <c r="V1063">
        <v>6</v>
      </c>
      <c r="W1063">
        <v>9</v>
      </c>
      <c r="X1063">
        <v>8</v>
      </c>
      <c r="Y1063">
        <v>7</v>
      </c>
      <c r="Z1063">
        <v>5</v>
      </c>
      <c r="AA1063" t="str">
        <f t="shared" si="88"/>
        <v>Mid Tenure</v>
      </c>
      <c r="AB1063" s="5">
        <v>44590</v>
      </c>
      <c r="AC1063">
        <f t="shared" si="89"/>
        <v>0</v>
      </c>
      <c r="AD1063" t="s">
        <v>38</v>
      </c>
      <c r="AE1063">
        <f>VLOOKUP(A1063,'Employee Engagement Survey'!A1002:B2471,2,FALSE)</f>
        <v>3</v>
      </c>
      <c r="AF1063">
        <f>VLOOKUP(A1063,'Employee Engagement Survey'!A1002:C2471,3,FALSE)</f>
        <v>4</v>
      </c>
      <c r="AG1063">
        <f>VLOOKUP(A1063,'Employee Engagement Survey'!A1002:D2471,4,FALSE)</f>
        <v>1</v>
      </c>
      <c r="AH1063">
        <f>VLOOKUP(A1063,'Employee Engagement Survey'!A1002:E2471,5,FALSE)</f>
        <v>3</v>
      </c>
      <c r="AI1063">
        <f t="shared" si="87"/>
        <v>2.75</v>
      </c>
    </row>
    <row r="1064" spans="1:35" hidden="1" x14ac:dyDescent="0.4">
      <c r="A1064">
        <v>1383</v>
      </c>
      <c r="B1064" t="s">
        <v>34</v>
      </c>
      <c r="C1064">
        <f t="shared" si="85"/>
        <v>1</v>
      </c>
      <c r="D1064" t="s">
        <v>55</v>
      </c>
      <c r="E1064">
        <f t="shared" si="86"/>
        <v>0</v>
      </c>
      <c r="F1064" t="s">
        <v>28</v>
      </c>
      <c r="G1064">
        <v>8</v>
      </c>
      <c r="H1064" s="1">
        <v>92244</v>
      </c>
      <c r="I1064" s="10">
        <v>0.11</v>
      </c>
      <c r="J1064">
        <v>37.5</v>
      </c>
      <c r="K1064" t="s">
        <v>34</v>
      </c>
      <c r="L1064">
        <v>34</v>
      </c>
      <c r="M1064" t="s">
        <v>47</v>
      </c>
      <c r="N1064" t="s">
        <v>30</v>
      </c>
      <c r="O1064" t="s">
        <v>31</v>
      </c>
      <c r="P1064">
        <v>2</v>
      </c>
      <c r="Q1064" t="s">
        <v>51</v>
      </c>
      <c r="R1064" t="s">
        <v>45</v>
      </c>
      <c r="S1064">
        <v>3</v>
      </c>
      <c r="T1064">
        <v>0</v>
      </c>
      <c r="U1064">
        <v>14</v>
      </c>
      <c r="V1064">
        <v>2</v>
      </c>
      <c r="W1064">
        <v>14</v>
      </c>
      <c r="X1064">
        <v>11</v>
      </c>
      <c r="Y1064">
        <v>4</v>
      </c>
      <c r="Z1064">
        <v>11</v>
      </c>
      <c r="AA1064" t="str">
        <f t="shared" si="88"/>
        <v>Long Tenure</v>
      </c>
      <c r="AB1064" s="5">
        <v>45772</v>
      </c>
      <c r="AC1064">
        <f t="shared" si="89"/>
        <v>1</v>
      </c>
      <c r="AD1064" t="s">
        <v>49</v>
      </c>
      <c r="AE1064">
        <f>VLOOKUP(A1064,'Employee Engagement Survey'!A1003:B2472,2,FALSE)</f>
        <v>3</v>
      </c>
      <c r="AF1064">
        <f>VLOOKUP(A1064,'Employee Engagement Survey'!A1003:C2472,3,FALSE)</f>
        <v>4</v>
      </c>
      <c r="AG1064">
        <f>VLOOKUP(A1064,'Employee Engagement Survey'!A1003:D2472,4,FALSE)</f>
        <v>4</v>
      </c>
      <c r="AH1064">
        <f>VLOOKUP(A1064,'Employee Engagement Survey'!A1003:E2472,5,FALSE)</f>
        <v>4</v>
      </c>
      <c r="AI1064">
        <f t="shared" si="87"/>
        <v>3.75</v>
      </c>
    </row>
    <row r="1065" spans="1:35" hidden="1" x14ac:dyDescent="0.4">
      <c r="A1065">
        <v>1105</v>
      </c>
      <c r="B1065" t="s">
        <v>34</v>
      </c>
      <c r="C1065">
        <f t="shared" si="85"/>
        <v>1</v>
      </c>
      <c r="D1065" t="s">
        <v>57</v>
      </c>
      <c r="E1065">
        <f t="shared" si="86"/>
        <v>0</v>
      </c>
      <c r="F1065" t="s">
        <v>40</v>
      </c>
      <c r="G1065">
        <v>8</v>
      </c>
      <c r="H1065" s="1">
        <v>92328</v>
      </c>
      <c r="I1065" s="10">
        <v>0.14000000000000001</v>
      </c>
      <c r="J1065">
        <v>37.5</v>
      </c>
      <c r="K1065" t="s">
        <v>26</v>
      </c>
      <c r="L1065">
        <v>37</v>
      </c>
      <c r="M1065" t="s">
        <v>47</v>
      </c>
      <c r="N1065" t="s">
        <v>48</v>
      </c>
      <c r="O1065" t="s">
        <v>31</v>
      </c>
      <c r="P1065">
        <v>10</v>
      </c>
      <c r="Q1065" t="s">
        <v>51</v>
      </c>
      <c r="R1065" t="s">
        <v>37</v>
      </c>
      <c r="S1065">
        <v>3</v>
      </c>
      <c r="T1065">
        <v>3</v>
      </c>
      <c r="U1065">
        <v>8</v>
      </c>
      <c r="V1065">
        <v>5</v>
      </c>
      <c r="W1065">
        <v>1</v>
      </c>
      <c r="X1065">
        <v>0</v>
      </c>
      <c r="Y1065">
        <v>0</v>
      </c>
      <c r="Z1065">
        <v>0</v>
      </c>
      <c r="AA1065" t="str">
        <f t="shared" si="88"/>
        <v>Early Tenure</v>
      </c>
      <c r="AB1065" s="5">
        <v>45063</v>
      </c>
      <c r="AC1065">
        <f t="shared" si="89"/>
        <v>0</v>
      </c>
      <c r="AD1065" t="s">
        <v>38</v>
      </c>
      <c r="AE1065">
        <f>VLOOKUP(A1065,'Employee Engagement Survey'!A1004:B2473,2,FALSE)</f>
        <v>4</v>
      </c>
      <c r="AF1065">
        <f>VLOOKUP(A1065,'Employee Engagement Survey'!A1004:C2473,3,FALSE)</f>
        <v>4</v>
      </c>
      <c r="AG1065">
        <f>VLOOKUP(A1065,'Employee Engagement Survey'!A1004:D2473,4,FALSE)</f>
        <v>3</v>
      </c>
      <c r="AH1065">
        <f>VLOOKUP(A1065,'Employee Engagement Survey'!A1004:E2473,5,FALSE)</f>
        <v>3</v>
      </c>
      <c r="AI1065">
        <f t="shared" si="87"/>
        <v>3.5</v>
      </c>
    </row>
    <row r="1066" spans="1:35" hidden="1" x14ac:dyDescent="0.4">
      <c r="A1066">
        <v>2035</v>
      </c>
      <c r="B1066" t="s">
        <v>34</v>
      </c>
      <c r="C1066">
        <f t="shared" si="85"/>
        <v>1</v>
      </c>
      <c r="D1066" t="s">
        <v>57</v>
      </c>
      <c r="E1066">
        <f t="shared" si="86"/>
        <v>0</v>
      </c>
      <c r="F1066" t="s">
        <v>40</v>
      </c>
      <c r="G1066">
        <v>8</v>
      </c>
      <c r="H1066" s="1">
        <v>92544</v>
      </c>
      <c r="I1066" s="10">
        <v>0.21</v>
      </c>
      <c r="J1066">
        <v>37.5</v>
      </c>
      <c r="K1066" t="s">
        <v>34</v>
      </c>
      <c r="L1066">
        <v>34</v>
      </c>
      <c r="M1066" t="s">
        <v>47</v>
      </c>
      <c r="N1066" t="s">
        <v>42</v>
      </c>
      <c r="O1066" t="s">
        <v>31</v>
      </c>
      <c r="P1066">
        <v>28</v>
      </c>
      <c r="Q1066" t="s">
        <v>43</v>
      </c>
      <c r="R1066" t="s">
        <v>56</v>
      </c>
      <c r="S1066">
        <v>4</v>
      </c>
      <c r="T1066">
        <v>2</v>
      </c>
      <c r="U1066">
        <v>8</v>
      </c>
      <c r="V1066">
        <v>2</v>
      </c>
      <c r="W1066">
        <v>8</v>
      </c>
      <c r="X1066">
        <v>7</v>
      </c>
      <c r="Y1066">
        <v>1</v>
      </c>
      <c r="Z1066">
        <v>7</v>
      </c>
      <c r="AA1066" t="str">
        <f t="shared" si="88"/>
        <v>Mid Tenure</v>
      </c>
      <c r="AB1066" s="5">
        <v>45049</v>
      </c>
      <c r="AC1066">
        <f t="shared" si="89"/>
        <v>0</v>
      </c>
      <c r="AD1066" t="s">
        <v>38</v>
      </c>
      <c r="AE1066">
        <f>VLOOKUP(A1066,'Employee Engagement Survey'!A1006:B2475,2,FALSE)</f>
        <v>4</v>
      </c>
      <c r="AF1066">
        <f>VLOOKUP(A1066,'Employee Engagement Survey'!A1006:C2475,3,FALSE)</f>
        <v>3</v>
      </c>
      <c r="AG1066">
        <f>VLOOKUP(A1066,'Employee Engagement Survey'!A1006:D2475,4,FALSE)</f>
        <v>4</v>
      </c>
      <c r="AH1066">
        <f>VLOOKUP(A1066,'Employee Engagement Survey'!A1006:E2475,5,FALSE)</f>
        <v>3</v>
      </c>
      <c r="AI1066">
        <f t="shared" si="87"/>
        <v>3.5</v>
      </c>
    </row>
    <row r="1067" spans="1:35" hidden="1" x14ac:dyDescent="0.4">
      <c r="A1067">
        <v>966</v>
      </c>
      <c r="B1067" t="s">
        <v>34</v>
      </c>
      <c r="C1067">
        <f t="shared" si="85"/>
        <v>1</v>
      </c>
      <c r="D1067" t="s">
        <v>54</v>
      </c>
      <c r="E1067">
        <f t="shared" si="86"/>
        <v>1</v>
      </c>
      <c r="F1067" t="s">
        <v>28</v>
      </c>
      <c r="G1067">
        <v>8</v>
      </c>
      <c r="H1067" s="1">
        <v>92700</v>
      </c>
      <c r="I1067" s="10">
        <v>0.12</v>
      </c>
      <c r="J1067">
        <v>37.5</v>
      </c>
      <c r="K1067" t="s">
        <v>34</v>
      </c>
      <c r="L1067">
        <v>32</v>
      </c>
      <c r="M1067" t="s">
        <v>47</v>
      </c>
      <c r="N1067" t="s">
        <v>42</v>
      </c>
      <c r="O1067" t="s">
        <v>31</v>
      </c>
      <c r="P1067">
        <v>3</v>
      </c>
      <c r="Q1067" t="s">
        <v>51</v>
      </c>
      <c r="R1067" t="s">
        <v>33</v>
      </c>
      <c r="S1067">
        <v>3</v>
      </c>
      <c r="T1067">
        <v>1</v>
      </c>
      <c r="U1067">
        <v>8</v>
      </c>
      <c r="V1067">
        <v>2</v>
      </c>
      <c r="W1067">
        <v>8</v>
      </c>
      <c r="X1067">
        <v>7</v>
      </c>
      <c r="Y1067">
        <v>6</v>
      </c>
      <c r="Z1067">
        <v>3</v>
      </c>
      <c r="AA1067" t="str">
        <f t="shared" si="88"/>
        <v>Mid Tenure</v>
      </c>
      <c r="AB1067" s="5">
        <v>45423</v>
      </c>
      <c r="AC1067">
        <f t="shared" si="89"/>
        <v>1</v>
      </c>
      <c r="AD1067" t="s">
        <v>38</v>
      </c>
      <c r="AE1067">
        <f>VLOOKUP(A1067,'Employee Engagement Survey'!A1007:B2476,2,FALSE)</f>
        <v>3</v>
      </c>
      <c r="AF1067">
        <f>VLOOKUP(A1067,'Employee Engagement Survey'!A1007:C2476,3,FALSE)</f>
        <v>1</v>
      </c>
      <c r="AG1067">
        <f>VLOOKUP(A1067,'Employee Engagement Survey'!A1007:D2476,4,FALSE)</f>
        <v>3</v>
      </c>
      <c r="AH1067">
        <f>VLOOKUP(A1067,'Employee Engagement Survey'!A1007:E2476,5,FALSE)</f>
        <v>4</v>
      </c>
      <c r="AI1067">
        <f t="shared" si="87"/>
        <v>2.75</v>
      </c>
    </row>
    <row r="1068" spans="1:35" hidden="1" x14ac:dyDescent="0.4">
      <c r="A1068">
        <v>1469</v>
      </c>
      <c r="B1068" t="s">
        <v>34</v>
      </c>
      <c r="C1068">
        <f t="shared" si="85"/>
        <v>1</v>
      </c>
      <c r="D1068" t="s">
        <v>57</v>
      </c>
      <c r="E1068">
        <f t="shared" si="86"/>
        <v>0</v>
      </c>
      <c r="F1068" t="s">
        <v>40</v>
      </c>
      <c r="G1068">
        <v>9</v>
      </c>
      <c r="H1068" s="1">
        <v>113556</v>
      </c>
      <c r="I1068" s="10">
        <v>0.18</v>
      </c>
      <c r="J1068">
        <v>37.5</v>
      </c>
      <c r="K1068" t="s">
        <v>34</v>
      </c>
      <c r="L1068">
        <v>28</v>
      </c>
      <c r="M1068" t="s">
        <v>29</v>
      </c>
      <c r="N1068" t="s">
        <v>30</v>
      </c>
      <c r="O1068" t="s">
        <v>31</v>
      </c>
      <c r="P1068">
        <v>5</v>
      </c>
      <c r="Q1068" t="s">
        <v>43</v>
      </c>
      <c r="R1068" t="s">
        <v>33</v>
      </c>
      <c r="S1068">
        <v>3</v>
      </c>
      <c r="T1068">
        <v>0</v>
      </c>
      <c r="U1068">
        <v>6</v>
      </c>
      <c r="V1068">
        <v>4</v>
      </c>
      <c r="W1068">
        <v>5</v>
      </c>
      <c r="X1068">
        <v>4</v>
      </c>
      <c r="Y1068">
        <v>1</v>
      </c>
      <c r="Z1068">
        <v>3</v>
      </c>
      <c r="AA1068" t="str">
        <f t="shared" si="88"/>
        <v>Mid Tenure</v>
      </c>
      <c r="AB1068" s="5">
        <v>45293</v>
      </c>
      <c r="AC1068">
        <f t="shared" si="89"/>
        <v>1</v>
      </c>
      <c r="AD1068" t="s">
        <v>38</v>
      </c>
      <c r="AE1068">
        <f>VLOOKUP(A1068,'Employee Engagement Survey'!A1008:B2477,2,FALSE)</f>
        <v>4</v>
      </c>
      <c r="AF1068">
        <f>VLOOKUP(A1068,'Employee Engagement Survey'!A1008:C2477,3,FALSE)</f>
        <v>1</v>
      </c>
      <c r="AG1068">
        <f>VLOOKUP(A1068,'Employee Engagement Survey'!A1008:D2477,4,FALSE)</f>
        <v>4</v>
      </c>
      <c r="AH1068">
        <f>VLOOKUP(A1068,'Employee Engagement Survey'!A1008:E2477,5,FALSE)</f>
        <v>3</v>
      </c>
      <c r="AI1068">
        <f t="shared" si="87"/>
        <v>3</v>
      </c>
    </row>
    <row r="1069" spans="1:35" hidden="1" x14ac:dyDescent="0.4">
      <c r="A1069">
        <v>1471</v>
      </c>
      <c r="B1069" t="s">
        <v>34</v>
      </c>
      <c r="C1069">
        <f t="shared" si="85"/>
        <v>1</v>
      </c>
      <c r="D1069" t="s">
        <v>46</v>
      </c>
      <c r="E1069">
        <f t="shared" si="86"/>
        <v>0</v>
      </c>
      <c r="F1069" t="s">
        <v>28</v>
      </c>
      <c r="G1069">
        <v>6</v>
      </c>
      <c r="H1069" s="1">
        <v>61944</v>
      </c>
      <c r="I1069" s="10">
        <v>0.14000000000000001</v>
      </c>
      <c r="J1069">
        <v>37.5</v>
      </c>
      <c r="K1069" t="s">
        <v>34</v>
      </c>
      <c r="L1069">
        <v>44</v>
      </c>
      <c r="M1069" t="s">
        <v>29</v>
      </c>
      <c r="N1069" t="s">
        <v>30</v>
      </c>
      <c r="O1069" t="s">
        <v>35</v>
      </c>
      <c r="P1069">
        <v>5</v>
      </c>
      <c r="Q1069" t="s">
        <v>43</v>
      </c>
      <c r="R1069" t="s">
        <v>37</v>
      </c>
      <c r="S1069">
        <v>3</v>
      </c>
      <c r="T1069">
        <v>0</v>
      </c>
      <c r="U1069">
        <v>7</v>
      </c>
      <c r="V1069">
        <v>5</v>
      </c>
      <c r="W1069">
        <v>5</v>
      </c>
      <c r="X1069">
        <v>2</v>
      </c>
      <c r="Y1069">
        <v>0</v>
      </c>
      <c r="Z1069">
        <v>3</v>
      </c>
      <c r="AA1069" t="str">
        <f t="shared" si="88"/>
        <v>Mid Tenure</v>
      </c>
      <c r="AB1069" s="5">
        <v>45019</v>
      </c>
      <c r="AC1069">
        <f t="shared" si="89"/>
        <v>0</v>
      </c>
      <c r="AD1069" t="s">
        <v>49</v>
      </c>
      <c r="AE1069">
        <f>VLOOKUP(A1069,'Employee Engagement Survey'!A1009:B2478,2,FALSE)</f>
        <v>3</v>
      </c>
      <c r="AF1069">
        <f>VLOOKUP(A1069,'Employee Engagement Survey'!A1009:C2478,3,FALSE)</f>
        <v>3</v>
      </c>
      <c r="AG1069">
        <f>VLOOKUP(A1069,'Employee Engagement Survey'!A1009:D2478,4,FALSE)</f>
        <v>4</v>
      </c>
      <c r="AH1069">
        <f>VLOOKUP(A1069,'Employee Engagement Survey'!A1009:E2478,5,FALSE)</f>
        <v>3</v>
      </c>
      <c r="AI1069">
        <f t="shared" si="87"/>
        <v>3.25</v>
      </c>
    </row>
    <row r="1070" spans="1:35" hidden="1" x14ac:dyDescent="0.4">
      <c r="A1070">
        <v>1472</v>
      </c>
      <c r="B1070" t="s">
        <v>34</v>
      </c>
      <c r="C1070">
        <f t="shared" si="85"/>
        <v>1</v>
      </c>
      <c r="D1070" t="s">
        <v>60</v>
      </c>
      <c r="E1070">
        <f t="shared" si="86"/>
        <v>1</v>
      </c>
      <c r="F1070" t="s">
        <v>28</v>
      </c>
      <c r="G1070">
        <v>4</v>
      </c>
      <c r="H1070" s="1">
        <v>211176</v>
      </c>
      <c r="I1070" s="10">
        <v>0.12</v>
      </c>
      <c r="J1070">
        <v>37.5</v>
      </c>
      <c r="K1070" t="s">
        <v>34</v>
      </c>
      <c r="L1070">
        <v>53</v>
      </c>
      <c r="M1070" t="s">
        <v>29</v>
      </c>
      <c r="N1070" t="s">
        <v>30</v>
      </c>
      <c r="O1070" t="s">
        <v>31</v>
      </c>
      <c r="P1070">
        <v>2</v>
      </c>
      <c r="Q1070" t="s">
        <v>43</v>
      </c>
      <c r="R1070" t="s">
        <v>33</v>
      </c>
      <c r="S1070">
        <v>3</v>
      </c>
      <c r="T1070">
        <v>0</v>
      </c>
      <c r="U1070">
        <v>35</v>
      </c>
      <c r="V1070">
        <v>2</v>
      </c>
      <c r="W1070">
        <v>9</v>
      </c>
      <c r="X1070">
        <v>8</v>
      </c>
      <c r="Y1070">
        <v>8</v>
      </c>
      <c r="Z1070">
        <v>8</v>
      </c>
      <c r="AA1070" t="str">
        <f t="shared" si="88"/>
        <v>Mid Tenure</v>
      </c>
      <c r="AB1070" s="5">
        <v>44816</v>
      </c>
      <c r="AC1070">
        <f t="shared" si="89"/>
        <v>0</v>
      </c>
      <c r="AD1070" t="s">
        <v>38</v>
      </c>
      <c r="AE1070">
        <f>VLOOKUP(A1070,'Employee Engagement Survey'!A1010:B2479,2,FALSE)</f>
        <v>4</v>
      </c>
      <c r="AF1070">
        <f>VLOOKUP(A1070,'Employee Engagement Survey'!A1010:C2479,3,FALSE)</f>
        <v>2</v>
      </c>
      <c r="AG1070">
        <f>VLOOKUP(A1070,'Employee Engagement Survey'!A1010:D2479,4,FALSE)</f>
        <v>2</v>
      </c>
      <c r="AH1070">
        <f>VLOOKUP(A1070,'Employee Engagement Survey'!A1010:E2479,5,FALSE)</f>
        <v>2</v>
      </c>
      <c r="AI1070">
        <f t="shared" si="87"/>
        <v>2.5</v>
      </c>
    </row>
    <row r="1071" spans="1:35" hidden="1" x14ac:dyDescent="0.4">
      <c r="A1071">
        <v>1473</v>
      </c>
      <c r="B1071" t="s">
        <v>34</v>
      </c>
      <c r="C1071">
        <f t="shared" si="85"/>
        <v>1</v>
      </c>
      <c r="D1071" t="s">
        <v>55</v>
      </c>
      <c r="E1071">
        <f t="shared" si="86"/>
        <v>0</v>
      </c>
      <c r="F1071" t="s">
        <v>28</v>
      </c>
      <c r="G1071">
        <v>8</v>
      </c>
      <c r="H1071" s="1">
        <v>91812</v>
      </c>
      <c r="I1071" s="10">
        <v>0.14000000000000001</v>
      </c>
      <c r="J1071">
        <v>37.5</v>
      </c>
      <c r="K1071" t="s">
        <v>34</v>
      </c>
      <c r="L1071">
        <v>49</v>
      </c>
      <c r="M1071" t="s">
        <v>29</v>
      </c>
      <c r="N1071" t="s">
        <v>42</v>
      </c>
      <c r="O1071" t="s">
        <v>31</v>
      </c>
      <c r="P1071">
        <v>5</v>
      </c>
      <c r="Q1071" t="s">
        <v>51</v>
      </c>
      <c r="R1071" t="s">
        <v>45</v>
      </c>
      <c r="S1071">
        <v>3</v>
      </c>
      <c r="T1071">
        <v>1</v>
      </c>
      <c r="U1071">
        <v>20</v>
      </c>
      <c r="V1071">
        <v>0</v>
      </c>
      <c r="W1071">
        <v>3</v>
      </c>
      <c r="X1071">
        <v>2</v>
      </c>
      <c r="Y1071">
        <v>1</v>
      </c>
      <c r="Z1071">
        <v>2</v>
      </c>
      <c r="AA1071" t="str">
        <f t="shared" si="88"/>
        <v>Mid Tenure</v>
      </c>
      <c r="AB1071" s="5">
        <v>45042</v>
      </c>
      <c r="AC1071">
        <f t="shared" si="89"/>
        <v>0</v>
      </c>
      <c r="AD1071" t="s">
        <v>49</v>
      </c>
      <c r="AE1071">
        <f>VLOOKUP(A1071,'Employee Engagement Survey'!A1011:B2480,2,FALSE)</f>
        <v>1</v>
      </c>
      <c r="AF1071">
        <f>VLOOKUP(A1071,'Employee Engagement Survey'!A1011:C2480,3,FALSE)</f>
        <v>3</v>
      </c>
      <c r="AG1071">
        <f>VLOOKUP(A1071,'Employee Engagement Survey'!A1011:D2480,4,FALSE)</f>
        <v>2</v>
      </c>
      <c r="AH1071">
        <f>VLOOKUP(A1071,'Employee Engagement Survey'!A1011:E2480,5,FALSE)</f>
        <v>2</v>
      </c>
      <c r="AI1071">
        <f t="shared" si="87"/>
        <v>2</v>
      </c>
    </row>
    <row r="1072" spans="1:35" hidden="1" x14ac:dyDescent="0.4">
      <c r="A1072">
        <v>1474</v>
      </c>
      <c r="B1072" t="s">
        <v>34</v>
      </c>
      <c r="C1072">
        <f t="shared" si="85"/>
        <v>1</v>
      </c>
      <c r="D1072" t="s">
        <v>27</v>
      </c>
      <c r="E1072">
        <f t="shared" si="86"/>
        <v>0</v>
      </c>
      <c r="F1072" t="s">
        <v>28</v>
      </c>
      <c r="G1072">
        <v>4</v>
      </c>
      <c r="H1072" s="1">
        <v>52140</v>
      </c>
      <c r="I1072" s="10">
        <v>0.14000000000000001</v>
      </c>
      <c r="J1072">
        <v>37.5</v>
      </c>
      <c r="K1072" t="s">
        <v>34</v>
      </c>
      <c r="L1072">
        <v>40</v>
      </c>
      <c r="M1072" t="s">
        <v>29</v>
      </c>
      <c r="N1072" t="s">
        <v>48</v>
      </c>
      <c r="O1072" t="s">
        <v>31</v>
      </c>
      <c r="P1072">
        <v>2</v>
      </c>
      <c r="Q1072" t="s">
        <v>43</v>
      </c>
      <c r="R1072" t="s">
        <v>33</v>
      </c>
      <c r="S1072">
        <v>3</v>
      </c>
      <c r="T1072">
        <v>1</v>
      </c>
      <c r="U1072">
        <v>8</v>
      </c>
      <c r="V1072">
        <v>3</v>
      </c>
      <c r="W1072">
        <v>3</v>
      </c>
      <c r="X1072">
        <v>1</v>
      </c>
      <c r="Y1072">
        <v>1</v>
      </c>
      <c r="Z1072">
        <v>2</v>
      </c>
      <c r="AA1072" t="str">
        <f t="shared" si="88"/>
        <v>Mid Tenure</v>
      </c>
      <c r="AB1072" s="5">
        <v>45037</v>
      </c>
      <c r="AC1072">
        <f t="shared" si="89"/>
        <v>0</v>
      </c>
      <c r="AD1072" t="s">
        <v>49</v>
      </c>
      <c r="AE1072">
        <f>VLOOKUP(A1072,'Employee Engagement Survey'!A1012:B2481,2,FALSE)</f>
        <v>3</v>
      </c>
      <c r="AF1072">
        <f>VLOOKUP(A1072,'Employee Engagement Survey'!A1012:C2481,3,FALSE)</f>
        <v>3</v>
      </c>
      <c r="AG1072">
        <f>VLOOKUP(A1072,'Employee Engagement Survey'!A1012:D2481,4,FALSE)</f>
        <v>3</v>
      </c>
      <c r="AH1072">
        <f>VLOOKUP(A1072,'Employee Engagement Survey'!A1012:E2481,5,FALSE)</f>
        <v>4</v>
      </c>
      <c r="AI1072">
        <f t="shared" si="87"/>
        <v>3.25</v>
      </c>
    </row>
    <row r="1073" spans="1:35" hidden="1" x14ac:dyDescent="0.4">
      <c r="A1073">
        <v>1475</v>
      </c>
      <c r="B1073" t="s">
        <v>34</v>
      </c>
      <c r="C1073">
        <f t="shared" si="85"/>
        <v>1</v>
      </c>
      <c r="D1073" t="s">
        <v>27</v>
      </c>
      <c r="E1073">
        <f t="shared" si="86"/>
        <v>0</v>
      </c>
      <c r="F1073" t="s">
        <v>28</v>
      </c>
      <c r="G1073">
        <v>6</v>
      </c>
      <c r="H1073" s="1">
        <v>65040</v>
      </c>
      <c r="I1073" s="10">
        <v>0.13</v>
      </c>
      <c r="J1073">
        <v>37.5</v>
      </c>
      <c r="K1073" t="s">
        <v>34</v>
      </c>
      <c r="L1073">
        <v>44</v>
      </c>
      <c r="M1073" t="s">
        <v>29</v>
      </c>
      <c r="N1073" t="s">
        <v>30</v>
      </c>
      <c r="O1073" t="s">
        <v>31</v>
      </c>
      <c r="P1073">
        <v>20</v>
      </c>
      <c r="Q1073" t="s">
        <v>43</v>
      </c>
      <c r="R1073" t="s">
        <v>37</v>
      </c>
      <c r="S1073">
        <v>3</v>
      </c>
      <c r="T1073">
        <v>0</v>
      </c>
      <c r="U1073">
        <v>6</v>
      </c>
      <c r="V1073">
        <v>3</v>
      </c>
      <c r="W1073">
        <v>5</v>
      </c>
      <c r="X1073">
        <v>2</v>
      </c>
      <c r="Y1073">
        <v>1</v>
      </c>
      <c r="Z1073">
        <v>3</v>
      </c>
      <c r="AA1073" t="str">
        <f t="shared" si="88"/>
        <v>Mid Tenure</v>
      </c>
      <c r="AB1073" s="5">
        <v>45892</v>
      </c>
      <c r="AC1073">
        <f t="shared" si="89"/>
        <v>1</v>
      </c>
      <c r="AD1073" t="s">
        <v>38</v>
      </c>
      <c r="AE1073">
        <f>VLOOKUP(A1073,'Employee Engagement Survey'!A1013:B2482,2,FALSE)</f>
        <v>4</v>
      </c>
      <c r="AF1073">
        <f>VLOOKUP(A1073,'Employee Engagement Survey'!A1013:C2482,3,FALSE)</f>
        <v>2</v>
      </c>
      <c r="AG1073">
        <f>VLOOKUP(A1073,'Employee Engagement Survey'!A1013:D2482,4,FALSE)</f>
        <v>3</v>
      </c>
      <c r="AH1073">
        <f>VLOOKUP(A1073,'Employee Engagement Survey'!A1013:E2482,5,FALSE)</f>
        <v>2</v>
      </c>
      <c r="AI1073">
        <f t="shared" si="87"/>
        <v>2.75</v>
      </c>
    </row>
    <row r="1074" spans="1:35" hidden="1" x14ac:dyDescent="0.4">
      <c r="A1074">
        <v>1477</v>
      </c>
      <c r="B1074" t="s">
        <v>34</v>
      </c>
      <c r="C1074">
        <f t="shared" ref="C1074:C1137" si="90">IF(B1074="No",1,0)</f>
        <v>1</v>
      </c>
      <c r="D1074" t="s">
        <v>57</v>
      </c>
      <c r="E1074">
        <f t="shared" si="86"/>
        <v>0</v>
      </c>
      <c r="F1074" t="s">
        <v>40</v>
      </c>
      <c r="G1074">
        <v>6</v>
      </c>
      <c r="H1074" s="1">
        <v>64476</v>
      </c>
      <c r="I1074" s="10">
        <v>0.14000000000000001</v>
      </c>
      <c r="J1074">
        <v>37.5</v>
      </c>
      <c r="K1074" t="s">
        <v>34</v>
      </c>
      <c r="L1074">
        <v>33</v>
      </c>
      <c r="M1074" t="s">
        <v>29</v>
      </c>
      <c r="N1074" t="s">
        <v>42</v>
      </c>
      <c r="O1074" t="s">
        <v>44</v>
      </c>
      <c r="P1074">
        <v>7</v>
      </c>
      <c r="Q1074" t="s">
        <v>43</v>
      </c>
      <c r="R1074" t="s">
        <v>33</v>
      </c>
      <c r="S1074">
        <v>3</v>
      </c>
      <c r="T1074">
        <v>2</v>
      </c>
      <c r="U1074">
        <v>5</v>
      </c>
      <c r="V1074">
        <v>2</v>
      </c>
      <c r="W1074">
        <v>4</v>
      </c>
      <c r="X1074">
        <v>3</v>
      </c>
      <c r="Y1074">
        <v>0</v>
      </c>
      <c r="Z1074">
        <v>3</v>
      </c>
      <c r="AA1074" t="str">
        <f t="shared" si="88"/>
        <v>Mid Tenure</v>
      </c>
      <c r="AB1074" s="5">
        <v>46016</v>
      </c>
      <c r="AC1074">
        <f t="shared" si="89"/>
        <v>1</v>
      </c>
      <c r="AD1074" t="s">
        <v>49</v>
      </c>
      <c r="AE1074">
        <f>VLOOKUP(A1074,'Employee Engagement Survey'!A1014:B2483,2,FALSE)</f>
        <v>4</v>
      </c>
      <c r="AF1074">
        <f>VLOOKUP(A1074,'Employee Engagement Survey'!A1014:C2483,3,FALSE)</f>
        <v>1</v>
      </c>
      <c r="AG1074">
        <f>VLOOKUP(A1074,'Employee Engagement Survey'!A1014:D2483,4,FALSE)</f>
        <v>1</v>
      </c>
      <c r="AH1074">
        <f>VLOOKUP(A1074,'Employee Engagement Survey'!A1014:E2483,5,FALSE)</f>
        <v>3</v>
      </c>
      <c r="AI1074">
        <f t="shared" si="87"/>
        <v>2.25</v>
      </c>
    </row>
    <row r="1075" spans="1:35" hidden="1" x14ac:dyDescent="0.4">
      <c r="A1075">
        <v>1478</v>
      </c>
      <c r="B1075" t="s">
        <v>34</v>
      </c>
      <c r="C1075">
        <f t="shared" si="90"/>
        <v>1</v>
      </c>
      <c r="D1075" t="s">
        <v>57</v>
      </c>
      <c r="E1075">
        <f t="shared" si="86"/>
        <v>0</v>
      </c>
      <c r="F1075" t="s">
        <v>40</v>
      </c>
      <c r="G1075">
        <v>6</v>
      </c>
      <c r="H1075" s="1">
        <v>69108</v>
      </c>
      <c r="I1075" s="10">
        <v>0.18</v>
      </c>
      <c r="J1075">
        <v>37.5</v>
      </c>
      <c r="K1075" t="s">
        <v>34</v>
      </c>
      <c r="L1075">
        <v>34</v>
      </c>
      <c r="M1075" t="s">
        <v>29</v>
      </c>
      <c r="N1075" t="s">
        <v>30</v>
      </c>
      <c r="O1075" t="s">
        <v>31</v>
      </c>
      <c r="P1075">
        <v>3</v>
      </c>
      <c r="Q1075" t="s">
        <v>43</v>
      </c>
      <c r="R1075" t="s">
        <v>53</v>
      </c>
      <c r="S1075">
        <v>3</v>
      </c>
      <c r="T1075">
        <v>0</v>
      </c>
      <c r="U1075">
        <v>15</v>
      </c>
      <c r="V1075">
        <v>2</v>
      </c>
      <c r="W1075">
        <v>13</v>
      </c>
      <c r="X1075">
        <v>9</v>
      </c>
      <c r="Y1075">
        <v>3</v>
      </c>
      <c r="Z1075">
        <v>12</v>
      </c>
      <c r="AA1075" t="str">
        <f t="shared" si="88"/>
        <v>Long Tenure</v>
      </c>
      <c r="AB1075" s="5">
        <v>45814</v>
      </c>
      <c r="AC1075">
        <f t="shared" si="89"/>
        <v>1</v>
      </c>
      <c r="AD1075" t="s">
        <v>49</v>
      </c>
      <c r="AE1075">
        <f>VLOOKUP(A1075,'Employee Engagement Survey'!A1015:B2484,2,FALSE)</f>
        <v>4</v>
      </c>
      <c r="AF1075">
        <f>VLOOKUP(A1075,'Employee Engagement Survey'!A1015:C2484,3,FALSE)</f>
        <v>1</v>
      </c>
      <c r="AG1075">
        <f>VLOOKUP(A1075,'Employee Engagement Survey'!A1015:D2484,4,FALSE)</f>
        <v>4</v>
      </c>
      <c r="AH1075">
        <f>VLOOKUP(A1075,'Employee Engagement Survey'!A1015:E2484,5,FALSE)</f>
        <v>3</v>
      </c>
      <c r="AI1075">
        <f t="shared" si="87"/>
        <v>3</v>
      </c>
    </row>
    <row r="1076" spans="1:35" hidden="1" x14ac:dyDescent="0.4">
      <c r="A1076">
        <v>1479</v>
      </c>
      <c r="B1076" t="s">
        <v>34</v>
      </c>
      <c r="C1076">
        <f t="shared" si="90"/>
        <v>1</v>
      </c>
      <c r="D1076" t="s">
        <v>57</v>
      </c>
      <c r="E1076">
        <f t="shared" si="86"/>
        <v>0</v>
      </c>
      <c r="F1076" t="s">
        <v>40</v>
      </c>
      <c r="G1076">
        <v>7</v>
      </c>
      <c r="H1076" s="1">
        <v>75612</v>
      </c>
      <c r="I1076" s="10">
        <v>0.15</v>
      </c>
      <c r="J1076">
        <v>37.5</v>
      </c>
      <c r="K1076" t="s">
        <v>34</v>
      </c>
      <c r="L1076">
        <v>30</v>
      </c>
      <c r="M1076" t="s">
        <v>29</v>
      </c>
      <c r="N1076" t="s">
        <v>42</v>
      </c>
      <c r="O1076" t="s">
        <v>31</v>
      </c>
      <c r="P1076">
        <v>16</v>
      </c>
      <c r="Q1076" t="s">
        <v>32</v>
      </c>
      <c r="R1076" t="s">
        <v>37</v>
      </c>
      <c r="S1076">
        <v>3</v>
      </c>
      <c r="T1076">
        <v>2</v>
      </c>
      <c r="U1076">
        <v>4</v>
      </c>
      <c r="V1076">
        <v>2</v>
      </c>
      <c r="W1076">
        <v>2</v>
      </c>
      <c r="X1076">
        <v>1</v>
      </c>
      <c r="Y1076">
        <v>2</v>
      </c>
      <c r="Z1076">
        <v>2</v>
      </c>
      <c r="AA1076" t="str">
        <f t="shared" si="88"/>
        <v>Early Tenure</v>
      </c>
      <c r="AB1076" s="5">
        <v>45515</v>
      </c>
      <c r="AC1076">
        <f t="shared" si="89"/>
        <v>1</v>
      </c>
      <c r="AD1076" t="s">
        <v>38</v>
      </c>
      <c r="AE1076">
        <f>VLOOKUP(A1076,'Employee Engagement Survey'!A1016:B2485,2,FALSE)</f>
        <v>4</v>
      </c>
      <c r="AF1076">
        <f>VLOOKUP(A1076,'Employee Engagement Survey'!A1016:C2485,3,FALSE)</f>
        <v>3</v>
      </c>
      <c r="AG1076">
        <f>VLOOKUP(A1076,'Employee Engagement Survey'!A1016:D2485,4,FALSE)</f>
        <v>3</v>
      </c>
      <c r="AH1076">
        <f>VLOOKUP(A1076,'Employee Engagement Survey'!A1016:E2485,5,FALSE)</f>
        <v>2</v>
      </c>
      <c r="AI1076">
        <f t="shared" si="87"/>
        <v>3</v>
      </c>
    </row>
    <row r="1077" spans="1:35" hidden="1" x14ac:dyDescent="0.4">
      <c r="A1077">
        <v>616</v>
      </c>
      <c r="B1077" t="s">
        <v>34</v>
      </c>
      <c r="C1077">
        <f t="shared" si="90"/>
        <v>1</v>
      </c>
      <c r="D1077" t="s">
        <v>55</v>
      </c>
      <c r="E1077">
        <f t="shared" si="86"/>
        <v>0</v>
      </c>
      <c r="F1077" t="s">
        <v>28</v>
      </c>
      <c r="G1077">
        <v>8</v>
      </c>
      <c r="H1077" s="1">
        <v>93732</v>
      </c>
      <c r="I1077" s="10">
        <v>0.17</v>
      </c>
      <c r="J1077">
        <v>37.5</v>
      </c>
      <c r="K1077" t="s">
        <v>26</v>
      </c>
      <c r="L1077">
        <v>41</v>
      </c>
      <c r="M1077" t="s">
        <v>47</v>
      </c>
      <c r="N1077" t="s">
        <v>30</v>
      </c>
      <c r="O1077" t="s">
        <v>35</v>
      </c>
      <c r="P1077">
        <v>2</v>
      </c>
      <c r="Q1077" t="s">
        <v>51</v>
      </c>
      <c r="R1077" t="s">
        <v>53</v>
      </c>
      <c r="S1077">
        <v>3</v>
      </c>
      <c r="T1077">
        <v>0</v>
      </c>
      <c r="U1077">
        <v>10</v>
      </c>
      <c r="V1077">
        <v>3</v>
      </c>
      <c r="W1077">
        <v>8</v>
      </c>
      <c r="X1077">
        <v>7</v>
      </c>
      <c r="Y1077">
        <v>0</v>
      </c>
      <c r="Z1077">
        <v>7</v>
      </c>
      <c r="AA1077" t="str">
        <f t="shared" si="88"/>
        <v>Mid Tenure</v>
      </c>
      <c r="AB1077" s="5">
        <v>44856</v>
      </c>
      <c r="AC1077">
        <f t="shared" si="89"/>
        <v>0</v>
      </c>
      <c r="AD1077" t="s">
        <v>38</v>
      </c>
      <c r="AE1077">
        <f>VLOOKUP(A1077,'Employee Engagement Survey'!A1017:B2486,2,FALSE)</f>
        <v>1</v>
      </c>
      <c r="AF1077">
        <f>VLOOKUP(A1077,'Employee Engagement Survey'!A1017:C2486,3,FALSE)</f>
        <v>3</v>
      </c>
      <c r="AG1077">
        <f>VLOOKUP(A1077,'Employee Engagement Survey'!A1017:D2486,4,FALSE)</f>
        <v>1</v>
      </c>
      <c r="AH1077">
        <f>VLOOKUP(A1077,'Employee Engagement Survey'!A1017:E2486,5,FALSE)</f>
        <v>3</v>
      </c>
      <c r="AI1077">
        <f t="shared" si="87"/>
        <v>2</v>
      </c>
    </row>
    <row r="1078" spans="1:35" hidden="1" x14ac:dyDescent="0.4">
      <c r="A1078">
        <v>764</v>
      </c>
      <c r="B1078" t="s">
        <v>34</v>
      </c>
      <c r="C1078">
        <f t="shared" si="90"/>
        <v>1</v>
      </c>
      <c r="D1078" t="s">
        <v>55</v>
      </c>
      <c r="E1078">
        <f t="shared" si="86"/>
        <v>0</v>
      </c>
      <c r="F1078" t="s">
        <v>28</v>
      </c>
      <c r="G1078">
        <v>8</v>
      </c>
      <c r="H1078" s="1">
        <v>93732</v>
      </c>
      <c r="I1078" s="10">
        <v>0.19</v>
      </c>
      <c r="J1078">
        <v>37.5</v>
      </c>
      <c r="K1078" t="s">
        <v>34</v>
      </c>
      <c r="L1078">
        <v>27</v>
      </c>
      <c r="M1078" t="s">
        <v>47</v>
      </c>
      <c r="N1078" t="s">
        <v>30</v>
      </c>
      <c r="O1078" t="s">
        <v>31</v>
      </c>
      <c r="P1078">
        <v>7</v>
      </c>
      <c r="Q1078" t="s">
        <v>43</v>
      </c>
      <c r="R1078" t="s">
        <v>33</v>
      </c>
      <c r="S1078">
        <v>3</v>
      </c>
      <c r="T1078">
        <v>0</v>
      </c>
      <c r="U1078">
        <v>9</v>
      </c>
      <c r="V1078">
        <v>2</v>
      </c>
      <c r="W1078">
        <v>7</v>
      </c>
      <c r="X1078">
        <v>6</v>
      </c>
      <c r="Y1078">
        <v>0</v>
      </c>
      <c r="Z1078">
        <v>7</v>
      </c>
      <c r="AA1078" t="str">
        <f t="shared" si="88"/>
        <v>Mid Tenure</v>
      </c>
      <c r="AB1078" s="5">
        <v>44583</v>
      </c>
      <c r="AC1078">
        <f t="shared" si="89"/>
        <v>0</v>
      </c>
      <c r="AD1078" t="s">
        <v>49</v>
      </c>
      <c r="AE1078">
        <f>VLOOKUP(A1078,'Employee Engagement Survey'!A1018:B2487,2,FALSE)</f>
        <v>4</v>
      </c>
      <c r="AF1078">
        <f>VLOOKUP(A1078,'Employee Engagement Survey'!A1018:C2487,3,FALSE)</f>
        <v>1</v>
      </c>
      <c r="AG1078">
        <f>VLOOKUP(A1078,'Employee Engagement Survey'!A1018:D2487,4,FALSE)</f>
        <v>1</v>
      </c>
      <c r="AH1078">
        <f>VLOOKUP(A1078,'Employee Engagement Survey'!A1018:E2487,5,FALSE)</f>
        <v>1</v>
      </c>
      <c r="AI1078">
        <f t="shared" si="87"/>
        <v>1.75</v>
      </c>
    </row>
    <row r="1079" spans="1:35" hidden="1" x14ac:dyDescent="0.4">
      <c r="A1079">
        <v>1252</v>
      </c>
      <c r="B1079" t="s">
        <v>34</v>
      </c>
      <c r="C1079">
        <f t="shared" si="90"/>
        <v>1</v>
      </c>
      <c r="D1079" t="s">
        <v>55</v>
      </c>
      <c r="E1079">
        <f t="shared" si="86"/>
        <v>0</v>
      </c>
      <c r="F1079" t="s">
        <v>28</v>
      </c>
      <c r="G1079">
        <v>8</v>
      </c>
      <c r="H1079" s="1">
        <v>93744</v>
      </c>
      <c r="I1079" s="10">
        <v>0.19</v>
      </c>
      <c r="J1079">
        <v>37.5</v>
      </c>
      <c r="K1079" t="s">
        <v>34</v>
      </c>
      <c r="L1079">
        <v>31</v>
      </c>
      <c r="M1079" t="s">
        <v>47</v>
      </c>
      <c r="N1079" t="s">
        <v>30</v>
      </c>
      <c r="O1079" t="s">
        <v>31</v>
      </c>
      <c r="P1079">
        <v>24</v>
      </c>
      <c r="Q1079" t="s">
        <v>43</v>
      </c>
      <c r="R1079" t="s">
        <v>33</v>
      </c>
      <c r="S1079">
        <v>3</v>
      </c>
      <c r="T1079">
        <v>0</v>
      </c>
      <c r="U1079">
        <v>10</v>
      </c>
      <c r="V1079">
        <v>2</v>
      </c>
      <c r="W1079">
        <v>10</v>
      </c>
      <c r="X1079">
        <v>9</v>
      </c>
      <c r="Y1079">
        <v>1</v>
      </c>
      <c r="Z1079">
        <v>8</v>
      </c>
      <c r="AA1079" t="str">
        <f t="shared" si="88"/>
        <v>Long Tenure</v>
      </c>
      <c r="AB1079" s="5">
        <v>45718</v>
      </c>
      <c r="AC1079">
        <f t="shared" si="89"/>
        <v>1</v>
      </c>
      <c r="AD1079" t="s">
        <v>49</v>
      </c>
      <c r="AE1079">
        <f>VLOOKUP(A1079,'Employee Engagement Survey'!A1019:B2488,2,FALSE)</f>
        <v>3</v>
      </c>
      <c r="AF1079">
        <f>VLOOKUP(A1079,'Employee Engagement Survey'!A1019:C2488,3,FALSE)</f>
        <v>1</v>
      </c>
      <c r="AG1079">
        <f>VLOOKUP(A1079,'Employee Engagement Survey'!A1019:D2488,4,FALSE)</f>
        <v>2</v>
      </c>
      <c r="AH1079">
        <f>VLOOKUP(A1079,'Employee Engagement Survey'!A1019:E2488,5,FALSE)</f>
        <v>3</v>
      </c>
      <c r="AI1079">
        <f t="shared" si="87"/>
        <v>2.25</v>
      </c>
    </row>
    <row r="1080" spans="1:35" hidden="1" x14ac:dyDescent="0.4">
      <c r="A1080">
        <v>1585</v>
      </c>
      <c r="B1080" t="s">
        <v>34</v>
      </c>
      <c r="C1080">
        <f t="shared" si="90"/>
        <v>1</v>
      </c>
      <c r="D1080" t="s">
        <v>57</v>
      </c>
      <c r="E1080">
        <f t="shared" si="86"/>
        <v>0</v>
      </c>
      <c r="F1080" t="s">
        <v>40</v>
      </c>
      <c r="G1080">
        <v>8</v>
      </c>
      <c r="H1080" s="1">
        <v>93780</v>
      </c>
      <c r="I1080" s="10">
        <v>0.13</v>
      </c>
      <c r="J1080">
        <v>37.5</v>
      </c>
      <c r="K1080" t="s">
        <v>34</v>
      </c>
      <c r="L1080">
        <v>36</v>
      </c>
      <c r="M1080" t="s">
        <v>47</v>
      </c>
      <c r="N1080" t="s">
        <v>30</v>
      </c>
      <c r="O1080" t="s">
        <v>31</v>
      </c>
      <c r="P1080">
        <v>1</v>
      </c>
      <c r="Q1080" t="s">
        <v>51</v>
      </c>
      <c r="R1080" t="s">
        <v>37</v>
      </c>
      <c r="S1080">
        <v>3</v>
      </c>
      <c r="T1080">
        <v>0</v>
      </c>
      <c r="U1080">
        <v>15</v>
      </c>
      <c r="V1080">
        <v>5</v>
      </c>
      <c r="W1080">
        <v>1</v>
      </c>
      <c r="X1080">
        <v>0</v>
      </c>
      <c r="Y1080">
        <v>0</v>
      </c>
      <c r="Z1080">
        <v>0</v>
      </c>
      <c r="AA1080" t="str">
        <f t="shared" si="88"/>
        <v>Early Tenure</v>
      </c>
      <c r="AB1080" s="5">
        <v>45261</v>
      </c>
      <c r="AC1080">
        <f t="shared" si="89"/>
        <v>0</v>
      </c>
      <c r="AD1080" t="s">
        <v>49</v>
      </c>
      <c r="AE1080">
        <f>VLOOKUP(A1080,'Employee Engagement Survey'!A1020:B2489,2,FALSE)</f>
        <v>2</v>
      </c>
      <c r="AF1080">
        <f>VLOOKUP(A1080,'Employee Engagement Survey'!A1020:C2489,3,FALSE)</f>
        <v>3</v>
      </c>
      <c r="AG1080">
        <f>VLOOKUP(A1080,'Employee Engagement Survey'!A1020:D2489,4,FALSE)</f>
        <v>1</v>
      </c>
      <c r="AH1080">
        <f>VLOOKUP(A1080,'Employee Engagement Survey'!A1020:E2489,5,FALSE)</f>
        <v>3</v>
      </c>
      <c r="AI1080">
        <f t="shared" si="87"/>
        <v>2.25</v>
      </c>
    </row>
    <row r="1081" spans="1:35" hidden="1" x14ac:dyDescent="0.4">
      <c r="A1081">
        <v>1483</v>
      </c>
      <c r="B1081" t="s">
        <v>34</v>
      </c>
      <c r="C1081">
        <f t="shared" si="90"/>
        <v>1</v>
      </c>
      <c r="D1081" t="s">
        <v>27</v>
      </c>
      <c r="E1081">
        <f t="shared" si="86"/>
        <v>0</v>
      </c>
      <c r="F1081" t="s">
        <v>28</v>
      </c>
      <c r="G1081">
        <v>7</v>
      </c>
      <c r="H1081" s="1">
        <v>70800</v>
      </c>
      <c r="I1081" s="10">
        <v>0.24</v>
      </c>
      <c r="J1081">
        <v>37.5</v>
      </c>
      <c r="K1081" t="s">
        <v>34</v>
      </c>
      <c r="L1081">
        <v>57</v>
      </c>
      <c r="M1081" t="s">
        <v>29</v>
      </c>
      <c r="N1081" t="s">
        <v>42</v>
      </c>
      <c r="O1081" t="s">
        <v>31</v>
      </c>
      <c r="P1081">
        <v>1</v>
      </c>
      <c r="Q1081" t="s">
        <v>36</v>
      </c>
      <c r="R1081" t="s">
        <v>37</v>
      </c>
      <c r="S1081">
        <v>4</v>
      </c>
      <c r="T1081">
        <v>1</v>
      </c>
      <c r="U1081">
        <v>13</v>
      </c>
      <c r="V1081">
        <v>2</v>
      </c>
      <c r="W1081">
        <v>12</v>
      </c>
      <c r="X1081">
        <v>9</v>
      </c>
      <c r="Y1081">
        <v>2</v>
      </c>
      <c r="Z1081">
        <v>8</v>
      </c>
      <c r="AA1081" t="str">
        <f t="shared" si="88"/>
        <v>Long Tenure</v>
      </c>
      <c r="AB1081" s="5">
        <v>45063</v>
      </c>
      <c r="AC1081">
        <f t="shared" si="89"/>
        <v>0</v>
      </c>
      <c r="AD1081" t="s">
        <v>38</v>
      </c>
      <c r="AE1081">
        <f>VLOOKUP(A1081,'Employee Engagement Survey'!A1021:B2490,2,FALSE)</f>
        <v>2</v>
      </c>
      <c r="AF1081">
        <f>VLOOKUP(A1081,'Employee Engagement Survey'!A1021:C2490,3,FALSE)</f>
        <v>3</v>
      </c>
      <c r="AG1081">
        <f>VLOOKUP(A1081,'Employee Engagement Survey'!A1021:D2490,4,FALSE)</f>
        <v>1</v>
      </c>
      <c r="AH1081">
        <f>VLOOKUP(A1081,'Employee Engagement Survey'!A1021:E2490,5,FALSE)</f>
        <v>2</v>
      </c>
      <c r="AI1081">
        <f t="shared" si="87"/>
        <v>2</v>
      </c>
    </row>
    <row r="1082" spans="1:35" hidden="1" x14ac:dyDescent="0.4">
      <c r="A1082">
        <v>1484</v>
      </c>
      <c r="B1082" t="s">
        <v>34</v>
      </c>
      <c r="C1082">
        <f t="shared" si="90"/>
        <v>1</v>
      </c>
      <c r="D1082" t="s">
        <v>55</v>
      </c>
      <c r="E1082">
        <f t="shared" si="86"/>
        <v>0</v>
      </c>
      <c r="F1082" t="s">
        <v>28</v>
      </c>
      <c r="G1082">
        <v>9</v>
      </c>
      <c r="H1082" s="1">
        <v>137592</v>
      </c>
      <c r="I1082" s="10">
        <v>0.14000000000000001</v>
      </c>
      <c r="J1082">
        <v>37.5</v>
      </c>
      <c r="K1082" t="s">
        <v>34</v>
      </c>
      <c r="L1082">
        <v>49</v>
      </c>
      <c r="M1082" t="s">
        <v>29</v>
      </c>
      <c r="N1082" t="s">
        <v>48</v>
      </c>
      <c r="O1082" t="s">
        <v>31</v>
      </c>
      <c r="P1082">
        <v>7</v>
      </c>
      <c r="Q1082" t="s">
        <v>51</v>
      </c>
      <c r="R1082" t="s">
        <v>37</v>
      </c>
      <c r="S1082">
        <v>3</v>
      </c>
      <c r="T1082">
        <v>2</v>
      </c>
      <c r="U1082">
        <v>29</v>
      </c>
      <c r="V1082">
        <v>3</v>
      </c>
      <c r="W1082">
        <v>8</v>
      </c>
      <c r="X1082">
        <v>7</v>
      </c>
      <c r="Y1082">
        <v>0</v>
      </c>
      <c r="Z1082">
        <v>7</v>
      </c>
      <c r="AA1082" t="str">
        <f t="shared" si="88"/>
        <v>Mid Tenure</v>
      </c>
      <c r="AB1082" s="5">
        <v>45252</v>
      </c>
      <c r="AC1082">
        <f t="shared" si="89"/>
        <v>0</v>
      </c>
      <c r="AD1082" t="s">
        <v>38</v>
      </c>
      <c r="AE1082">
        <f>VLOOKUP(A1082,'Employee Engagement Survey'!A1022:B2491,2,FALSE)</f>
        <v>3</v>
      </c>
      <c r="AF1082">
        <f>VLOOKUP(A1082,'Employee Engagement Survey'!A1022:C2491,3,FALSE)</f>
        <v>2</v>
      </c>
      <c r="AG1082">
        <f>VLOOKUP(A1082,'Employee Engagement Survey'!A1022:D2491,4,FALSE)</f>
        <v>2</v>
      </c>
      <c r="AH1082">
        <f>VLOOKUP(A1082,'Employee Engagement Survey'!A1022:E2491,5,FALSE)</f>
        <v>3</v>
      </c>
      <c r="AI1082">
        <f t="shared" si="87"/>
        <v>2.5</v>
      </c>
    </row>
    <row r="1083" spans="1:35" hidden="1" x14ac:dyDescent="0.4">
      <c r="A1083">
        <v>1485</v>
      </c>
      <c r="B1083" t="s">
        <v>34</v>
      </c>
      <c r="C1083">
        <f t="shared" si="90"/>
        <v>1</v>
      </c>
      <c r="D1083" t="s">
        <v>60</v>
      </c>
      <c r="E1083">
        <f t="shared" si="86"/>
        <v>1</v>
      </c>
      <c r="F1083" t="s">
        <v>28</v>
      </c>
      <c r="G1083">
        <v>4</v>
      </c>
      <c r="H1083" s="1">
        <v>216084</v>
      </c>
      <c r="I1083" s="10">
        <v>0.14000000000000001</v>
      </c>
      <c r="J1083">
        <v>37.5</v>
      </c>
      <c r="K1083" t="s">
        <v>34</v>
      </c>
      <c r="L1083">
        <v>34</v>
      </c>
      <c r="M1083" t="s">
        <v>29</v>
      </c>
      <c r="N1083" t="s">
        <v>48</v>
      </c>
      <c r="O1083" t="s">
        <v>44</v>
      </c>
      <c r="P1083">
        <v>15</v>
      </c>
      <c r="Q1083" t="s">
        <v>43</v>
      </c>
      <c r="R1083" t="s">
        <v>33</v>
      </c>
      <c r="S1083">
        <v>3</v>
      </c>
      <c r="T1083">
        <v>2</v>
      </c>
      <c r="U1083">
        <v>16</v>
      </c>
      <c r="V1083">
        <v>3</v>
      </c>
      <c r="W1083">
        <v>14</v>
      </c>
      <c r="X1083">
        <v>8</v>
      </c>
      <c r="Y1083">
        <v>6</v>
      </c>
      <c r="Z1083">
        <v>9</v>
      </c>
      <c r="AA1083" t="str">
        <f t="shared" si="88"/>
        <v>Long Tenure</v>
      </c>
      <c r="AB1083" s="5">
        <v>45349</v>
      </c>
      <c r="AC1083">
        <f t="shared" si="89"/>
        <v>1</v>
      </c>
      <c r="AD1083" t="s">
        <v>38</v>
      </c>
      <c r="AE1083">
        <f>VLOOKUP(A1083,'Employee Engagement Survey'!A1023:B2492,2,FALSE)</f>
        <v>2</v>
      </c>
      <c r="AF1083">
        <f>VLOOKUP(A1083,'Employee Engagement Survey'!A1023:C2492,3,FALSE)</f>
        <v>1</v>
      </c>
      <c r="AG1083">
        <f>VLOOKUP(A1083,'Employee Engagement Survey'!A1023:D2492,4,FALSE)</f>
        <v>4</v>
      </c>
      <c r="AH1083">
        <f>VLOOKUP(A1083,'Employee Engagement Survey'!A1023:E2492,5,FALSE)</f>
        <v>2</v>
      </c>
      <c r="AI1083">
        <f t="shared" si="87"/>
        <v>2.25</v>
      </c>
    </row>
    <row r="1084" spans="1:35" hidden="1" x14ac:dyDescent="0.4">
      <c r="A1084">
        <v>1239</v>
      </c>
      <c r="B1084" t="s">
        <v>34</v>
      </c>
      <c r="C1084">
        <f t="shared" si="90"/>
        <v>1</v>
      </c>
      <c r="D1084" t="s">
        <v>57</v>
      </c>
      <c r="E1084">
        <f t="shared" si="86"/>
        <v>0</v>
      </c>
      <c r="F1084" t="s">
        <v>40</v>
      </c>
      <c r="G1084">
        <v>8</v>
      </c>
      <c r="H1084" s="1">
        <v>94224</v>
      </c>
      <c r="I1084" s="10">
        <v>0.12</v>
      </c>
      <c r="J1084">
        <v>37.5</v>
      </c>
      <c r="K1084" t="s">
        <v>34</v>
      </c>
      <c r="L1084">
        <v>40</v>
      </c>
      <c r="M1084" t="s">
        <v>47</v>
      </c>
      <c r="N1084" t="s">
        <v>48</v>
      </c>
      <c r="O1084" t="s">
        <v>31</v>
      </c>
      <c r="P1084">
        <v>10</v>
      </c>
      <c r="Q1084" t="s">
        <v>43</v>
      </c>
      <c r="R1084" t="s">
        <v>45</v>
      </c>
      <c r="S1084">
        <v>3</v>
      </c>
      <c r="T1084">
        <v>1</v>
      </c>
      <c r="U1084">
        <v>7</v>
      </c>
      <c r="V1084">
        <v>2</v>
      </c>
      <c r="W1084">
        <v>5</v>
      </c>
      <c r="X1084">
        <v>1</v>
      </c>
      <c r="Y1084">
        <v>1</v>
      </c>
      <c r="Z1084">
        <v>3</v>
      </c>
      <c r="AA1084" t="str">
        <f t="shared" si="88"/>
        <v>Mid Tenure</v>
      </c>
      <c r="AB1084" s="5">
        <v>44734</v>
      </c>
      <c r="AC1084">
        <f t="shared" si="89"/>
        <v>0</v>
      </c>
      <c r="AD1084" t="s">
        <v>38</v>
      </c>
      <c r="AE1084">
        <f>VLOOKUP(A1084,'Employee Engagement Survey'!A1025:B2494,2,FALSE)</f>
        <v>2</v>
      </c>
      <c r="AF1084">
        <f>VLOOKUP(A1084,'Employee Engagement Survey'!A1025:C2494,3,FALSE)</f>
        <v>2</v>
      </c>
      <c r="AG1084">
        <f>VLOOKUP(A1084,'Employee Engagement Survey'!A1025:D2494,4,FALSE)</f>
        <v>2</v>
      </c>
      <c r="AH1084">
        <f>VLOOKUP(A1084,'Employee Engagement Survey'!A1025:E2494,5,FALSE)</f>
        <v>4</v>
      </c>
      <c r="AI1084">
        <f t="shared" si="87"/>
        <v>2.5</v>
      </c>
    </row>
    <row r="1085" spans="1:35" hidden="1" x14ac:dyDescent="0.4">
      <c r="A1085">
        <v>1830</v>
      </c>
      <c r="B1085" t="s">
        <v>34</v>
      </c>
      <c r="C1085">
        <f t="shared" si="90"/>
        <v>1</v>
      </c>
      <c r="D1085" t="s">
        <v>27</v>
      </c>
      <c r="E1085">
        <f t="shared" si="86"/>
        <v>0</v>
      </c>
      <c r="F1085" t="s">
        <v>28</v>
      </c>
      <c r="G1085">
        <v>8</v>
      </c>
      <c r="H1085" s="1">
        <v>94248</v>
      </c>
      <c r="I1085" s="10">
        <v>0.15</v>
      </c>
      <c r="J1085">
        <v>37.5</v>
      </c>
      <c r="K1085" t="s">
        <v>34</v>
      </c>
      <c r="L1085">
        <v>54</v>
      </c>
      <c r="M1085" t="s">
        <v>47</v>
      </c>
      <c r="N1085" t="s">
        <v>42</v>
      </c>
      <c r="O1085" t="s">
        <v>31</v>
      </c>
      <c r="P1085">
        <v>7</v>
      </c>
      <c r="Q1085" t="s">
        <v>51</v>
      </c>
      <c r="R1085" t="s">
        <v>33</v>
      </c>
      <c r="S1085">
        <v>3</v>
      </c>
      <c r="T1085">
        <v>1</v>
      </c>
      <c r="U1085">
        <v>14</v>
      </c>
      <c r="V1085">
        <v>2</v>
      </c>
      <c r="W1085">
        <v>7</v>
      </c>
      <c r="X1085">
        <v>1</v>
      </c>
      <c r="Y1085">
        <v>1</v>
      </c>
      <c r="Z1085">
        <v>7</v>
      </c>
      <c r="AA1085" t="str">
        <f t="shared" si="88"/>
        <v>Mid Tenure</v>
      </c>
      <c r="AB1085" s="5">
        <v>45544</v>
      </c>
      <c r="AC1085">
        <f t="shared" si="89"/>
        <v>1</v>
      </c>
      <c r="AD1085" t="s">
        <v>38</v>
      </c>
      <c r="AE1085">
        <f>VLOOKUP(A1085,'Employee Engagement Survey'!A1026:B2495,2,FALSE)</f>
        <v>4</v>
      </c>
      <c r="AF1085">
        <f>VLOOKUP(A1085,'Employee Engagement Survey'!A1026:C2495,3,FALSE)</f>
        <v>4</v>
      </c>
      <c r="AG1085">
        <f>VLOOKUP(A1085,'Employee Engagement Survey'!A1026:D2495,4,FALSE)</f>
        <v>2</v>
      </c>
      <c r="AH1085">
        <f>VLOOKUP(A1085,'Employee Engagement Survey'!A1026:E2495,5,FALSE)</f>
        <v>2</v>
      </c>
      <c r="AI1085">
        <f t="shared" si="87"/>
        <v>3</v>
      </c>
    </row>
    <row r="1086" spans="1:35" hidden="1" x14ac:dyDescent="0.4">
      <c r="A1086">
        <v>1492</v>
      </c>
      <c r="B1086" t="s">
        <v>34</v>
      </c>
      <c r="C1086">
        <f t="shared" si="90"/>
        <v>1</v>
      </c>
      <c r="D1086" t="s">
        <v>39</v>
      </c>
      <c r="E1086">
        <f t="shared" si="86"/>
        <v>0</v>
      </c>
      <c r="F1086" t="s">
        <v>40</v>
      </c>
      <c r="G1086">
        <v>4</v>
      </c>
      <c r="H1086" s="1">
        <v>52848</v>
      </c>
      <c r="I1086" s="10">
        <v>0.13</v>
      </c>
      <c r="J1086">
        <v>37.5</v>
      </c>
      <c r="K1086" t="s">
        <v>34</v>
      </c>
      <c r="L1086">
        <v>35</v>
      </c>
      <c r="M1086" t="s">
        <v>29</v>
      </c>
      <c r="N1086" t="s">
        <v>42</v>
      </c>
      <c r="O1086" t="s">
        <v>31</v>
      </c>
      <c r="P1086">
        <v>7</v>
      </c>
      <c r="Q1086" t="s">
        <v>32</v>
      </c>
      <c r="R1086" t="s">
        <v>37</v>
      </c>
      <c r="S1086">
        <v>3</v>
      </c>
      <c r="T1086">
        <v>1</v>
      </c>
      <c r="U1086">
        <v>1</v>
      </c>
      <c r="V1086">
        <v>3</v>
      </c>
      <c r="W1086">
        <v>1</v>
      </c>
      <c r="X1086">
        <v>0</v>
      </c>
      <c r="Y1086">
        <v>0</v>
      </c>
      <c r="Z1086">
        <v>0</v>
      </c>
      <c r="AA1086" t="str">
        <f t="shared" si="88"/>
        <v>Early Tenure</v>
      </c>
      <c r="AB1086" s="5">
        <v>45897</v>
      </c>
      <c r="AC1086">
        <f t="shared" si="89"/>
        <v>1</v>
      </c>
      <c r="AD1086" t="s">
        <v>49</v>
      </c>
      <c r="AE1086">
        <f>VLOOKUP(A1086,'Employee Engagement Survey'!A1027:B2496,2,FALSE)</f>
        <v>4</v>
      </c>
      <c r="AF1086">
        <f>VLOOKUP(A1086,'Employee Engagement Survey'!A1027:C2496,3,FALSE)</f>
        <v>3</v>
      </c>
      <c r="AG1086">
        <f>VLOOKUP(A1086,'Employee Engagement Survey'!A1027:D2496,4,FALSE)</f>
        <v>1</v>
      </c>
      <c r="AH1086">
        <f>VLOOKUP(A1086,'Employee Engagement Survey'!A1027:E2496,5,FALSE)</f>
        <v>3</v>
      </c>
      <c r="AI1086">
        <f t="shared" si="87"/>
        <v>2.75</v>
      </c>
    </row>
    <row r="1087" spans="1:35" x14ac:dyDescent="0.4">
      <c r="A1087">
        <v>833</v>
      </c>
      <c r="B1087" t="s">
        <v>34</v>
      </c>
      <c r="C1087">
        <f t="shared" si="90"/>
        <v>1</v>
      </c>
      <c r="D1087" t="s">
        <v>54</v>
      </c>
      <c r="E1087">
        <f t="shared" si="86"/>
        <v>1</v>
      </c>
      <c r="F1087" t="s">
        <v>28</v>
      </c>
      <c r="G1087">
        <v>8</v>
      </c>
      <c r="H1087" s="1">
        <v>94524</v>
      </c>
      <c r="I1087" s="10">
        <v>0.24</v>
      </c>
      <c r="J1087">
        <v>37.5</v>
      </c>
      <c r="K1087" t="s">
        <v>26</v>
      </c>
      <c r="L1087">
        <v>30</v>
      </c>
      <c r="M1087" t="s">
        <v>47</v>
      </c>
      <c r="N1087" t="s">
        <v>30</v>
      </c>
      <c r="O1087" t="s">
        <v>31</v>
      </c>
      <c r="P1087">
        <v>2</v>
      </c>
      <c r="Q1087" t="s">
        <v>43</v>
      </c>
      <c r="R1087" t="s">
        <v>33</v>
      </c>
      <c r="S1087">
        <v>4</v>
      </c>
      <c r="T1087">
        <v>0</v>
      </c>
      <c r="U1087">
        <v>12</v>
      </c>
      <c r="V1087">
        <v>4</v>
      </c>
      <c r="W1087">
        <v>0</v>
      </c>
      <c r="X1087">
        <v>0</v>
      </c>
      <c r="Y1087">
        <v>0</v>
      </c>
      <c r="Z1087">
        <v>0</v>
      </c>
      <c r="AA1087" t="str">
        <f t="shared" si="88"/>
        <v>Early Tenure</v>
      </c>
      <c r="AB1087" s="5">
        <v>44967</v>
      </c>
      <c r="AC1087">
        <f t="shared" si="89"/>
        <v>0</v>
      </c>
      <c r="AD1087" t="s">
        <v>38</v>
      </c>
      <c r="AE1087">
        <f>VLOOKUP(A1087,'Employee Engagement Survey'!A1029:B2498,2,FALSE)</f>
        <v>3</v>
      </c>
      <c r="AF1087">
        <f>VLOOKUP(A1087,'Employee Engagement Survey'!A1029:C2498,3,FALSE)</f>
        <v>4</v>
      </c>
      <c r="AG1087">
        <f>VLOOKUP(A1087,'Employee Engagement Survey'!A1029:D2498,4,FALSE)</f>
        <v>2</v>
      </c>
      <c r="AH1087">
        <f>VLOOKUP(A1087,'Employee Engagement Survey'!A1029:E2498,5,FALSE)</f>
        <v>2</v>
      </c>
      <c r="AI1087">
        <f t="shared" si="87"/>
        <v>2.75</v>
      </c>
    </row>
    <row r="1088" spans="1:35" x14ac:dyDescent="0.4">
      <c r="A1088">
        <v>1496</v>
      </c>
      <c r="B1088" t="s">
        <v>34</v>
      </c>
      <c r="C1088">
        <f t="shared" si="90"/>
        <v>1</v>
      </c>
      <c r="D1088" t="s">
        <v>54</v>
      </c>
      <c r="E1088">
        <f t="shared" si="86"/>
        <v>1</v>
      </c>
      <c r="F1088" t="s">
        <v>28</v>
      </c>
      <c r="G1088">
        <v>9</v>
      </c>
      <c r="H1088" s="1">
        <v>134508</v>
      </c>
      <c r="I1088" s="10">
        <v>0.18</v>
      </c>
      <c r="J1088">
        <v>37.5</v>
      </c>
      <c r="K1088" t="s">
        <v>26</v>
      </c>
      <c r="L1088">
        <v>44</v>
      </c>
      <c r="M1088" t="s">
        <v>29</v>
      </c>
      <c r="N1088" t="s">
        <v>30</v>
      </c>
      <c r="O1088" t="s">
        <v>44</v>
      </c>
      <c r="P1088">
        <v>2</v>
      </c>
      <c r="Q1088" t="s">
        <v>32</v>
      </c>
      <c r="R1088" t="s">
        <v>33</v>
      </c>
      <c r="S1088">
        <v>3</v>
      </c>
      <c r="T1088">
        <v>0</v>
      </c>
      <c r="U1088">
        <v>16</v>
      </c>
      <c r="V1088">
        <v>2</v>
      </c>
      <c r="W1088">
        <v>2</v>
      </c>
      <c r="X1088">
        <v>2</v>
      </c>
      <c r="Y1088">
        <v>2</v>
      </c>
      <c r="Z1088">
        <v>2</v>
      </c>
      <c r="AA1088" t="str">
        <f t="shared" si="88"/>
        <v>Early Tenure</v>
      </c>
      <c r="AB1088" s="5">
        <v>45704</v>
      </c>
      <c r="AC1088">
        <f t="shared" si="89"/>
        <v>1</v>
      </c>
      <c r="AD1088" t="s">
        <v>49</v>
      </c>
      <c r="AE1088">
        <f>VLOOKUP(A1088,'Employee Engagement Survey'!A1030:B2499,2,FALSE)</f>
        <v>2</v>
      </c>
      <c r="AF1088">
        <f>VLOOKUP(A1088,'Employee Engagement Survey'!A1030:C2499,3,FALSE)</f>
        <v>3</v>
      </c>
      <c r="AG1088">
        <f>VLOOKUP(A1088,'Employee Engagement Survey'!A1030:D2499,4,FALSE)</f>
        <v>2</v>
      </c>
      <c r="AH1088">
        <f>VLOOKUP(A1088,'Employee Engagement Survey'!A1030:E2499,5,FALSE)</f>
        <v>2</v>
      </c>
      <c r="AI1088">
        <f t="shared" si="87"/>
        <v>2.25</v>
      </c>
    </row>
    <row r="1089" spans="1:35" hidden="1" x14ac:dyDescent="0.4">
      <c r="A1089">
        <v>1355</v>
      </c>
      <c r="B1089" t="s">
        <v>34</v>
      </c>
      <c r="C1089">
        <f t="shared" si="90"/>
        <v>1</v>
      </c>
      <c r="D1089" t="s">
        <v>57</v>
      </c>
      <c r="E1089">
        <f t="shared" si="86"/>
        <v>0</v>
      </c>
      <c r="F1089" t="s">
        <v>40</v>
      </c>
      <c r="G1089">
        <v>8</v>
      </c>
      <c r="H1089" s="1">
        <v>94716</v>
      </c>
      <c r="I1089" s="10">
        <v>0.15</v>
      </c>
      <c r="J1089">
        <v>37.5</v>
      </c>
      <c r="K1089" t="s">
        <v>34</v>
      </c>
      <c r="L1089">
        <v>38</v>
      </c>
      <c r="M1089" t="s">
        <v>47</v>
      </c>
      <c r="N1089" t="s">
        <v>48</v>
      </c>
      <c r="O1089" t="s">
        <v>31</v>
      </c>
      <c r="P1089">
        <v>2</v>
      </c>
      <c r="Q1089" t="s">
        <v>36</v>
      </c>
      <c r="R1089" t="s">
        <v>37</v>
      </c>
      <c r="S1089">
        <v>3</v>
      </c>
      <c r="T1089">
        <v>1</v>
      </c>
      <c r="U1089">
        <v>11</v>
      </c>
      <c r="V1089">
        <v>3</v>
      </c>
      <c r="W1089">
        <v>7</v>
      </c>
      <c r="X1089">
        <v>7</v>
      </c>
      <c r="Y1089">
        <v>1</v>
      </c>
      <c r="Z1089">
        <v>7</v>
      </c>
      <c r="AA1089" t="str">
        <f t="shared" si="88"/>
        <v>Mid Tenure</v>
      </c>
      <c r="AB1089" s="5">
        <v>45133</v>
      </c>
      <c r="AC1089">
        <f t="shared" si="89"/>
        <v>0</v>
      </c>
      <c r="AD1089" t="s">
        <v>49</v>
      </c>
      <c r="AE1089">
        <f>VLOOKUP(A1089,'Employee Engagement Survey'!A1031:B2500,2,FALSE)</f>
        <v>2</v>
      </c>
      <c r="AF1089">
        <f>VLOOKUP(A1089,'Employee Engagement Survey'!A1031:C2500,3,FALSE)</f>
        <v>1</v>
      </c>
      <c r="AG1089">
        <f>VLOOKUP(A1089,'Employee Engagement Survey'!A1031:D2500,4,FALSE)</f>
        <v>4</v>
      </c>
      <c r="AH1089">
        <f>VLOOKUP(A1089,'Employee Engagement Survey'!A1031:E2500,5,FALSE)</f>
        <v>3</v>
      </c>
      <c r="AI1089">
        <f t="shared" si="87"/>
        <v>2.5</v>
      </c>
    </row>
    <row r="1090" spans="1:35" hidden="1" x14ac:dyDescent="0.4">
      <c r="A1090">
        <v>1497</v>
      </c>
      <c r="B1090" t="s">
        <v>34</v>
      </c>
      <c r="C1090">
        <f t="shared" si="90"/>
        <v>1</v>
      </c>
      <c r="D1090" t="s">
        <v>57</v>
      </c>
      <c r="E1090">
        <f t="shared" ref="E1090:E1153" si="91">IF(OR(D1090="Manager, HR", D1090="Manager, Sales", D1090="Manager, R&amp;D", D1090="Manufacturing Director",D1090="Research Director", D1090="VP, HR", D1090="CEO"),1,0)</f>
        <v>0</v>
      </c>
      <c r="F1090" t="s">
        <v>40</v>
      </c>
      <c r="G1090">
        <v>9</v>
      </c>
      <c r="H1090" s="1">
        <v>115440</v>
      </c>
      <c r="I1090" s="10">
        <v>0.14000000000000001</v>
      </c>
      <c r="J1090">
        <v>37.5</v>
      </c>
      <c r="K1090" t="s">
        <v>34</v>
      </c>
      <c r="L1090">
        <v>29</v>
      </c>
      <c r="M1090" t="s">
        <v>29</v>
      </c>
      <c r="N1090" t="s">
        <v>48</v>
      </c>
      <c r="O1090" t="s">
        <v>31</v>
      </c>
      <c r="P1090">
        <v>19</v>
      </c>
      <c r="Q1090" t="s">
        <v>43</v>
      </c>
      <c r="R1090" t="s">
        <v>37</v>
      </c>
      <c r="S1090">
        <v>3</v>
      </c>
      <c r="T1090">
        <v>2</v>
      </c>
      <c r="U1090">
        <v>10</v>
      </c>
      <c r="V1090">
        <v>3</v>
      </c>
      <c r="W1090">
        <v>10</v>
      </c>
      <c r="X1090">
        <v>7</v>
      </c>
      <c r="Y1090">
        <v>0</v>
      </c>
      <c r="Z1090">
        <v>4</v>
      </c>
      <c r="AA1090" t="str">
        <f t="shared" si="88"/>
        <v>Long Tenure</v>
      </c>
      <c r="AB1090" s="5">
        <v>46010</v>
      </c>
      <c r="AC1090">
        <f t="shared" si="89"/>
        <v>1</v>
      </c>
      <c r="AD1090" t="s">
        <v>38</v>
      </c>
      <c r="AE1090">
        <f>VLOOKUP(A1090,'Employee Engagement Survey'!A1032:B2501,2,FALSE)</f>
        <v>3</v>
      </c>
      <c r="AF1090">
        <f>VLOOKUP(A1090,'Employee Engagement Survey'!A1032:C2501,3,FALSE)</f>
        <v>3</v>
      </c>
      <c r="AG1090">
        <f>VLOOKUP(A1090,'Employee Engagement Survey'!A1032:D2501,4,FALSE)</f>
        <v>3</v>
      </c>
      <c r="AH1090">
        <f>VLOOKUP(A1090,'Employee Engagement Survey'!A1032:E2501,5,FALSE)</f>
        <v>3</v>
      </c>
      <c r="AI1090">
        <f t="shared" ref="AI1090:AI1153" si="92">AVERAGE(AE1090:AH1090)</f>
        <v>3</v>
      </c>
    </row>
    <row r="1091" spans="1:35" hidden="1" x14ac:dyDescent="0.4">
      <c r="A1091">
        <v>1499</v>
      </c>
      <c r="B1091" t="s">
        <v>34</v>
      </c>
      <c r="C1091">
        <f t="shared" si="90"/>
        <v>1</v>
      </c>
      <c r="D1091" t="s">
        <v>104</v>
      </c>
      <c r="E1091">
        <f t="shared" si="91"/>
        <v>0</v>
      </c>
      <c r="F1091" t="s">
        <v>59</v>
      </c>
      <c r="G1091">
        <v>3</v>
      </c>
      <c r="H1091" s="1">
        <v>48768</v>
      </c>
      <c r="I1091" s="10">
        <v>0.21</v>
      </c>
      <c r="J1091">
        <v>37.5</v>
      </c>
      <c r="K1091" t="s">
        <v>34</v>
      </c>
      <c r="L1091">
        <v>30</v>
      </c>
      <c r="M1091" t="s">
        <v>29</v>
      </c>
      <c r="N1091" t="s">
        <v>48</v>
      </c>
      <c r="O1091" t="s">
        <v>31</v>
      </c>
      <c r="P1091">
        <v>1</v>
      </c>
      <c r="Q1091" t="s">
        <v>43</v>
      </c>
      <c r="R1091" t="s">
        <v>37</v>
      </c>
      <c r="S1091">
        <v>4</v>
      </c>
      <c r="T1091">
        <v>1</v>
      </c>
      <c r="U1091">
        <v>6</v>
      </c>
      <c r="V1091">
        <v>3</v>
      </c>
      <c r="W1091">
        <v>5</v>
      </c>
      <c r="X1091">
        <v>3</v>
      </c>
      <c r="Y1091">
        <v>1</v>
      </c>
      <c r="Z1091">
        <v>3</v>
      </c>
      <c r="AA1091" t="str">
        <f t="shared" ref="AA1091:AA1154" si="93">IF(W1091&lt;=2,"Early Tenure",IF(W1091&lt;=9,"Mid Tenure","Long Tenure"))</f>
        <v>Mid Tenure</v>
      </c>
      <c r="AB1091" s="5">
        <v>44977</v>
      </c>
      <c r="AC1091">
        <f t="shared" ref="AC1091:AC1154" si="94">IF(AND(AB1091&lt;&gt;"",AB1091&gt;DATE(2024,1,1)),1,0)</f>
        <v>0</v>
      </c>
      <c r="AD1091" t="s">
        <v>38</v>
      </c>
      <c r="AE1091">
        <f>VLOOKUP(A1091,'Employee Engagement Survey'!A1033:B2502,2,FALSE)</f>
        <v>3</v>
      </c>
      <c r="AF1091">
        <f>VLOOKUP(A1091,'Employee Engagement Survey'!A1033:C2502,3,FALSE)</f>
        <v>3</v>
      </c>
      <c r="AG1091">
        <f>VLOOKUP(A1091,'Employee Engagement Survey'!A1033:D2502,4,FALSE)</f>
        <v>1</v>
      </c>
      <c r="AH1091">
        <f>VLOOKUP(A1091,'Employee Engagement Survey'!A1033:E2502,5,FALSE)</f>
        <v>4</v>
      </c>
      <c r="AI1091">
        <f t="shared" si="92"/>
        <v>2.75</v>
      </c>
    </row>
    <row r="1092" spans="1:35" hidden="1" x14ac:dyDescent="0.4">
      <c r="A1092">
        <v>947</v>
      </c>
      <c r="B1092" t="s">
        <v>34</v>
      </c>
      <c r="C1092">
        <f t="shared" si="90"/>
        <v>1</v>
      </c>
      <c r="D1092" t="s">
        <v>57</v>
      </c>
      <c r="E1092">
        <f t="shared" si="91"/>
        <v>0</v>
      </c>
      <c r="F1092" t="s">
        <v>40</v>
      </c>
      <c r="G1092">
        <v>8</v>
      </c>
      <c r="H1092" s="1">
        <v>95184</v>
      </c>
      <c r="I1092" s="10">
        <v>0.13</v>
      </c>
      <c r="J1092">
        <v>37.5</v>
      </c>
      <c r="K1092" t="s">
        <v>34</v>
      </c>
      <c r="L1092">
        <v>31</v>
      </c>
      <c r="M1092" t="s">
        <v>47</v>
      </c>
      <c r="N1092" t="s">
        <v>42</v>
      </c>
      <c r="O1092" t="s">
        <v>35</v>
      </c>
      <c r="P1092">
        <v>20</v>
      </c>
      <c r="Q1092" t="s">
        <v>36</v>
      </c>
      <c r="R1092" t="s">
        <v>56</v>
      </c>
      <c r="S1092">
        <v>3</v>
      </c>
      <c r="T1092">
        <v>1</v>
      </c>
      <c r="U1092">
        <v>9</v>
      </c>
      <c r="V1092">
        <v>2</v>
      </c>
      <c r="W1092">
        <v>9</v>
      </c>
      <c r="X1092">
        <v>8</v>
      </c>
      <c r="Y1092">
        <v>0</v>
      </c>
      <c r="Z1092">
        <v>0</v>
      </c>
      <c r="AA1092" t="str">
        <f t="shared" si="93"/>
        <v>Mid Tenure</v>
      </c>
      <c r="AB1092" s="5">
        <v>45764</v>
      </c>
      <c r="AC1092">
        <f t="shared" si="94"/>
        <v>1</v>
      </c>
      <c r="AD1092" t="s">
        <v>38</v>
      </c>
      <c r="AE1092">
        <f>VLOOKUP(A1092,'Employee Engagement Survey'!A1034:B2503,2,FALSE)</f>
        <v>4</v>
      </c>
      <c r="AF1092">
        <f>VLOOKUP(A1092,'Employee Engagement Survey'!A1034:C2503,3,FALSE)</f>
        <v>3</v>
      </c>
      <c r="AG1092">
        <f>VLOOKUP(A1092,'Employee Engagement Survey'!A1034:D2503,4,FALSE)</f>
        <v>4</v>
      </c>
      <c r="AH1092">
        <f>VLOOKUP(A1092,'Employee Engagement Survey'!A1034:E2503,5,FALSE)</f>
        <v>2</v>
      </c>
      <c r="AI1092">
        <f t="shared" si="92"/>
        <v>3.25</v>
      </c>
    </row>
    <row r="1093" spans="1:35" hidden="1" x14ac:dyDescent="0.4">
      <c r="A1093">
        <v>969</v>
      </c>
      <c r="B1093" t="s">
        <v>34</v>
      </c>
      <c r="C1093">
        <f t="shared" si="90"/>
        <v>1</v>
      </c>
      <c r="D1093" t="s">
        <v>55</v>
      </c>
      <c r="E1093">
        <f t="shared" si="91"/>
        <v>0</v>
      </c>
      <c r="F1093" t="s">
        <v>28</v>
      </c>
      <c r="G1093">
        <v>8</v>
      </c>
      <c r="H1093" s="1">
        <v>95388</v>
      </c>
      <c r="I1093" s="10">
        <v>0.14000000000000001</v>
      </c>
      <c r="J1093">
        <v>37.5</v>
      </c>
      <c r="K1093" t="s">
        <v>34</v>
      </c>
      <c r="L1093">
        <v>33</v>
      </c>
      <c r="M1093" t="s">
        <v>47</v>
      </c>
      <c r="N1093" t="s">
        <v>30</v>
      </c>
      <c r="O1093" t="s">
        <v>31</v>
      </c>
      <c r="P1093">
        <v>1</v>
      </c>
      <c r="Q1093" t="s">
        <v>43</v>
      </c>
      <c r="R1093" t="s">
        <v>37</v>
      </c>
      <c r="S1093">
        <v>3</v>
      </c>
      <c r="T1093">
        <v>0</v>
      </c>
      <c r="U1093">
        <v>6</v>
      </c>
      <c r="V1093">
        <v>3</v>
      </c>
      <c r="W1093">
        <v>5</v>
      </c>
      <c r="X1093">
        <v>0</v>
      </c>
      <c r="Y1093">
        <v>1</v>
      </c>
      <c r="Z1093">
        <v>4</v>
      </c>
      <c r="AA1093" t="str">
        <f t="shared" si="93"/>
        <v>Mid Tenure</v>
      </c>
      <c r="AB1093" s="5">
        <v>45661</v>
      </c>
      <c r="AC1093">
        <f t="shared" si="94"/>
        <v>1</v>
      </c>
      <c r="AD1093" t="s">
        <v>38</v>
      </c>
      <c r="AE1093">
        <f>VLOOKUP(A1093,'Employee Engagement Survey'!A1035:B2504,2,FALSE)</f>
        <v>2</v>
      </c>
      <c r="AF1093">
        <f>VLOOKUP(A1093,'Employee Engagement Survey'!A1035:C2504,3,FALSE)</f>
        <v>4</v>
      </c>
      <c r="AG1093">
        <f>VLOOKUP(A1093,'Employee Engagement Survey'!A1035:D2504,4,FALSE)</f>
        <v>1</v>
      </c>
      <c r="AH1093">
        <f>VLOOKUP(A1093,'Employee Engagement Survey'!A1035:E2504,5,FALSE)</f>
        <v>3</v>
      </c>
      <c r="AI1093">
        <f t="shared" si="92"/>
        <v>2.5</v>
      </c>
    </row>
    <row r="1094" spans="1:35" hidden="1" x14ac:dyDescent="0.4">
      <c r="A1094">
        <v>1847</v>
      </c>
      <c r="B1094" t="s">
        <v>34</v>
      </c>
      <c r="C1094">
        <f t="shared" si="90"/>
        <v>1</v>
      </c>
      <c r="D1094" t="s">
        <v>27</v>
      </c>
      <c r="E1094">
        <f t="shared" si="91"/>
        <v>0</v>
      </c>
      <c r="F1094" t="s">
        <v>28</v>
      </c>
      <c r="G1094">
        <v>8</v>
      </c>
      <c r="H1094" s="1">
        <v>95544</v>
      </c>
      <c r="I1094" s="10">
        <v>0.22</v>
      </c>
      <c r="J1094">
        <v>37.5</v>
      </c>
      <c r="K1094" t="s">
        <v>26</v>
      </c>
      <c r="L1094">
        <v>36</v>
      </c>
      <c r="M1094" t="s">
        <v>47</v>
      </c>
      <c r="N1094" t="s">
        <v>42</v>
      </c>
      <c r="O1094" t="s">
        <v>31</v>
      </c>
      <c r="P1094">
        <v>2</v>
      </c>
      <c r="Q1094" t="s">
        <v>51</v>
      </c>
      <c r="R1094" t="s">
        <v>53</v>
      </c>
      <c r="S1094">
        <v>4</v>
      </c>
      <c r="T1094">
        <v>1</v>
      </c>
      <c r="U1094">
        <v>15</v>
      </c>
      <c r="V1094">
        <v>2</v>
      </c>
      <c r="W1094">
        <v>1</v>
      </c>
      <c r="X1094">
        <v>0</v>
      </c>
      <c r="Y1094">
        <v>0</v>
      </c>
      <c r="Z1094">
        <v>0</v>
      </c>
      <c r="AA1094" t="str">
        <f t="shared" si="93"/>
        <v>Early Tenure</v>
      </c>
      <c r="AB1094" s="5">
        <v>45242</v>
      </c>
      <c r="AC1094">
        <f t="shared" si="94"/>
        <v>0</v>
      </c>
      <c r="AD1094" t="s">
        <v>38</v>
      </c>
      <c r="AE1094">
        <f>VLOOKUP(A1094,'Employee Engagement Survey'!A1036:B2505,2,FALSE)</f>
        <v>4</v>
      </c>
      <c r="AF1094">
        <f>VLOOKUP(A1094,'Employee Engagement Survey'!A1036:C2505,3,FALSE)</f>
        <v>2</v>
      </c>
      <c r="AG1094">
        <f>VLOOKUP(A1094,'Employee Engagement Survey'!A1036:D2505,4,FALSE)</f>
        <v>4</v>
      </c>
      <c r="AH1094">
        <f>VLOOKUP(A1094,'Employee Engagement Survey'!A1036:E2505,5,FALSE)</f>
        <v>3</v>
      </c>
      <c r="AI1094">
        <f t="shared" si="92"/>
        <v>3.25</v>
      </c>
    </row>
    <row r="1095" spans="1:35" hidden="1" x14ac:dyDescent="0.4">
      <c r="A1095">
        <v>1501</v>
      </c>
      <c r="B1095" t="s">
        <v>34</v>
      </c>
      <c r="C1095">
        <f t="shared" si="90"/>
        <v>1</v>
      </c>
      <c r="D1095" t="s">
        <v>55</v>
      </c>
      <c r="E1095">
        <f t="shared" si="91"/>
        <v>0</v>
      </c>
      <c r="F1095" t="s">
        <v>28</v>
      </c>
      <c r="G1095">
        <v>6</v>
      </c>
      <c r="H1095" s="1">
        <v>60420</v>
      </c>
      <c r="I1095" s="10">
        <v>0.16</v>
      </c>
      <c r="J1095">
        <v>37.5</v>
      </c>
      <c r="K1095" t="s">
        <v>26</v>
      </c>
      <c r="L1095">
        <v>55</v>
      </c>
      <c r="M1095" t="s">
        <v>29</v>
      </c>
      <c r="N1095" t="s">
        <v>42</v>
      </c>
      <c r="O1095" t="s">
        <v>31</v>
      </c>
      <c r="P1095">
        <v>4</v>
      </c>
      <c r="Q1095" t="s">
        <v>51</v>
      </c>
      <c r="R1095" t="s">
        <v>37</v>
      </c>
      <c r="S1095">
        <v>3</v>
      </c>
      <c r="T1095">
        <v>0</v>
      </c>
      <c r="U1095">
        <v>4</v>
      </c>
      <c r="V1095">
        <v>2</v>
      </c>
      <c r="W1095">
        <v>3</v>
      </c>
      <c r="X1095">
        <v>2</v>
      </c>
      <c r="Y1095">
        <v>1</v>
      </c>
      <c r="Z1095">
        <v>2</v>
      </c>
      <c r="AA1095" t="str">
        <f t="shared" si="93"/>
        <v>Mid Tenure</v>
      </c>
      <c r="AB1095" s="5">
        <v>45402</v>
      </c>
      <c r="AC1095">
        <f t="shared" si="94"/>
        <v>1</v>
      </c>
      <c r="AD1095" t="s">
        <v>38</v>
      </c>
      <c r="AE1095">
        <f>VLOOKUP(A1095,'Employee Engagement Survey'!A1037:B2506,2,FALSE)</f>
        <v>4</v>
      </c>
      <c r="AF1095">
        <f>VLOOKUP(A1095,'Employee Engagement Survey'!A1037:C2506,3,FALSE)</f>
        <v>3</v>
      </c>
      <c r="AG1095">
        <f>VLOOKUP(A1095,'Employee Engagement Survey'!A1037:D2506,4,FALSE)</f>
        <v>2</v>
      </c>
      <c r="AH1095">
        <f>VLOOKUP(A1095,'Employee Engagement Survey'!A1037:E2506,5,FALSE)</f>
        <v>3</v>
      </c>
      <c r="AI1095">
        <f t="shared" si="92"/>
        <v>3</v>
      </c>
    </row>
    <row r="1096" spans="1:35" hidden="1" x14ac:dyDescent="0.4">
      <c r="A1096">
        <v>1506</v>
      </c>
      <c r="B1096" t="s">
        <v>34</v>
      </c>
      <c r="C1096">
        <f t="shared" si="90"/>
        <v>1</v>
      </c>
      <c r="D1096" t="s">
        <v>27</v>
      </c>
      <c r="E1096">
        <f t="shared" si="91"/>
        <v>0</v>
      </c>
      <c r="F1096" t="s">
        <v>28</v>
      </c>
      <c r="G1096">
        <v>2</v>
      </c>
      <c r="H1096" s="1">
        <v>42756</v>
      </c>
      <c r="I1096" s="10">
        <v>0.14000000000000001</v>
      </c>
      <c r="J1096">
        <v>37.5</v>
      </c>
      <c r="K1096" t="s">
        <v>34</v>
      </c>
      <c r="L1096">
        <v>28</v>
      </c>
      <c r="M1096" t="s">
        <v>29</v>
      </c>
      <c r="N1096" t="s">
        <v>48</v>
      </c>
      <c r="O1096" t="s">
        <v>31</v>
      </c>
      <c r="P1096">
        <v>1</v>
      </c>
      <c r="Q1096" t="s">
        <v>43</v>
      </c>
      <c r="R1096" t="s">
        <v>37</v>
      </c>
      <c r="S1096">
        <v>3</v>
      </c>
      <c r="T1096">
        <v>1</v>
      </c>
      <c r="U1096">
        <v>1</v>
      </c>
      <c r="V1096">
        <v>2</v>
      </c>
      <c r="W1096">
        <v>1</v>
      </c>
      <c r="X1096">
        <v>0</v>
      </c>
      <c r="Y1096">
        <v>0</v>
      </c>
      <c r="Z1096">
        <v>0</v>
      </c>
      <c r="AA1096" t="str">
        <f t="shared" si="93"/>
        <v>Early Tenure</v>
      </c>
      <c r="AB1096" s="5">
        <v>45202</v>
      </c>
      <c r="AC1096">
        <f t="shared" si="94"/>
        <v>0</v>
      </c>
      <c r="AD1096" t="s">
        <v>49</v>
      </c>
      <c r="AE1096">
        <f>VLOOKUP(A1096,'Employee Engagement Survey'!A1039:B2508,2,FALSE)</f>
        <v>1</v>
      </c>
      <c r="AF1096">
        <f>VLOOKUP(A1096,'Employee Engagement Survey'!A1039:C2508,3,FALSE)</f>
        <v>3</v>
      </c>
      <c r="AG1096">
        <f>VLOOKUP(A1096,'Employee Engagement Survey'!A1039:D2508,4,FALSE)</f>
        <v>4</v>
      </c>
      <c r="AH1096">
        <f>VLOOKUP(A1096,'Employee Engagement Survey'!A1039:E2508,5,FALSE)</f>
        <v>1</v>
      </c>
      <c r="AI1096">
        <f t="shared" si="92"/>
        <v>2.25</v>
      </c>
    </row>
    <row r="1097" spans="1:35" hidden="1" x14ac:dyDescent="0.4">
      <c r="A1097">
        <v>1312</v>
      </c>
      <c r="B1097" t="s">
        <v>34</v>
      </c>
      <c r="C1097">
        <f t="shared" si="90"/>
        <v>1</v>
      </c>
      <c r="D1097" t="s">
        <v>55</v>
      </c>
      <c r="E1097">
        <f t="shared" si="91"/>
        <v>0</v>
      </c>
      <c r="F1097" t="s">
        <v>28</v>
      </c>
      <c r="G1097">
        <v>8</v>
      </c>
      <c r="H1097" s="1">
        <v>97128</v>
      </c>
      <c r="I1097" s="10">
        <v>0.12</v>
      </c>
      <c r="J1097">
        <v>37.5</v>
      </c>
      <c r="K1097" t="s">
        <v>34</v>
      </c>
      <c r="L1097">
        <v>36</v>
      </c>
      <c r="M1097" t="s">
        <v>47</v>
      </c>
      <c r="N1097" t="s">
        <v>42</v>
      </c>
      <c r="O1097" t="s">
        <v>31</v>
      </c>
      <c r="P1097">
        <v>10</v>
      </c>
      <c r="Q1097" t="s">
        <v>51</v>
      </c>
      <c r="R1097" t="s">
        <v>45</v>
      </c>
      <c r="S1097">
        <v>3</v>
      </c>
      <c r="T1097">
        <v>0</v>
      </c>
      <c r="U1097">
        <v>10</v>
      </c>
      <c r="V1097">
        <v>0</v>
      </c>
      <c r="W1097">
        <v>7</v>
      </c>
      <c r="X1097">
        <v>7</v>
      </c>
      <c r="Y1097">
        <v>1</v>
      </c>
      <c r="Z1097">
        <v>7</v>
      </c>
      <c r="AA1097" t="str">
        <f t="shared" si="93"/>
        <v>Mid Tenure</v>
      </c>
      <c r="AB1097" s="5">
        <v>45291</v>
      </c>
      <c r="AC1097">
        <f t="shared" si="94"/>
        <v>0</v>
      </c>
      <c r="AD1097" t="s">
        <v>38</v>
      </c>
      <c r="AE1097">
        <f>VLOOKUP(A1097,'Employee Engagement Survey'!A1040:B2509,2,FALSE)</f>
        <v>4</v>
      </c>
      <c r="AF1097">
        <f>VLOOKUP(A1097,'Employee Engagement Survey'!A1040:C2509,3,FALSE)</f>
        <v>3</v>
      </c>
      <c r="AG1097">
        <f>VLOOKUP(A1097,'Employee Engagement Survey'!A1040:D2509,4,FALSE)</f>
        <v>1</v>
      </c>
      <c r="AH1097">
        <f>VLOOKUP(A1097,'Employee Engagement Survey'!A1040:E2509,5,FALSE)</f>
        <v>3</v>
      </c>
      <c r="AI1097">
        <f t="shared" si="92"/>
        <v>2.75</v>
      </c>
    </row>
    <row r="1098" spans="1:35" hidden="1" x14ac:dyDescent="0.4">
      <c r="A1098">
        <v>1507</v>
      </c>
      <c r="B1098" t="s">
        <v>34</v>
      </c>
      <c r="C1098">
        <f t="shared" si="90"/>
        <v>1</v>
      </c>
      <c r="D1098" t="s">
        <v>57</v>
      </c>
      <c r="E1098">
        <f t="shared" si="91"/>
        <v>0</v>
      </c>
      <c r="F1098" t="s">
        <v>40</v>
      </c>
      <c r="G1098">
        <v>7</v>
      </c>
      <c r="H1098" s="1">
        <v>70776</v>
      </c>
      <c r="I1098" s="10">
        <v>0.14000000000000001</v>
      </c>
      <c r="J1098">
        <v>37.5</v>
      </c>
      <c r="K1098" t="s">
        <v>34</v>
      </c>
      <c r="L1098">
        <v>28</v>
      </c>
      <c r="M1098" t="s">
        <v>29</v>
      </c>
      <c r="N1098" t="s">
        <v>30</v>
      </c>
      <c r="O1098" t="s">
        <v>44</v>
      </c>
      <c r="P1098">
        <v>7</v>
      </c>
      <c r="Q1098" t="s">
        <v>43</v>
      </c>
      <c r="R1098" t="s">
        <v>37</v>
      </c>
      <c r="S1098">
        <v>3</v>
      </c>
      <c r="T1098">
        <v>0</v>
      </c>
      <c r="U1098">
        <v>5</v>
      </c>
      <c r="V1098">
        <v>5</v>
      </c>
      <c r="W1098">
        <v>4</v>
      </c>
      <c r="X1098">
        <v>2</v>
      </c>
      <c r="Y1098">
        <v>1</v>
      </c>
      <c r="Z1098">
        <v>3</v>
      </c>
      <c r="AA1098" t="str">
        <f t="shared" si="93"/>
        <v>Mid Tenure</v>
      </c>
      <c r="AB1098" s="5">
        <v>45314</v>
      </c>
      <c r="AC1098">
        <f t="shared" si="94"/>
        <v>1</v>
      </c>
      <c r="AD1098" t="s">
        <v>38</v>
      </c>
      <c r="AE1098">
        <f>VLOOKUP(A1098,'Employee Engagement Survey'!A1041:B2510,2,FALSE)</f>
        <v>3</v>
      </c>
      <c r="AF1098">
        <f>VLOOKUP(A1098,'Employee Engagement Survey'!A1041:C2510,3,FALSE)</f>
        <v>1</v>
      </c>
      <c r="AG1098">
        <f>VLOOKUP(A1098,'Employee Engagement Survey'!A1041:D2510,4,FALSE)</f>
        <v>4</v>
      </c>
      <c r="AH1098">
        <f>VLOOKUP(A1098,'Employee Engagement Survey'!A1041:E2510,5,FALSE)</f>
        <v>3</v>
      </c>
      <c r="AI1098">
        <f t="shared" si="92"/>
        <v>2.75</v>
      </c>
    </row>
    <row r="1099" spans="1:35" hidden="1" x14ac:dyDescent="0.4">
      <c r="A1099">
        <v>1514</v>
      </c>
      <c r="B1099" t="s">
        <v>34</v>
      </c>
      <c r="C1099">
        <f t="shared" si="90"/>
        <v>1</v>
      </c>
      <c r="D1099" t="s">
        <v>54</v>
      </c>
      <c r="E1099">
        <f t="shared" si="91"/>
        <v>1</v>
      </c>
      <c r="F1099" t="s">
        <v>28</v>
      </c>
      <c r="G1099">
        <v>8</v>
      </c>
      <c r="H1099" s="1">
        <v>90588</v>
      </c>
      <c r="I1099" s="10">
        <v>0.14000000000000001</v>
      </c>
      <c r="J1099">
        <v>37.5</v>
      </c>
      <c r="K1099" t="s">
        <v>34</v>
      </c>
      <c r="L1099">
        <v>28</v>
      </c>
      <c r="M1099" t="s">
        <v>29</v>
      </c>
      <c r="N1099" t="s">
        <v>42</v>
      </c>
      <c r="O1099" t="s">
        <v>31</v>
      </c>
      <c r="P1099">
        <v>29</v>
      </c>
      <c r="Q1099" t="s">
        <v>32</v>
      </c>
      <c r="R1099" t="s">
        <v>37</v>
      </c>
      <c r="S1099">
        <v>3</v>
      </c>
      <c r="T1099">
        <v>2</v>
      </c>
      <c r="U1099">
        <v>8</v>
      </c>
      <c r="V1099">
        <v>2</v>
      </c>
      <c r="W1099">
        <v>8</v>
      </c>
      <c r="X1099">
        <v>6</v>
      </c>
      <c r="Y1099">
        <v>1</v>
      </c>
      <c r="Z1099">
        <v>7</v>
      </c>
      <c r="AA1099" t="str">
        <f t="shared" si="93"/>
        <v>Mid Tenure</v>
      </c>
      <c r="AB1099" s="5">
        <v>45700</v>
      </c>
      <c r="AC1099">
        <f t="shared" si="94"/>
        <v>1</v>
      </c>
      <c r="AD1099" t="s">
        <v>38</v>
      </c>
      <c r="AE1099">
        <f>VLOOKUP(A1099,'Employee Engagement Survey'!A1042:B2511,2,FALSE)</f>
        <v>3</v>
      </c>
      <c r="AF1099">
        <f>VLOOKUP(A1099,'Employee Engagement Survey'!A1042:C2511,3,FALSE)</f>
        <v>2</v>
      </c>
      <c r="AG1099">
        <f>VLOOKUP(A1099,'Employee Engagement Survey'!A1042:D2511,4,FALSE)</f>
        <v>2</v>
      </c>
      <c r="AH1099">
        <f>VLOOKUP(A1099,'Employee Engagement Survey'!A1042:E2511,5,FALSE)</f>
        <v>2</v>
      </c>
      <c r="AI1099">
        <f t="shared" si="92"/>
        <v>2.25</v>
      </c>
    </row>
    <row r="1100" spans="1:35" hidden="1" x14ac:dyDescent="0.4">
      <c r="A1100">
        <v>1515</v>
      </c>
      <c r="B1100" t="s">
        <v>34</v>
      </c>
      <c r="C1100">
        <f t="shared" si="90"/>
        <v>1</v>
      </c>
      <c r="D1100" t="s">
        <v>55</v>
      </c>
      <c r="E1100">
        <f t="shared" si="91"/>
        <v>0</v>
      </c>
      <c r="F1100" t="s">
        <v>28</v>
      </c>
      <c r="G1100">
        <v>8</v>
      </c>
      <c r="H1100" s="1">
        <v>88656</v>
      </c>
      <c r="I1100" s="10">
        <v>0.17</v>
      </c>
      <c r="J1100">
        <v>37.5</v>
      </c>
      <c r="K1100" t="s">
        <v>26</v>
      </c>
      <c r="L1100">
        <v>33</v>
      </c>
      <c r="M1100" t="s">
        <v>29</v>
      </c>
      <c r="N1100" t="s">
        <v>30</v>
      </c>
      <c r="O1100" t="s">
        <v>31</v>
      </c>
      <c r="P1100">
        <v>8</v>
      </c>
      <c r="Q1100" t="s">
        <v>58</v>
      </c>
      <c r="R1100" t="s">
        <v>37</v>
      </c>
      <c r="S1100">
        <v>3</v>
      </c>
      <c r="T1100">
        <v>0</v>
      </c>
      <c r="U1100">
        <v>14</v>
      </c>
      <c r="V1100">
        <v>6</v>
      </c>
      <c r="W1100">
        <v>0</v>
      </c>
      <c r="X1100">
        <v>0</v>
      </c>
      <c r="Y1100">
        <v>0</v>
      </c>
      <c r="Z1100">
        <v>0</v>
      </c>
      <c r="AA1100" t="str">
        <f t="shared" si="93"/>
        <v>Early Tenure</v>
      </c>
      <c r="AB1100" s="5">
        <v>45854</v>
      </c>
      <c r="AC1100">
        <f t="shared" si="94"/>
        <v>1</v>
      </c>
      <c r="AD1100" t="s">
        <v>38</v>
      </c>
      <c r="AE1100">
        <f>VLOOKUP(A1100,'Employee Engagement Survey'!A1043:B2512,2,FALSE)</f>
        <v>4</v>
      </c>
      <c r="AF1100">
        <f>VLOOKUP(A1100,'Employee Engagement Survey'!A1043:C2512,3,FALSE)</f>
        <v>3</v>
      </c>
      <c r="AG1100">
        <f>VLOOKUP(A1100,'Employee Engagement Survey'!A1043:D2512,4,FALSE)</f>
        <v>1</v>
      </c>
      <c r="AH1100">
        <f>VLOOKUP(A1100,'Employee Engagement Survey'!A1043:E2512,5,FALSE)</f>
        <v>3</v>
      </c>
      <c r="AI1100">
        <f t="shared" si="92"/>
        <v>2.75</v>
      </c>
    </row>
    <row r="1101" spans="1:35" hidden="1" x14ac:dyDescent="0.4">
      <c r="A1101">
        <v>462</v>
      </c>
      <c r="B1101" t="s">
        <v>34</v>
      </c>
      <c r="C1101">
        <f t="shared" si="90"/>
        <v>1</v>
      </c>
      <c r="D1101" t="s">
        <v>54</v>
      </c>
      <c r="E1101">
        <f t="shared" si="91"/>
        <v>1</v>
      </c>
      <c r="F1101" t="s">
        <v>28</v>
      </c>
      <c r="G1101">
        <v>8</v>
      </c>
      <c r="H1101" s="1">
        <v>97716</v>
      </c>
      <c r="I1101" s="10">
        <v>0.14000000000000001</v>
      </c>
      <c r="J1101">
        <v>37.5</v>
      </c>
      <c r="K1101" t="s">
        <v>26</v>
      </c>
      <c r="L1101">
        <v>31</v>
      </c>
      <c r="M1101" t="s">
        <v>47</v>
      </c>
      <c r="N1101" t="s">
        <v>30</v>
      </c>
      <c r="O1101" t="s">
        <v>31</v>
      </c>
      <c r="P1101">
        <v>7</v>
      </c>
      <c r="Q1101" t="s">
        <v>51</v>
      </c>
      <c r="R1101" t="s">
        <v>33</v>
      </c>
      <c r="S1101">
        <v>3</v>
      </c>
      <c r="T1101">
        <v>0</v>
      </c>
      <c r="U1101">
        <v>11</v>
      </c>
      <c r="V1101">
        <v>2</v>
      </c>
      <c r="W1101">
        <v>11</v>
      </c>
      <c r="X1101">
        <v>9</v>
      </c>
      <c r="Y1101">
        <v>4</v>
      </c>
      <c r="Z1101">
        <v>10</v>
      </c>
      <c r="AA1101" t="str">
        <f t="shared" si="93"/>
        <v>Long Tenure</v>
      </c>
      <c r="AB1101" s="5">
        <v>45182</v>
      </c>
      <c r="AC1101">
        <f t="shared" si="94"/>
        <v>0</v>
      </c>
      <c r="AD1101" t="s">
        <v>38</v>
      </c>
      <c r="AE1101">
        <f>VLOOKUP(A1101,'Employee Engagement Survey'!A1044:B2513,2,FALSE)</f>
        <v>3</v>
      </c>
      <c r="AF1101">
        <f>VLOOKUP(A1101,'Employee Engagement Survey'!A1044:C2513,3,FALSE)</f>
        <v>4</v>
      </c>
      <c r="AG1101">
        <f>VLOOKUP(A1101,'Employee Engagement Survey'!A1044:D2513,4,FALSE)</f>
        <v>3</v>
      </c>
      <c r="AH1101">
        <f>VLOOKUP(A1101,'Employee Engagement Survey'!A1044:E2513,5,FALSE)</f>
        <v>2</v>
      </c>
      <c r="AI1101">
        <f t="shared" si="92"/>
        <v>3</v>
      </c>
    </row>
    <row r="1102" spans="1:35" hidden="1" x14ac:dyDescent="0.4">
      <c r="A1102">
        <v>1516</v>
      </c>
      <c r="B1102" t="s">
        <v>34</v>
      </c>
      <c r="C1102">
        <f t="shared" si="90"/>
        <v>1</v>
      </c>
      <c r="D1102" t="s">
        <v>109</v>
      </c>
      <c r="E1102">
        <f t="shared" si="91"/>
        <v>1</v>
      </c>
      <c r="F1102" t="s">
        <v>28</v>
      </c>
      <c r="G1102">
        <v>10</v>
      </c>
      <c r="H1102" s="1">
        <v>146928</v>
      </c>
      <c r="I1102" s="10">
        <v>0.25</v>
      </c>
      <c r="J1102">
        <v>37.5</v>
      </c>
      <c r="K1102" t="s">
        <v>34</v>
      </c>
      <c r="L1102">
        <v>32</v>
      </c>
      <c r="M1102" t="s">
        <v>29</v>
      </c>
      <c r="N1102" t="s">
        <v>30</v>
      </c>
      <c r="O1102" t="s">
        <v>31</v>
      </c>
      <c r="P1102">
        <v>10</v>
      </c>
      <c r="Q1102" t="s">
        <v>43</v>
      </c>
      <c r="R1102" t="s">
        <v>33</v>
      </c>
      <c r="S1102">
        <v>4</v>
      </c>
      <c r="T1102">
        <v>0</v>
      </c>
      <c r="U1102">
        <v>10</v>
      </c>
      <c r="V1102">
        <v>5</v>
      </c>
      <c r="W1102">
        <v>5</v>
      </c>
      <c r="X1102">
        <v>2</v>
      </c>
      <c r="Y1102">
        <v>0</v>
      </c>
      <c r="Z1102">
        <v>0</v>
      </c>
      <c r="AA1102" t="str">
        <f t="shared" si="93"/>
        <v>Mid Tenure</v>
      </c>
      <c r="AB1102" s="5">
        <v>45127</v>
      </c>
      <c r="AC1102">
        <f t="shared" si="94"/>
        <v>0</v>
      </c>
      <c r="AD1102" t="s">
        <v>38</v>
      </c>
      <c r="AE1102">
        <f>VLOOKUP(A1102,'Employee Engagement Survey'!A1045:B2514,2,FALSE)</f>
        <v>3</v>
      </c>
      <c r="AF1102">
        <f>VLOOKUP(A1102,'Employee Engagement Survey'!A1045:C2514,3,FALSE)</f>
        <v>4</v>
      </c>
      <c r="AG1102">
        <f>VLOOKUP(A1102,'Employee Engagement Survey'!A1045:D2514,4,FALSE)</f>
        <v>2</v>
      </c>
      <c r="AH1102">
        <f>VLOOKUP(A1102,'Employee Engagement Survey'!A1045:E2514,5,FALSE)</f>
        <v>4</v>
      </c>
      <c r="AI1102">
        <f t="shared" si="92"/>
        <v>3.25</v>
      </c>
    </row>
    <row r="1103" spans="1:35" hidden="1" x14ac:dyDescent="0.4">
      <c r="A1103">
        <v>1523</v>
      </c>
      <c r="B1103" t="s">
        <v>34</v>
      </c>
      <c r="C1103">
        <f t="shared" si="90"/>
        <v>1</v>
      </c>
      <c r="D1103" t="s">
        <v>60</v>
      </c>
      <c r="E1103">
        <f t="shared" si="91"/>
        <v>1</v>
      </c>
      <c r="F1103" t="s">
        <v>28</v>
      </c>
      <c r="G1103">
        <v>4</v>
      </c>
      <c r="H1103" s="1">
        <v>207936</v>
      </c>
      <c r="I1103" s="10">
        <v>0.13</v>
      </c>
      <c r="J1103">
        <v>37.5</v>
      </c>
      <c r="K1103" t="s">
        <v>34</v>
      </c>
      <c r="L1103">
        <v>44</v>
      </c>
      <c r="M1103" t="s">
        <v>29</v>
      </c>
      <c r="N1103" t="s">
        <v>42</v>
      </c>
      <c r="O1103" t="s">
        <v>31</v>
      </c>
      <c r="P1103">
        <v>28</v>
      </c>
      <c r="Q1103" t="s">
        <v>43</v>
      </c>
      <c r="R1103" t="s">
        <v>37</v>
      </c>
      <c r="S1103">
        <v>3</v>
      </c>
      <c r="T1103">
        <v>1</v>
      </c>
      <c r="U1103">
        <v>24</v>
      </c>
      <c r="V1103">
        <v>1</v>
      </c>
      <c r="W1103">
        <v>20</v>
      </c>
      <c r="X1103">
        <v>6</v>
      </c>
      <c r="Y1103">
        <v>14</v>
      </c>
      <c r="Z1103">
        <v>17</v>
      </c>
      <c r="AA1103" t="str">
        <f t="shared" si="93"/>
        <v>Long Tenure</v>
      </c>
      <c r="AB1103" s="5">
        <v>45789</v>
      </c>
      <c r="AC1103">
        <f t="shared" si="94"/>
        <v>1</v>
      </c>
      <c r="AD1103" t="s">
        <v>38</v>
      </c>
      <c r="AE1103">
        <f>VLOOKUP(A1103,'Employee Engagement Survey'!A1047:B2516,2,FALSE)</f>
        <v>4</v>
      </c>
      <c r="AF1103">
        <f>VLOOKUP(A1103,'Employee Engagement Survey'!A1047:C2516,3,FALSE)</f>
        <v>1</v>
      </c>
      <c r="AG1103">
        <f>VLOOKUP(A1103,'Employee Engagement Survey'!A1047:D2516,4,FALSE)</f>
        <v>3</v>
      </c>
      <c r="AH1103">
        <f>VLOOKUP(A1103,'Employee Engagement Survey'!A1047:E2516,5,FALSE)</f>
        <v>4</v>
      </c>
      <c r="AI1103">
        <f t="shared" si="92"/>
        <v>3</v>
      </c>
    </row>
    <row r="1104" spans="1:35" hidden="1" x14ac:dyDescent="0.4">
      <c r="A1104">
        <v>1533</v>
      </c>
      <c r="B1104" t="s">
        <v>34</v>
      </c>
      <c r="C1104">
        <f t="shared" si="90"/>
        <v>1</v>
      </c>
      <c r="D1104" t="s">
        <v>46</v>
      </c>
      <c r="E1104">
        <f t="shared" si="91"/>
        <v>0</v>
      </c>
      <c r="F1104" t="s">
        <v>28</v>
      </c>
      <c r="G1104">
        <v>4</v>
      </c>
      <c r="H1104" s="1">
        <v>51264</v>
      </c>
      <c r="I1104" s="10">
        <v>0.14000000000000001</v>
      </c>
      <c r="J1104">
        <v>37.5</v>
      </c>
      <c r="K1104" t="s">
        <v>34</v>
      </c>
      <c r="L1104">
        <v>23</v>
      </c>
      <c r="M1104" t="s">
        <v>29</v>
      </c>
      <c r="N1104" t="s">
        <v>30</v>
      </c>
      <c r="O1104" t="s">
        <v>31</v>
      </c>
      <c r="P1104">
        <v>20</v>
      </c>
      <c r="Q1104" t="s">
        <v>32</v>
      </c>
      <c r="R1104" t="s">
        <v>37</v>
      </c>
      <c r="S1104">
        <v>3</v>
      </c>
      <c r="T1104">
        <v>0</v>
      </c>
      <c r="U1104">
        <v>5</v>
      </c>
      <c r="V1104">
        <v>2</v>
      </c>
      <c r="W1104">
        <v>4</v>
      </c>
      <c r="X1104">
        <v>3</v>
      </c>
      <c r="Y1104">
        <v>1</v>
      </c>
      <c r="Z1104">
        <v>2</v>
      </c>
      <c r="AA1104" t="str">
        <f t="shared" si="93"/>
        <v>Mid Tenure</v>
      </c>
      <c r="AB1104" s="5">
        <v>45558</v>
      </c>
      <c r="AC1104">
        <f t="shared" si="94"/>
        <v>1</v>
      </c>
      <c r="AD1104" t="s">
        <v>49</v>
      </c>
      <c r="AE1104">
        <f>VLOOKUP(A1104,'Employee Engagement Survey'!A1050:B2519,2,FALSE)</f>
        <v>1</v>
      </c>
      <c r="AF1104">
        <f>VLOOKUP(A1104,'Employee Engagement Survey'!A1050:C2519,3,FALSE)</f>
        <v>3</v>
      </c>
      <c r="AG1104">
        <f>VLOOKUP(A1104,'Employee Engagement Survey'!A1050:D2519,4,FALSE)</f>
        <v>2</v>
      </c>
      <c r="AH1104">
        <f>VLOOKUP(A1104,'Employee Engagement Survey'!A1050:E2519,5,FALSE)</f>
        <v>3</v>
      </c>
      <c r="AI1104">
        <f t="shared" si="92"/>
        <v>2.25</v>
      </c>
    </row>
    <row r="1105" spans="1:35" hidden="1" x14ac:dyDescent="0.4">
      <c r="A1105">
        <v>944</v>
      </c>
      <c r="B1105" t="s">
        <v>34</v>
      </c>
      <c r="C1105">
        <f t="shared" si="90"/>
        <v>1</v>
      </c>
      <c r="D1105" t="s">
        <v>46</v>
      </c>
      <c r="E1105">
        <f t="shared" si="91"/>
        <v>0</v>
      </c>
      <c r="F1105" t="s">
        <v>28</v>
      </c>
      <c r="G1105">
        <v>9</v>
      </c>
      <c r="H1105" s="1">
        <v>100836</v>
      </c>
      <c r="I1105" s="10">
        <v>0.11</v>
      </c>
      <c r="J1105">
        <v>37.5</v>
      </c>
      <c r="K1105" t="s">
        <v>34</v>
      </c>
      <c r="L1105">
        <v>49</v>
      </c>
      <c r="M1105" t="s">
        <v>47</v>
      </c>
      <c r="N1105" t="s">
        <v>42</v>
      </c>
      <c r="O1105" t="s">
        <v>31</v>
      </c>
      <c r="P1105">
        <v>8</v>
      </c>
      <c r="Q1105" t="s">
        <v>36</v>
      </c>
      <c r="R1105" t="s">
        <v>53</v>
      </c>
      <c r="S1105">
        <v>3</v>
      </c>
      <c r="T1105">
        <v>1</v>
      </c>
      <c r="U1105">
        <v>29</v>
      </c>
      <c r="V1105">
        <v>3</v>
      </c>
      <c r="W1105">
        <v>26</v>
      </c>
      <c r="X1105">
        <v>9</v>
      </c>
      <c r="Y1105">
        <v>1</v>
      </c>
      <c r="Z1105">
        <v>7</v>
      </c>
      <c r="AA1105" t="str">
        <f t="shared" si="93"/>
        <v>Long Tenure</v>
      </c>
      <c r="AB1105" s="5">
        <v>45623</v>
      </c>
      <c r="AC1105">
        <f t="shared" si="94"/>
        <v>1</v>
      </c>
      <c r="AD1105" t="s">
        <v>38</v>
      </c>
      <c r="AE1105">
        <f>VLOOKUP(A1105,'Employee Engagement Survey'!A1052:B2521,2,FALSE)</f>
        <v>1</v>
      </c>
      <c r="AF1105">
        <f>VLOOKUP(A1105,'Employee Engagement Survey'!A1052:C2521,3,FALSE)</f>
        <v>2</v>
      </c>
      <c r="AG1105">
        <f>VLOOKUP(A1105,'Employee Engagement Survey'!A1052:D2521,4,FALSE)</f>
        <v>3</v>
      </c>
      <c r="AH1105">
        <f>VLOOKUP(A1105,'Employee Engagement Survey'!A1052:E2521,5,FALSE)</f>
        <v>2</v>
      </c>
      <c r="AI1105">
        <f t="shared" si="92"/>
        <v>2</v>
      </c>
    </row>
    <row r="1106" spans="1:35" hidden="1" x14ac:dyDescent="0.4">
      <c r="A1106">
        <v>1535</v>
      </c>
      <c r="B1106" t="s">
        <v>34</v>
      </c>
      <c r="C1106">
        <f t="shared" si="90"/>
        <v>1</v>
      </c>
      <c r="D1106" t="s">
        <v>57</v>
      </c>
      <c r="E1106">
        <f t="shared" si="91"/>
        <v>0</v>
      </c>
      <c r="F1106" t="s">
        <v>40</v>
      </c>
      <c r="G1106">
        <v>8</v>
      </c>
      <c r="H1106" s="1">
        <v>96996</v>
      </c>
      <c r="I1106" s="10">
        <v>0.14000000000000001</v>
      </c>
      <c r="J1106">
        <v>37.5</v>
      </c>
      <c r="K1106" t="s">
        <v>26</v>
      </c>
      <c r="L1106">
        <v>34</v>
      </c>
      <c r="M1106" t="s">
        <v>29</v>
      </c>
      <c r="N1106" t="s">
        <v>42</v>
      </c>
      <c r="O1106" t="s">
        <v>31</v>
      </c>
      <c r="P1106">
        <v>1</v>
      </c>
      <c r="Q1106" t="s">
        <v>43</v>
      </c>
      <c r="R1106" t="s">
        <v>45</v>
      </c>
      <c r="S1106">
        <v>3</v>
      </c>
      <c r="T1106">
        <v>0</v>
      </c>
      <c r="U1106">
        <v>10</v>
      </c>
      <c r="V1106">
        <v>3</v>
      </c>
      <c r="W1106">
        <v>10</v>
      </c>
      <c r="X1106">
        <v>9</v>
      </c>
      <c r="Y1106">
        <v>8</v>
      </c>
      <c r="Z1106">
        <v>6</v>
      </c>
      <c r="AA1106" t="str">
        <f t="shared" si="93"/>
        <v>Long Tenure</v>
      </c>
      <c r="AB1106" s="5">
        <v>45972</v>
      </c>
      <c r="AC1106">
        <f t="shared" si="94"/>
        <v>1</v>
      </c>
      <c r="AD1106" t="s">
        <v>38</v>
      </c>
      <c r="AE1106">
        <f>VLOOKUP(A1106,'Employee Engagement Survey'!A1053:B2522,2,FALSE)</f>
        <v>4</v>
      </c>
      <c r="AF1106">
        <f>VLOOKUP(A1106,'Employee Engagement Survey'!A1053:C2522,3,FALSE)</f>
        <v>3</v>
      </c>
      <c r="AG1106">
        <f>VLOOKUP(A1106,'Employee Engagement Survey'!A1053:D2522,4,FALSE)</f>
        <v>4</v>
      </c>
      <c r="AH1106">
        <f>VLOOKUP(A1106,'Employee Engagement Survey'!A1053:E2522,5,FALSE)</f>
        <v>3</v>
      </c>
      <c r="AI1106">
        <f t="shared" si="92"/>
        <v>3.5</v>
      </c>
    </row>
    <row r="1107" spans="1:35" hidden="1" x14ac:dyDescent="0.4">
      <c r="A1107">
        <v>725</v>
      </c>
      <c r="B1107" t="s">
        <v>34</v>
      </c>
      <c r="C1107">
        <f t="shared" si="90"/>
        <v>1</v>
      </c>
      <c r="D1107" t="s">
        <v>54</v>
      </c>
      <c r="E1107">
        <f t="shared" si="91"/>
        <v>1</v>
      </c>
      <c r="F1107" t="s">
        <v>28</v>
      </c>
      <c r="G1107">
        <v>9</v>
      </c>
      <c r="H1107" s="1">
        <v>100944</v>
      </c>
      <c r="I1107" s="10">
        <v>0.11</v>
      </c>
      <c r="J1107">
        <v>37.5</v>
      </c>
      <c r="K1107" t="s">
        <v>34</v>
      </c>
      <c r="L1107">
        <v>27</v>
      </c>
      <c r="M1107" t="s">
        <v>47</v>
      </c>
      <c r="N1107" t="s">
        <v>42</v>
      </c>
      <c r="O1107" t="s">
        <v>31</v>
      </c>
      <c r="P1107">
        <v>1</v>
      </c>
      <c r="Q1107" t="s">
        <v>36</v>
      </c>
      <c r="R1107" t="s">
        <v>37</v>
      </c>
      <c r="S1107">
        <v>3</v>
      </c>
      <c r="T1107">
        <v>0</v>
      </c>
      <c r="U1107">
        <v>9</v>
      </c>
      <c r="V1107">
        <v>3</v>
      </c>
      <c r="W1107">
        <v>9</v>
      </c>
      <c r="X1107">
        <v>7</v>
      </c>
      <c r="Y1107">
        <v>0</v>
      </c>
      <c r="Z1107">
        <v>7</v>
      </c>
      <c r="AA1107" t="str">
        <f t="shared" si="93"/>
        <v>Mid Tenure</v>
      </c>
      <c r="AB1107" s="5">
        <v>45337</v>
      </c>
      <c r="AC1107">
        <f t="shared" si="94"/>
        <v>1</v>
      </c>
      <c r="AD1107" t="s">
        <v>49</v>
      </c>
      <c r="AE1107">
        <f>VLOOKUP(A1107,'Employee Engagement Survey'!A1054:B2523,2,FALSE)</f>
        <v>3</v>
      </c>
      <c r="AF1107">
        <f>VLOOKUP(A1107,'Employee Engagement Survey'!A1054:C2523,3,FALSE)</f>
        <v>1</v>
      </c>
      <c r="AG1107">
        <f>VLOOKUP(A1107,'Employee Engagement Survey'!A1054:D2523,4,FALSE)</f>
        <v>4</v>
      </c>
      <c r="AH1107">
        <f>VLOOKUP(A1107,'Employee Engagement Survey'!A1054:E2523,5,FALSE)</f>
        <v>3</v>
      </c>
      <c r="AI1107">
        <f t="shared" si="92"/>
        <v>2.75</v>
      </c>
    </row>
    <row r="1108" spans="1:35" hidden="1" x14ac:dyDescent="0.4">
      <c r="A1108">
        <v>1539</v>
      </c>
      <c r="B1108" t="s">
        <v>34</v>
      </c>
      <c r="C1108">
        <f t="shared" si="90"/>
        <v>1</v>
      </c>
      <c r="D1108" t="s">
        <v>60</v>
      </c>
      <c r="E1108">
        <f t="shared" si="91"/>
        <v>1</v>
      </c>
      <c r="F1108" t="s">
        <v>28</v>
      </c>
      <c r="G1108">
        <v>4</v>
      </c>
      <c r="H1108" s="1">
        <v>184932</v>
      </c>
      <c r="I1108" s="10">
        <v>0.13</v>
      </c>
      <c r="J1108">
        <v>37.5</v>
      </c>
      <c r="K1108" t="s">
        <v>26</v>
      </c>
      <c r="L1108">
        <v>50</v>
      </c>
      <c r="M1108" t="s">
        <v>29</v>
      </c>
      <c r="N1108" t="s">
        <v>30</v>
      </c>
      <c r="O1108" t="s">
        <v>44</v>
      </c>
      <c r="P1108">
        <v>22</v>
      </c>
      <c r="Q1108" t="s">
        <v>58</v>
      </c>
      <c r="R1108" t="s">
        <v>33</v>
      </c>
      <c r="S1108">
        <v>3</v>
      </c>
      <c r="T1108">
        <v>0</v>
      </c>
      <c r="U1108">
        <v>32</v>
      </c>
      <c r="V1108">
        <v>2</v>
      </c>
      <c r="W1108">
        <v>32</v>
      </c>
      <c r="X1108">
        <v>6</v>
      </c>
      <c r="Y1108">
        <v>13</v>
      </c>
      <c r="Z1108">
        <v>9</v>
      </c>
      <c r="AA1108" t="str">
        <f t="shared" si="93"/>
        <v>Long Tenure</v>
      </c>
      <c r="AB1108" s="5">
        <v>45042</v>
      </c>
      <c r="AC1108">
        <f t="shared" si="94"/>
        <v>0</v>
      </c>
      <c r="AD1108" t="s">
        <v>38</v>
      </c>
      <c r="AE1108">
        <f>VLOOKUP(A1108,'Employee Engagement Survey'!A1055:B2524,2,FALSE)</f>
        <v>3</v>
      </c>
      <c r="AF1108">
        <f>VLOOKUP(A1108,'Employee Engagement Survey'!A1055:C2524,3,FALSE)</f>
        <v>4</v>
      </c>
      <c r="AG1108">
        <f>VLOOKUP(A1108,'Employee Engagement Survey'!A1055:D2524,4,FALSE)</f>
        <v>4</v>
      </c>
      <c r="AH1108">
        <f>VLOOKUP(A1108,'Employee Engagement Survey'!A1055:E2524,5,FALSE)</f>
        <v>3</v>
      </c>
      <c r="AI1108">
        <f t="shared" si="92"/>
        <v>3.5</v>
      </c>
    </row>
    <row r="1109" spans="1:35" hidden="1" x14ac:dyDescent="0.4">
      <c r="A1109">
        <v>1541</v>
      </c>
      <c r="B1109" t="s">
        <v>34</v>
      </c>
      <c r="C1109">
        <f t="shared" si="90"/>
        <v>1</v>
      </c>
      <c r="D1109" t="s">
        <v>39</v>
      </c>
      <c r="E1109">
        <f t="shared" si="91"/>
        <v>0</v>
      </c>
      <c r="F1109" t="s">
        <v>40</v>
      </c>
      <c r="G1109">
        <v>4</v>
      </c>
      <c r="H1109" s="1">
        <v>51696</v>
      </c>
      <c r="I1109" s="10">
        <v>0.25</v>
      </c>
      <c r="J1109">
        <v>37.5</v>
      </c>
      <c r="K1109" t="s">
        <v>26</v>
      </c>
      <c r="L1109">
        <v>34</v>
      </c>
      <c r="M1109" t="s">
        <v>29</v>
      </c>
      <c r="N1109" t="s">
        <v>42</v>
      </c>
      <c r="O1109" t="s">
        <v>31</v>
      </c>
      <c r="P1109">
        <v>7</v>
      </c>
      <c r="Q1109" t="s">
        <v>36</v>
      </c>
      <c r="R1109" t="s">
        <v>45</v>
      </c>
      <c r="S1109">
        <v>4</v>
      </c>
      <c r="T1109">
        <v>1</v>
      </c>
      <c r="U1109">
        <v>12</v>
      </c>
      <c r="V1109">
        <v>4</v>
      </c>
      <c r="W1109">
        <v>11</v>
      </c>
      <c r="X1109">
        <v>10</v>
      </c>
      <c r="Y1109">
        <v>5</v>
      </c>
      <c r="Z1109">
        <v>7</v>
      </c>
      <c r="AA1109" t="str">
        <f t="shared" si="93"/>
        <v>Long Tenure</v>
      </c>
      <c r="AB1109" s="5">
        <v>44952</v>
      </c>
      <c r="AC1109">
        <f t="shared" si="94"/>
        <v>0</v>
      </c>
      <c r="AD1109" t="s">
        <v>38</v>
      </c>
      <c r="AE1109">
        <f>VLOOKUP(A1109,'Employee Engagement Survey'!A1056:B2525,2,FALSE)</f>
        <v>2</v>
      </c>
      <c r="AF1109">
        <f>VLOOKUP(A1109,'Employee Engagement Survey'!A1056:C2525,3,FALSE)</f>
        <v>3</v>
      </c>
      <c r="AG1109">
        <f>VLOOKUP(A1109,'Employee Engagement Survey'!A1056:D2525,4,FALSE)</f>
        <v>2</v>
      </c>
      <c r="AH1109">
        <f>VLOOKUP(A1109,'Employee Engagement Survey'!A1056:E2525,5,FALSE)</f>
        <v>3</v>
      </c>
      <c r="AI1109">
        <f t="shared" si="92"/>
        <v>2.5</v>
      </c>
    </row>
    <row r="1110" spans="1:35" hidden="1" x14ac:dyDescent="0.4">
      <c r="A1110">
        <v>1542</v>
      </c>
      <c r="B1110" t="s">
        <v>34</v>
      </c>
      <c r="C1110">
        <f t="shared" si="90"/>
        <v>1</v>
      </c>
      <c r="D1110" t="s">
        <v>46</v>
      </c>
      <c r="E1110">
        <f t="shared" si="91"/>
        <v>0</v>
      </c>
      <c r="F1110" t="s">
        <v>28</v>
      </c>
      <c r="G1110">
        <v>7</v>
      </c>
      <c r="H1110" s="1">
        <v>70092</v>
      </c>
      <c r="I1110" s="10">
        <v>0.14000000000000001</v>
      </c>
      <c r="J1110">
        <v>37.5</v>
      </c>
      <c r="K1110" t="s">
        <v>34</v>
      </c>
      <c r="L1110">
        <v>42</v>
      </c>
      <c r="M1110" t="s">
        <v>29</v>
      </c>
      <c r="N1110" t="s">
        <v>42</v>
      </c>
      <c r="O1110" t="s">
        <v>31</v>
      </c>
      <c r="P1110">
        <v>2</v>
      </c>
      <c r="Q1110" t="s">
        <v>43</v>
      </c>
      <c r="R1110" t="s">
        <v>33</v>
      </c>
      <c r="S1110">
        <v>3</v>
      </c>
      <c r="T1110">
        <v>1</v>
      </c>
      <c r="U1110">
        <v>4</v>
      </c>
      <c r="V1110">
        <v>3</v>
      </c>
      <c r="W1110">
        <v>1</v>
      </c>
      <c r="X1110">
        <v>0</v>
      </c>
      <c r="Y1110">
        <v>0</v>
      </c>
      <c r="Z1110">
        <v>0</v>
      </c>
      <c r="AA1110" t="str">
        <f t="shared" si="93"/>
        <v>Early Tenure</v>
      </c>
      <c r="AB1110" s="5">
        <v>44643</v>
      </c>
      <c r="AC1110">
        <f t="shared" si="94"/>
        <v>0</v>
      </c>
      <c r="AD1110" t="s">
        <v>49</v>
      </c>
      <c r="AE1110">
        <f>VLOOKUP(A1110,'Employee Engagement Survey'!A1058:B2527,2,FALSE)</f>
        <v>3</v>
      </c>
      <c r="AF1110">
        <f>VLOOKUP(A1110,'Employee Engagement Survey'!A1058:C2527,3,FALSE)</f>
        <v>2</v>
      </c>
      <c r="AG1110">
        <f>VLOOKUP(A1110,'Employee Engagement Survey'!A1058:D2527,4,FALSE)</f>
        <v>2</v>
      </c>
      <c r="AH1110">
        <f>VLOOKUP(A1110,'Employee Engagement Survey'!A1058:E2527,5,FALSE)</f>
        <v>3</v>
      </c>
      <c r="AI1110">
        <f t="shared" si="92"/>
        <v>2.5</v>
      </c>
    </row>
    <row r="1111" spans="1:35" hidden="1" x14ac:dyDescent="0.4">
      <c r="A1111">
        <v>145</v>
      </c>
      <c r="B1111" t="s">
        <v>34</v>
      </c>
      <c r="C1111">
        <f t="shared" si="90"/>
        <v>1</v>
      </c>
      <c r="D1111" t="s">
        <v>55</v>
      </c>
      <c r="E1111">
        <f t="shared" si="91"/>
        <v>0</v>
      </c>
      <c r="F1111" t="s">
        <v>28</v>
      </c>
      <c r="G1111">
        <v>9</v>
      </c>
      <c r="H1111" s="1">
        <v>101808</v>
      </c>
      <c r="I1111" s="10">
        <v>0.2</v>
      </c>
      <c r="J1111">
        <v>37.5</v>
      </c>
      <c r="K1111" t="s">
        <v>34</v>
      </c>
      <c r="L1111">
        <v>51</v>
      </c>
      <c r="M1111" t="s">
        <v>47</v>
      </c>
      <c r="N1111" t="s">
        <v>30</v>
      </c>
      <c r="O1111" t="s">
        <v>44</v>
      </c>
      <c r="P1111">
        <v>1</v>
      </c>
      <c r="Q1111" t="s">
        <v>51</v>
      </c>
      <c r="R1111" t="s">
        <v>33</v>
      </c>
      <c r="S1111">
        <v>4</v>
      </c>
      <c r="T1111">
        <v>0</v>
      </c>
      <c r="U1111">
        <v>23</v>
      </c>
      <c r="V1111">
        <v>1</v>
      </c>
      <c r="W1111">
        <v>13</v>
      </c>
      <c r="X1111">
        <v>12</v>
      </c>
      <c r="Y1111">
        <v>12</v>
      </c>
      <c r="Z1111">
        <v>8</v>
      </c>
      <c r="AA1111" t="str">
        <f t="shared" si="93"/>
        <v>Long Tenure</v>
      </c>
      <c r="AB1111" s="5">
        <v>45205</v>
      </c>
      <c r="AC1111">
        <f t="shared" si="94"/>
        <v>0</v>
      </c>
      <c r="AD1111" t="s">
        <v>38</v>
      </c>
      <c r="AE1111">
        <f>VLOOKUP(A1111,'Employee Engagement Survey'!A1059:B2528,2,FALSE)</f>
        <v>1</v>
      </c>
      <c r="AF1111">
        <f>VLOOKUP(A1111,'Employee Engagement Survey'!A1059:C2528,3,FALSE)</f>
        <v>1</v>
      </c>
      <c r="AG1111">
        <f>VLOOKUP(A1111,'Employee Engagement Survey'!A1059:D2528,4,FALSE)</f>
        <v>3</v>
      </c>
      <c r="AH1111">
        <f>VLOOKUP(A1111,'Employee Engagement Survey'!A1059:E2528,5,FALSE)</f>
        <v>2</v>
      </c>
      <c r="AI1111">
        <f t="shared" si="92"/>
        <v>1.75</v>
      </c>
    </row>
    <row r="1112" spans="1:35" hidden="1" x14ac:dyDescent="0.4">
      <c r="A1112">
        <v>623</v>
      </c>
      <c r="B1112" t="s">
        <v>34</v>
      </c>
      <c r="C1112">
        <f t="shared" si="90"/>
        <v>1</v>
      </c>
      <c r="D1112" t="s">
        <v>54</v>
      </c>
      <c r="E1112">
        <f t="shared" si="91"/>
        <v>1</v>
      </c>
      <c r="F1112" t="s">
        <v>28</v>
      </c>
      <c r="G1112">
        <v>9</v>
      </c>
      <c r="H1112" s="1">
        <v>101892</v>
      </c>
      <c r="I1112" s="10">
        <v>0.17</v>
      </c>
      <c r="J1112">
        <v>37.5</v>
      </c>
      <c r="K1112" t="s">
        <v>34</v>
      </c>
      <c r="L1112">
        <v>37</v>
      </c>
      <c r="M1112" t="s">
        <v>47</v>
      </c>
      <c r="N1112" t="s">
        <v>30</v>
      </c>
      <c r="O1112" t="s">
        <v>31</v>
      </c>
      <c r="P1112">
        <v>1</v>
      </c>
      <c r="Q1112" t="s">
        <v>43</v>
      </c>
      <c r="R1112" t="s">
        <v>45</v>
      </c>
      <c r="S1112">
        <v>3</v>
      </c>
      <c r="T1112">
        <v>0</v>
      </c>
      <c r="U1112">
        <v>12</v>
      </c>
      <c r="V1112">
        <v>3</v>
      </c>
      <c r="W1112">
        <v>6</v>
      </c>
      <c r="X1112">
        <v>5</v>
      </c>
      <c r="Y1112">
        <v>1</v>
      </c>
      <c r="Z1112">
        <v>2</v>
      </c>
      <c r="AA1112" t="str">
        <f t="shared" si="93"/>
        <v>Mid Tenure</v>
      </c>
      <c r="AB1112" s="5">
        <v>45566</v>
      </c>
      <c r="AC1112">
        <f t="shared" si="94"/>
        <v>1</v>
      </c>
      <c r="AD1112" t="s">
        <v>38</v>
      </c>
      <c r="AE1112">
        <f>VLOOKUP(A1112,'Employee Engagement Survey'!A1060:B2529,2,FALSE)</f>
        <v>2</v>
      </c>
      <c r="AF1112">
        <f>VLOOKUP(A1112,'Employee Engagement Survey'!A1060:C2529,3,FALSE)</f>
        <v>4</v>
      </c>
      <c r="AG1112">
        <f>VLOOKUP(A1112,'Employee Engagement Survey'!A1060:D2529,4,FALSE)</f>
        <v>4</v>
      </c>
      <c r="AH1112">
        <f>VLOOKUP(A1112,'Employee Engagement Survey'!A1060:E2529,5,FALSE)</f>
        <v>4</v>
      </c>
      <c r="AI1112">
        <f t="shared" si="92"/>
        <v>3.5</v>
      </c>
    </row>
    <row r="1113" spans="1:35" hidden="1" x14ac:dyDescent="0.4">
      <c r="A1113">
        <v>1543</v>
      </c>
      <c r="B1113" t="s">
        <v>34</v>
      </c>
      <c r="C1113">
        <f t="shared" si="90"/>
        <v>1</v>
      </c>
      <c r="D1113" t="s">
        <v>27</v>
      </c>
      <c r="E1113">
        <f t="shared" si="91"/>
        <v>0</v>
      </c>
      <c r="F1113" t="s">
        <v>28</v>
      </c>
      <c r="G1113">
        <v>6</v>
      </c>
      <c r="H1113" s="1">
        <v>63420</v>
      </c>
      <c r="I1113" s="10">
        <v>0.17</v>
      </c>
      <c r="J1113">
        <v>37.5</v>
      </c>
      <c r="K1113" t="s">
        <v>34</v>
      </c>
      <c r="L1113">
        <v>37</v>
      </c>
      <c r="M1113" t="s">
        <v>29</v>
      </c>
      <c r="N1113" t="s">
        <v>42</v>
      </c>
      <c r="O1113" t="s">
        <v>31</v>
      </c>
      <c r="P1113">
        <v>13</v>
      </c>
      <c r="Q1113" t="s">
        <v>43</v>
      </c>
      <c r="R1113" t="s">
        <v>33</v>
      </c>
      <c r="S1113">
        <v>3</v>
      </c>
      <c r="T1113">
        <v>0</v>
      </c>
      <c r="U1113">
        <v>10</v>
      </c>
      <c r="V1113">
        <v>2</v>
      </c>
      <c r="W1113">
        <v>10</v>
      </c>
      <c r="X1113">
        <v>8</v>
      </c>
      <c r="Y1113">
        <v>3</v>
      </c>
      <c r="Z1113">
        <v>7</v>
      </c>
      <c r="AA1113" t="str">
        <f t="shared" si="93"/>
        <v>Long Tenure</v>
      </c>
      <c r="AB1113" s="5">
        <v>45449</v>
      </c>
      <c r="AC1113">
        <f t="shared" si="94"/>
        <v>1</v>
      </c>
      <c r="AD1113" t="s">
        <v>38</v>
      </c>
      <c r="AE1113">
        <f>VLOOKUP(A1113,'Employee Engagement Survey'!A1061:B2530,2,FALSE)</f>
        <v>1</v>
      </c>
      <c r="AF1113">
        <f>VLOOKUP(A1113,'Employee Engagement Survey'!A1061:C2530,3,FALSE)</f>
        <v>4</v>
      </c>
      <c r="AG1113">
        <f>VLOOKUP(A1113,'Employee Engagement Survey'!A1061:D2530,4,FALSE)</f>
        <v>1</v>
      </c>
      <c r="AH1113">
        <f>VLOOKUP(A1113,'Employee Engagement Survey'!A1061:E2530,5,FALSE)</f>
        <v>3</v>
      </c>
      <c r="AI1113">
        <f t="shared" si="92"/>
        <v>2.25</v>
      </c>
    </row>
    <row r="1114" spans="1:35" hidden="1" x14ac:dyDescent="0.4">
      <c r="A1114">
        <v>1050</v>
      </c>
      <c r="B1114" t="s">
        <v>34</v>
      </c>
      <c r="C1114">
        <f t="shared" si="90"/>
        <v>1</v>
      </c>
      <c r="D1114" t="s">
        <v>57</v>
      </c>
      <c r="E1114">
        <f t="shared" si="91"/>
        <v>0</v>
      </c>
      <c r="F1114" t="s">
        <v>40</v>
      </c>
      <c r="G1114">
        <v>9</v>
      </c>
      <c r="H1114" s="1">
        <v>102300</v>
      </c>
      <c r="I1114" s="10">
        <v>0.12</v>
      </c>
      <c r="J1114">
        <v>37.5</v>
      </c>
      <c r="K1114" t="s">
        <v>34</v>
      </c>
      <c r="L1114">
        <v>53</v>
      </c>
      <c r="M1114" t="s">
        <v>47</v>
      </c>
      <c r="N1114" t="s">
        <v>42</v>
      </c>
      <c r="O1114" t="s">
        <v>44</v>
      </c>
      <c r="P1114">
        <v>2</v>
      </c>
      <c r="Q1114" t="s">
        <v>43</v>
      </c>
      <c r="R1114" t="s">
        <v>56</v>
      </c>
      <c r="S1114">
        <v>3</v>
      </c>
      <c r="T1114">
        <v>1</v>
      </c>
      <c r="U1114">
        <v>30</v>
      </c>
      <c r="V1114">
        <v>2</v>
      </c>
      <c r="W1114">
        <v>15</v>
      </c>
      <c r="X1114">
        <v>7</v>
      </c>
      <c r="Y1114">
        <v>6</v>
      </c>
      <c r="Z1114">
        <v>12</v>
      </c>
      <c r="AA1114" t="str">
        <f t="shared" si="93"/>
        <v>Long Tenure</v>
      </c>
      <c r="AB1114" s="5">
        <v>45038</v>
      </c>
      <c r="AC1114">
        <f t="shared" si="94"/>
        <v>0</v>
      </c>
      <c r="AD1114" t="s">
        <v>38</v>
      </c>
      <c r="AE1114">
        <f>VLOOKUP(A1114,'Employee Engagement Survey'!A1062:B2531,2,FALSE)</f>
        <v>3</v>
      </c>
      <c r="AF1114">
        <f>VLOOKUP(A1114,'Employee Engagement Survey'!A1062:C2531,3,FALSE)</f>
        <v>2</v>
      </c>
      <c r="AG1114">
        <f>VLOOKUP(A1114,'Employee Engagement Survey'!A1062:D2531,4,FALSE)</f>
        <v>1</v>
      </c>
      <c r="AH1114">
        <f>VLOOKUP(A1114,'Employee Engagement Survey'!A1062:E2531,5,FALSE)</f>
        <v>3</v>
      </c>
      <c r="AI1114">
        <f t="shared" si="92"/>
        <v>2.25</v>
      </c>
    </row>
    <row r="1115" spans="1:35" hidden="1" x14ac:dyDescent="0.4">
      <c r="A1115">
        <v>1545</v>
      </c>
      <c r="B1115" t="s">
        <v>34</v>
      </c>
      <c r="C1115">
        <f t="shared" si="90"/>
        <v>1</v>
      </c>
      <c r="D1115" t="s">
        <v>54</v>
      </c>
      <c r="E1115">
        <f t="shared" si="91"/>
        <v>1</v>
      </c>
      <c r="F1115" t="s">
        <v>28</v>
      </c>
      <c r="G1115">
        <v>6</v>
      </c>
      <c r="H1115" s="1">
        <v>63840</v>
      </c>
      <c r="I1115" s="10">
        <v>0.13</v>
      </c>
      <c r="J1115">
        <v>37.5</v>
      </c>
      <c r="K1115" t="s">
        <v>34</v>
      </c>
      <c r="L1115">
        <v>33</v>
      </c>
      <c r="M1115" t="s">
        <v>29</v>
      </c>
      <c r="N1115" t="s">
        <v>30</v>
      </c>
      <c r="O1115" t="s">
        <v>31</v>
      </c>
      <c r="P1115">
        <v>25</v>
      </c>
      <c r="Q1115" t="s">
        <v>43</v>
      </c>
      <c r="R1115" t="s">
        <v>37</v>
      </c>
      <c r="S1115">
        <v>3</v>
      </c>
      <c r="T1115">
        <v>0</v>
      </c>
      <c r="U1115">
        <v>5</v>
      </c>
      <c r="V1115">
        <v>2</v>
      </c>
      <c r="W1115">
        <v>5</v>
      </c>
      <c r="X1115">
        <v>3</v>
      </c>
      <c r="Y1115">
        <v>0</v>
      </c>
      <c r="Z1115">
        <v>2</v>
      </c>
      <c r="AA1115" t="str">
        <f t="shared" si="93"/>
        <v>Mid Tenure</v>
      </c>
      <c r="AB1115" s="5">
        <v>44884</v>
      </c>
      <c r="AC1115">
        <f t="shared" si="94"/>
        <v>0</v>
      </c>
      <c r="AD1115" t="s">
        <v>38</v>
      </c>
      <c r="AE1115">
        <f>VLOOKUP(A1115,'Employee Engagement Survey'!A1063:B2532,2,FALSE)</f>
        <v>4</v>
      </c>
      <c r="AF1115">
        <f>VLOOKUP(A1115,'Employee Engagement Survey'!A1063:C2532,3,FALSE)</f>
        <v>2</v>
      </c>
      <c r="AG1115">
        <f>VLOOKUP(A1115,'Employee Engagement Survey'!A1063:D2532,4,FALSE)</f>
        <v>4</v>
      </c>
      <c r="AH1115">
        <f>VLOOKUP(A1115,'Employee Engagement Survey'!A1063:E2532,5,FALSE)</f>
        <v>3</v>
      </c>
      <c r="AI1115">
        <f t="shared" si="92"/>
        <v>3.25</v>
      </c>
    </row>
    <row r="1116" spans="1:35" hidden="1" x14ac:dyDescent="0.4">
      <c r="A1116">
        <v>1546</v>
      </c>
      <c r="B1116" t="s">
        <v>34</v>
      </c>
      <c r="C1116">
        <f t="shared" si="90"/>
        <v>1</v>
      </c>
      <c r="D1116" t="s">
        <v>27</v>
      </c>
      <c r="E1116">
        <f t="shared" si="91"/>
        <v>0</v>
      </c>
      <c r="F1116" t="s">
        <v>28</v>
      </c>
      <c r="G1116">
        <v>3</v>
      </c>
      <c r="H1116" s="1">
        <v>49584</v>
      </c>
      <c r="I1116" s="10">
        <v>0.2</v>
      </c>
      <c r="J1116">
        <v>37.5</v>
      </c>
      <c r="K1116" t="s">
        <v>34</v>
      </c>
      <c r="L1116">
        <v>45</v>
      </c>
      <c r="M1116" t="s">
        <v>29</v>
      </c>
      <c r="N1116" t="s">
        <v>42</v>
      </c>
      <c r="O1116" t="s">
        <v>31</v>
      </c>
      <c r="P1116">
        <v>28</v>
      </c>
      <c r="Q1116" t="s">
        <v>43</v>
      </c>
      <c r="R1116" t="s">
        <v>45</v>
      </c>
      <c r="S1116">
        <v>4</v>
      </c>
      <c r="T1116">
        <v>1</v>
      </c>
      <c r="U1116">
        <v>8</v>
      </c>
      <c r="V1116">
        <v>3</v>
      </c>
      <c r="W1116">
        <v>5</v>
      </c>
      <c r="X1116">
        <v>4</v>
      </c>
      <c r="Y1116">
        <v>0</v>
      </c>
      <c r="Z1116">
        <v>3</v>
      </c>
      <c r="AA1116" t="str">
        <f t="shared" si="93"/>
        <v>Mid Tenure</v>
      </c>
      <c r="AB1116" s="5">
        <v>45385</v>
      </c>
      <c r="AC1116">
        <f t="shared" si="94"/>
        <v>1</v>
      </c>
      <c r="AD1116" t="s">
        <v>49</v>
      </c>
      <c r="AE1116">
        <f>VLOOKUP(A1116,'Employee Engagement Survey'!A1065:B2534,2,FALSE)</f>
        <v>4</v>
      </c>
      <c r="AF1116">
        <f>VLOOKUP(A1116,'Employee Engagement Survey'!A1065:C2534,3,FALSE)</f>
        <v>4</v>
      </c>
      <c r="AG1116">
        <f>VLOOKUP(A1116,'Employee Engagement Survey'!A1065:D2534,4,FALSE)</f>
        <v>4</v>
      </c>
      <c r="AH1116">
        <f>VLOOKUP(A1116,'Employee Engagement Survey'!A1065:E2534,5,FALSE)</f>
        <v>3</v>
      </c>
      <c r="AI1116">
        <f t="shared" si="92"/>
        <v>3.75</v>
      </c>
    </row>
    <row r="1117" spans="1:35" hidden="1" x14ac:dyDescent="0.4">
      <c r="A1117">
        <v>1547</v>
      </c>
      <c r="B1117" t="s">
        <v>34</v>
      </c>
      <c r="C1117">
        <f t="shared" si="90"/>
        <v>1</v>
      </c>
      <c r="D1117" t="s">
        <v>55</v>
      </c>
      <c r="E1117">
        <f t="shared" si="91"/>
        <v>0</v>
      </c>
      <c r="F1117" t="s">
        <v>28</v>
      </c>
      <c r="G1117">
        <v>9</v>
      </c>
      <c r="H1117" s="1">
        <v>133488</v>
      </c>
      <c r="I1117" s="10">
        <v>0.14000000000000001</v>
      </c>
      <c r="J1117">
        <v>37.5</v>
      </c>
      <c r="K1117" t="s">
        <v>26</v>
      </c>
      <c r="L1117">
        <v>42</v>
      </c>
      <c r="M1117" t="s">
        <v>29</v>
      </c>
      <c r="N1117" t="s">
        <v>42</v>
      </c>
      <c r="O1117" t="s">
        <v>44</v>
      </c>
      <c r="P1117">
        <v>2</v>
      </c>
      <c r="Q1117" t="s">
        <v>43</v>
      </c>
      <c r="R1117" t="s">
        <v>37</v>
      </c>
      <c r="S1117">
        <v>3</v>
      </c>
      <c r="T1117">
        <v>1</v>
      </c>
      <c r="U1117">
        <v>24</v>
      </c>
      <c r="V1117">
        <v>3</v>
      </c>
      <c r="W1117">
        <v>20</v>
      </c>
      <c r="X1117">
        <v>8</v>
      </c>
      <c r="Y1117">
        <v>13</v>
      </c>
      <c r="Z1117">
        <v>9</v>
      </c>
      <c r="AA1117" t="str">
        <f t="shared" si="93"/>
        <v>Long Tenure</v>
      </c>
      <c r="AB1117" s="5">
        <v>44599</v>
      </c>
      <c r="AC1117">
        <f t="shared" si="94"/>
        <v>0</v>
      </c>
      <c r="AD1117" t="s">
        <v>38</v>
      </c>
      <c r="AE1117">
        <f>VLOOKUP(A1117,'Employee Engagement Survey'!A1066:B2535,2,FALSE)</f>
        <v>4</v>
      </c>
      <c r="AF1117">
        <f>VLOOKUP(A1117,'Employee Engagement Survey'!A1066:C2535,3,FALSE)</f>
        <v>4</v>
      </c>
      <c r="AG1117">
        <f>VLOOKUP(A1117,'Employee Engagement Survey'!A1066:D2535,4,FALSE)</f>
        <v>3</v>
      </c>
      <c r="AH1117">
        <f>VLOOKUP(A1117,'Employee Engagement Survey'!A1066:E2535,5,FALSE)</f>
        <v>1</v>
      </c>
      <c r="AI1117">
        <f t="shared" si="92"/>
        <v>3</v>
      </c>
    </row>
    <row r="1118" spans="1:35" hidden="1" x14ac:dyDescent="0.4">
      <c r="A1118">
        <v>724</v>
      </c>
      <c r="B1118" t="s">
        <v>34</v>
      </c>
      <c r="C1118">
        <f t="shared" si="90"/>
        <v>1</v>
      </c>
      <c r="D1118" t="s">
        <v>55</v>
      </c>
      <c r="E1118">
        <f t="shared" si="91"/>
        <v>0</v>
      </c>
      <c r="F1118" t="s">
        <v>28</v>
      </c>
      <c r="G1118">
        <v>9</v>
      </c>
      <c r="H1118" s="1">
        <v>103500</v>
      </c>
      <c r="I1118" s="10">
        <v>0.13</v>
      </c>
      <c r="J1118">
        <v>37.5</v>
      </c>
      <c r="K1118" t="s">
        <v>34</v>
      </c>
      <c r="L1118">
        <v>38</v>
      </c>
      <c r="M1118" t="s">
        <v>47</v>
      </c>
      <c r="N1118" t="s">
        <v>30</v>
      </c>
      <c r="O1118" t="s">
        <v>31</v>
      </c>
      <c r="P1118">
        <v>1</v>
      </c>
      <c r="Q1118" t="s">
        <v>51</v>
      </c>
      <c r="R1118" t="s">
        <v>37</v>
      </c>
      <c r="S1118">
        <v>3</v>
      </c>
      <c r="T1118">
        <v>0</v>
      </c>
      <c r="U1118">
        <v>10</v>
      </c>
      <c r="V1118">
        <v>4</v>
      </c>
      <c r="W1118">
        <v>9</v>
      </c>
      <c r="X1118">
        <v>7</v>
      </c>
      <c r="Y1118">
        <v>1</v>
      </c>
      <c r="Z1118">
        <v>8</v>
      </c>
      <c r="AA1118" t="str">
        <f t="shared" si="93"/>
        <v>Mid Tenure</v>
      </c>
      <c r="AB1118" s="5">
        <v>45624</v>
      </c>
      <c r="AC1118">
        <f t="shared" si="94"/>
        <v>1</v>
      </c>
      <c r="AD1118" t="s">
        <v>49</v>
      </c>
      <c r="AE1118">
        <f>VLOOKUP(A1118,'Employee Engagement Survey'!A1067:B2536,2,FALSE)</f>
        <v>2</v>
      </c>
      <c r="AF1118">
        <f>VLOOKUP(A1118,'Employee Engagement Survey'!A1067:C2536,3,FALSE)</f>
        <v>4</v>
      </c>
      <c r="AG1118">
        <f>VLOOKUP(A1118,'Employee Engagement Survey'!A1067:D2536,4,FALSE)</f>
        <v>3</v>
      </c>
      <c r="AH1118">
        <f>VLOOKUP(A1118,'Employee Engagement Survey'!A1067:E2536,5,FALSE)</f>
        <v>2</v>
      </c>
      <c r="AI1118">
        <f t="shared" si="92"/>
        <v>2.75</v>
      </c>
    </row>
    <row r="1119" spans="1:35" hidden="1" x14ac:dyDescent="0.4">
      <c r="A1119">
        <v>1548</v>
      </c>
      <c r="B1119" t="s">
        <v>34</v>
      </c>
      <c r="C1119">
        <f t="shared" si="90"/>
        <v>1</v>
      </c>
      <c r="D1119" t="s">
        <v>57</v>
      </c>
      <c r="E1119">
        <f t="shared" si="91"/>
        <v>0</v>
      </c>
      <c r="F1119" t="s">
        <v>40</v>
      </c>
      <c r="G1119">
        <v>7</v>
      </c>
      <c r="H1119" s="1">
        <v>77676</v>
      </c>
      <c r="I1119" s="10">
        <v>0.12</v>
      </c>
      <c r="J1119">
        <v>37.5</v>
      </c>
      <c r="K1119" t="s">
        <v>34</v>
      </c>
      <c r="L1119">
        <v>40</v>
      </c>
      <c r="M1119" t="s">
        <v>29</v>
      </c>
      <c r="N1119" t="s">
        <v>42</v>
      </c>
      <c r="O1119" t="s">
        <v>31</v>
      </c>
      <c r="P1119">
        <v>9</v>
      </c>
      <c r="Q1119" t="s">
        <v>36</v>
      </c>
      <c r="R1119" t="s">
        <v>33</v>
      </c>
      <c r="S1119">
        <v>3</v>
      </c>
      <c r="T1119">
        <v>0</v>
      </c>
      <c r="U1119">
        <v>9</v>
      </c>
      <c r="V1119">
        <v>5</v>
      </c>
      <c r="W1119">
        <v>8</v>
      </c>
      <c r="X1119">
        <v>4</v>
      </c>
      <c r="Y1119">
        <v>7</v>
      </c>
      <c r="Z1119">
        <v>1</v>
      </c>
      <c r="AA1119" t="str">
        <f t="shared" si="93"/>
        <v>Mid Tenure</v>
      </c>
      <c r="AB1119" s="5">
        <v>44856</v>
      </c>
      <c r="AC1119">
        <f t="shared" si="94"/>
        <v>0</v>
      </c>
      <c r="AD1119" t="s">
        <v>49</v>
      </c>
      <c r="AE1119">
        <f>VLOOKUP(A1119,'Employee Engagement Survey'!A1068:B2537,2,FALSE)</f>
        <v>1</v>
      </c>
      <c r="AF1119">
        <f>VLOOKUP(A1119,'Employee Engagement Survey'!A1068:C2537,3,FALSE)</f>
        <v>1</v>
      </c>
      <c r="AG1119">
        <f>VLOOKUP(A1119,'Employee Engagement Survey'!A1068:D2537,4,FALSE)</f>
        <v>4</v>
      </c>
      <c r="AH1119">
        <f>VLOOKUP(A1119,'Employee Engagement Survey'!A1068:E2537,5,FALSE)</f>
        <v>4</v>
      </c>
      <c r="AI1119">
        <f t="shared" si="92"/>
        <v>2.5</v>
      </c>
    </row>
    <row r="1120" spans="1:35" hidden="1" x14ac:dyDescent="0.4">
      <c r="A1120">
        <v>81</v>
      </c>
      <c r="B1120" t="s">
        <v>34</v>
      </c>
      <c r="C1120">
        <f t="shared" si="90"/>
        <v>1</v>
      </c>
      <c r="D1120" t="s">
        <v>57</v>
      </c>
      <c r="E1120">
        <f t="shared" si="91"/>
        <v>0</v>
      </c>
      <c r="F1120" t="s">
        <v>40</v>
      </c>
      <c r="G1120">
        <v>9</v>
      </c>
      <c r="H1120" s="1">
        <v>103644</v>
      </c>
      <c r="I1120" s="10">
        <v>0.11</v>
      </c>
      <c r="J1120">
        <v>37.5</v>
      </c>
      <c r="K1120" t="s">
        <v>34</v>
      </c>
      <c r="L1120">
        <v>59</v>
      </c>
      <c r="M1120" t="s">
        <v>47</v>
      </c>
      <c r="N1120" t="s">
        <v>30</v>
      </c>
      <c r="O1120" t="s">
        <v>31</v>
      </c>
      <c r="P1120">
        <v>25</v>
      </c>
      <c r="Q1120" t="s">
        <v>43</v>
      </c>
      <c r="R1120" t="s">
        <v>37</v>
      </c>
      <c r="S1120">
        <v>3</v>
      </c>
      <c r="T1120">
        <v>0</v>
      </c>
      <c r="U1120">
        <v>28</v>
      </c>
      <c r="V1120">
        <v>3</v>
      </c>
      <c r="W1120">
        <v>21</v>
      </c>
      <c r="X1120">
        <v>16</v>
      </c>
      <c r="Y1120">
        <v>7</v>
      </c>
      <c r="Z1120">
        <v>9</v>
      </c>
      <c r="AA1120" t="str">
        <f t="shared" si="93"/>
        <v>Long Tenure</v>
      </c>
      <c r="AB1120" s="5">
        <v>44775</v>
      </c>
      <c r="AC1120">
        <f t="shared" si="94"/>
        <v>0</v>
      </c>
      <c r="AD1120" t="s">
        <v>49</v>
      </c>
      <c r="AE1120">
        <f>VLOOKUP(A1120,'Employee Engagement Survey'!A1069:B2538,2,FALSE)</f>
        <v>1</v>
      </c>
      <c r="AF1120">
        <f>VLOOKUP(A1120,'Employee Engagement Survey'!A1069:C2538,3,FALSE)</f>
        <v>1</v>
      </c>
      <c r="AG1120">
        <f>VLOOKUP(A1120,'Employee Engagement Survey'!A1069:D2538,4,FALSE)</f>
        <v>4</v>
      </c>
      <c r="AH1120">
        <f>VLOOKUP(A1120,'Employee Engagement Survey'!A1069:E2538,5,FALSE)</f>
        <v>2</v>
      </c>
      <c r="AI1120">
        <f t="shared" si="92"/>
        <v>2</v>
      </c>
    </row>
    <row r="1121" spans="1:35" hidden="1" x14ac:dyDescent="0.4">
      <c r="A1121">
        <v>1549</v>
      </c>
      <c r="B1121" t="s">
        <v>34</v>
      </c>
      <c r="C1121">
        <f t="shared" si="90"/>
        <v>1</v>
      </c>
      <c r="D1121" t="s">
        <v>46</v>
      </c>
      <c r="E1121">
        <f t="shared" si="91"/>
        <v>0</v>
      </c>
      <c r="F1121" t="s">
        <v>28</v>
      </c>
      <c r="G1121">
        <v>7</v>
      </c>
      <c r="H1121" s="1">
        <v>74484</v>
      </c>
      <c r="I1121" s="10">
        <v>0.12</v>
      </c>
      <c r="J1121">
        <v>37.5</v>
      </c>
      <c r="K1121" t="s">
        <v>26</v>
      </c>
      <c r="L1121">
        <v>33</v>
      </c>
      <c r="M1121" t="s">
        <v>29</v>
      </c>
      <c r="N1121" t="s">
        <v>42</v>
      </c>
      <c r="O1121" t="s">
        <v>31</v>
      </c>
      <c r="P1121">
        <v>28</v>
      </c>
      <c r="Q1121" t="s">
        <v>51</v>
      </c>
      <c r="R1121" t="s">
        <v>37</v>
      </c>
      <c r="S1121">
        <v>3</v>
      </c>
      <c r="T1121">
        <v>1</v>
      </c>
      <c r="U1121">
        <v>15</v>
      </c>
      <c r="V1121">
        <v>3</v>
      </c>
      <c r="W1121">
        <v>15</v>
      </c>
      <c r="X1121">
        <v>14</v>
      </c>
      <c r="Y1121">
        <v>5</v>
      </c>
      <c r="Z1121">
        <v>7</v>
      </c>
      <c r="AA1121" t="str">
        <f t="shared" si="93"/>
        <v>Long Tenure</v>
      </c>
      <c r="AB1121" s="5">
        <v>44815</v>
      </c>
      <c r="AC1121">
        <f t="shared" si="94"/>
        <v>0</v>
      </c>
      <c r="AD1121" t="s">
        <v>38</v>
      </c>
      <c r="AE1121">
        <f>VLOOKUP(A1121,'Employee Engagement Survey'!A1071:B2540,2,FALSE)</f>
        <v>2</v>
      </c>
      <c r="AF1121">
        <f>VLOOKUP(A1121,'Employee Engagement Survey'!A1071:C2540,3,FALSE)</f>
        <v>3</v>
      </c>
      <c r="AG1121">
        <f>VLOOKUP(A1121,'Employee Engagement Survey'!A1071:D2540,4,FALSE)</f>
        <v>2</v>
      </c>
      <c r="AH1121">
        <f>VLOOKUP(A1121,'Employee Engagement Survey'!A1071:E2540,5,FALSE)</f>
        <v>3</v>
      </c>
      <c r="AI1121">
        <f t="shared" si="92"/>
        <v>2.5</v>
      </c>
    </row>
    <row r="1122" spans="1:35" hidden="1" x14ac:dyDescent="0.4">
      <c r="A1122">
        <v>2024</v>
      </c>
      <c r="B1122" t="s">
        <v>34</v>
      </c>
      <c r="C1122">
        <f t="shared" si="90"/>
        <v>1</v>
      </c>
      <c r="D1122" t="s">
        <v>57</v>
      </c>
      <c r="E1122">
        <f t="shared" si="91"/>
        <v>0</v>
      </c>
      <c r="F1122" t="s">
        <v>40</v>
      </c>
      <c r="G1122">
        <v>9</v>
      </c>
      <c r="H1122" s="1">
        <v>103728</v>
      </c>
      <c r="I1122" s="10">
        <v>0.19</v>
      </c>
      <c r="J1122">
        <v>37.5</v>
      </c>
      <c r="K1122" t="s">
        <v>34</v>
      </c>
      <c r="L1122">
        <v>36</v>
      </c>
      <c r="M1122" t="s">
        <v>47</v>
      </c>
      <c r="N1122" t="s">
        <v>42</v>
      </c>
      <c r="O1122" t="s">
        <v>31</v>
      </c>
      <c r="P1122">
        <v>3</v>
      </c>
      <c r="Q1122" t="s">
        <v>43</v>
      </c>
      <c r="R1122" t="s">
        <v>33</v>
      </c>
      <c r="S1122">
        <v>3</v>
      </c>
      <c r="T1122">
        <v>2</v>
      </c>
      <c r="U1122">
        <v>10</v>
      </c>
      <c r="V1122">
        <v>2</v>
      </c>
      <c r="W1122">
        <v>9</v>
      </c>
      <c r="X1122">
        <v>7</v>
      </c>
      <c r="Y1122">
        <v>3</v>
      </c>
      <c r="Z1122">
        <v>4</v>
      </c>
      <c r="AA1122" t="str">
        <f t="shared" si="93"/>
        <v>Mid Tenure</v>
      </c>
      <c r="AB1122" s="5">
        <v>45548</v>
      </c>
      <c r="AC1122">
        <f t="shared" si="94"/>
        <v>1</v>
      </c>
      <c r="AD1122" t="s">
        <v>38</v>
      </c>
      <c r="AE1122">
        <f>VLOOKUP(A1122,'Employee Engagement Survey'!A1072:B2541,2,FALSE)</f>
        <v>1</v>
      </c>
      <c r="AF1122">
        <f>VLOOKUP(A1122,'Employee Engagement Survey'!A1072:C2541,3,FALSE)</f>
        <v>4</v>
      </c>
      <c r="AG1122">
        <f>VLOOKUP(A1122,'Employee Engagement Survey'!A1072:D2541,4,FALSE)</f>
        <v>3</v>
      </c>
      <c r="AH1122">
        <f>VLOOKUP(A1122,'Employee Engagement Survey'!A1072:E2541,5,FALSE)</f>
        <v>3</v>
      </c>
      <c r="AI1122">
        <f t="shared" si="92"/>
        <v>2.75</v>
      </c>
    </row>
    <row r="1123" spans="1:35" hidden="1" x14ac:dyDescent="0.4">
      <c r="A1123">
        <v>1121</v>
      </c>
      <c r="B1123" t="s">
        <v>34</v>
      </c>
      <c r="C1123">
        <f t="shared" si="90"/>
        <v>1</v>
      </c>
      <c r="D1123" t="s">
        <v>54</v>
      </c>
      <c r="E1123">
        <f t="shared" si="91"/>
        <v>1</v>
      </c>
      <c r="F1123" t="s">
        <v>28</v>
      </c>
      <c r="G1123">
        <v>9</v>
      </c>
      <c r="H1123" s="1">
        <v>103860</v>
      </c>
      <c r="I1123" s="10">
        <v>0.17</v>
      </c>
      <c r="J1123">
        <v>37.5</v>
      </c>
      <c r="K1123" t="s">
        <v>34</v>
      </c>
      <c r="L1123">
        <v>28</v>
      </c>
      <c r="M1123" t="s">
        <v>47</v>
      </c>
      <c r="N1123" t="s">
        <v>48</v>
      </c>
      <c r="O1123" t="s">
        <v>31</v>
      </c>
      <c r="P1123">
        <v>3</v>
      </c>
      <c r="Q1123" t="s">
        <v>43</v>
      </c>
      <c r="R1123" t="s">
        <v>33</v>
      </c>
      <c r="S1123">
        <v>3</v>
      </c>
      <c r="T1123">
        <v>3</v>
      </c>
      <c r="U1123">
        <v>10</v>
      </c>
      <c r="V1123">
        <v>3</v>
      </c>
      <c r="W1123">
        <v>9</v>
      </c>
      <c r="X1123">
        <v>7</v>
      </c>
      <c r="Y1123">
        <v>1</v>
      </c>
      <c r="Z1123">
        <v>7</v>
      </c>
      <c r="AA1123" t="str">
        <f t="shared" si="93"/>
        <v>Mid Tenure</v>
      </c>
      <c r="AB1123" s="5">
        <v>44680</v>
      </c>
      <c r="AC1123">
        <f t="shared" si="94"/>
        <v>0</v>
      </c>
      <c r="AD1123" t="s">
        <v>49</v>
      </c>
      <c r="AE1123">
        <f>VLOOKUP(A1123,'Employee Engagement Survey'!A1074:B2543,2,FALSE)</f>
        <v>4</v>
      </c>
      <c r="AF1123">
        <f>VLOOKUP(A1123,'Employee Engagement Survey'!A1074:C2543,3,FALSE)</f>
        <v>2</v>
      </c>
      <c r="AG1123">
        <f>VLOOKUP(A1123,'Employee Engagement Survey'!A1074:D2543,4,FALSE)</f>
        <v>2</v>
      </c>
      <c r="AH1123">
        <f>VLOOKUP(A1123,'Employee Engagement Survey'!A1074:E2543,5,FALSE)</f>
        <v>2</v>
      </c>
      <c r="AI1123">
        <f t="shared" si="92"/>
        <v>2.5</v>
      </c>
    </row>
    <row r="1124" spans="1:35" hidden="1" x14ac:dyDescent="0.4">
      <c r="A1124">
        <v>1550</v>
      </c>
      <c r="B1124" t="s">
        <v>34</v>
      </c>
      <c r="C1124">
        <f t="shared" si="90"/>
        <v>1</v>
      </c>
      <c r="D1124" t="s">
        <v>108</v>
      </c>
      <c r="E1124">
        <f t="shared" si="91"/>
        <v>1</v>
      </c>
      <c r="F1124" t="s">
        <v>59</v>
      </c>
      <c r="G1124">
        <v>4</v>
      </c>
      <c r="H1124" s="1">
        <v>209244</v>
      </c>
      <c r="I1124" s="10">
        <v>0.21</v>
      </c>
      <c r="J1124">
        <v>37.5</v>
      </c>
      <c r="K1124" t="s">
        <v>26</v>
      </c>
      <c r="L1124">
        <v>40</v>
      </c>
      <c r="M1124" t="s">
        <v>29</v>
      </c>
      <c r="N1124" t="s">
        <v>30</v>
      </c>
      <c r="O1124" t="s">
        <v>31</v>
      </c>
      <c r="P1124">
        <v>6</v>
      </c>
      <c r="Q1124" t="s">
        <v>36</v>
      </c>
      <c r="R1124" t="s">
        <v>33</v>
      </c>
      <c r="S1124">
        <v>4</v>
      </c>
      <c r="T1124">
        <v>0</v>
      </c>
      <c r="U1124">
        <v>21</v>
      </c>
      <c r="V1124">
        <v>2</v>
      </c>
      <c r="W1124">
        <v>21</v>
      </c>
      <c r="X1124">
        <v>7</v>
      </c>
      <c r="Y1124">
        <v>7</v>
      </c>
      <c r="Z1124">
        <v>7</v>
      </c>
      <c r="AA1124" t="str">
        <f t="shared" si="93"/>
        <v>Long Tenure</v>
      </c>
      <c r="AB1124" s="5">
        <v>44852</v>
      </c>
      <c r="AC1124">
        <f t="shared" si="94"/>
        <v>0</v>
      </c>
      <c r="AD1124" t="s">
        <v>38</v>
      </c>
      <c r="AE1124">
        <f>VLOOKUP(A1124,'Employee Engagement Survey'!A1075:B2544,2,FALSE)</f>
        <v>3</v>
      </c>
      <c r="AF1124">
        <f>VLOOKUP(A1124,'Employee Engagement Survey'!A1075:C2544,3,FALSE)</f>
        <v>4</v>
      </c>
      <c r="AG1124">
        <f>VLOOKUP(A1124,'Employee Engagement Survey'!A1075:D2544,4,FALSE)</f>
        <v>4</v>
      </c>
      <c r="AH1124">
        <f>VLOOKUP(A1124,'Employee Engagement Survey'!A1075:E2544,5,FALSE)</f>
        <v>3</v>
      </c>
      <c r="AI1124">
        <f t="shared" si="92"/>
        <v>3.5</v>
      </c>
    </row>
    <row r="1125" spans="1:35" hidden="1" x14ac:dyDescent="0.4">
      <c r="A1125">
        <v>1551</v>
      </c>
      <c r="B1125" t="s">
        <v>34</v>
      </c>
      <c r="C1125">
        <f t="shared" si="90"/>
        <v>1</v>
      </c>
      <c r="D1125" t="s">
        <v>46</v>
      </c>
      <c r="E1125">
        <f t="shared" si="91"/>
        <v>0</v>
      </c>
      <c r="F1125" t="s">
        <v>28</v>
      </c>
      <c r="G1125">
        <v>4</v>
      </c>
      <c r="H1125" s="1">
        <v>51552</v>
      </c>
      <c r="I1125" s="10">
        <v>0.14000000000000001</v>
      </c>
      <c r="J1125">
        <v>37.5</v>
      </c>
      <c r="K1125" t="s">
        <v>34</v>
      </c>
      <c r="L1125">
        <v>24</v>
      </c>
      <c r="M1125" t="s">
        <v>29</v>
      </c>
      <c r="N1125" t="s">
        <v>48</v>
      </c>
      <c r="O1125" t="s">
        <v>31</v>
      </c>
      <c r="P1125">
        <v>21</v>
      </c>
      <c r="Q1125" t="s">
        <v>36</v>
      </c>
      <c r="R1125" t="s">
        <v>45</v>
      </c>
      <c r="S1125">
        <v>3</v>
      </c>
      <c r="T1125">
        <v>3</v>
      </c>
      <c r="U1125">
        <v>2</v>
      </c>
      <c r="V1125">
        <v>3</v>
      </c>
      <c r="W1125">
        <v>1</v>
      </c>
      <c r="X1125">
        <v>1</v>
      </c>
      <c r="Y1125">
        <v>0</v>
      </c>
      <c r="Z1125">
        <v>0</v>
      </c>
      <c r="AA1125" t="str">
        <f t="shared" si="93"/>
        <v>Early Tenure</v>
      </c>
      <c r="AB1125" s="5">
        <v>45780</v>
      </c>
      <c r="AC1125">
        <f t="shared" si="94"/>
        <v>1</v>
      </c>
      <c r="AD1125" t="s">
        <v>38</v>
      </c>
      <c r="AE1125">
        <f>VLOOKUP(A1125,'Employee Engagement Survey'!A1076:B2545,2,FALSE)</f>
        <v>3</v>
      </c>
      <c r="AF1125">
        <f>VLOOKUP(A1125,'Employee Engagement Survey'!A1076:C2545,3,FALSE)</f>
        <v>1</v>
      </c>
      <c r="AG1125">
        <f>VLOOKUP(A1125,'Employee Engagement Survey'!A1076:D2545,4,FALSE)</f>
        <v>2</v>
      </c>
      <c r="AH1125">
        <f>VLOOKUP(A1125,'Employee Engagement Survey'!A1076:E2545,5,FALSE)</f>
        <v>3</v>
      </c>
      <c r="AI1125">
        <f t="shared" si="92"/>
        <v>2.25</v>
      </c>
    </row>
    <row r="1126" spans="1:35" hidden="1" x14ac:dyDescent="0.4">
      <c r="A1126">
        <v>1638</v>
      </c>
      <c r="B1126" t="s">
        <v>34</v>
      </c>
      <c r="C1126">
        <f t="shared" si="90"/>
        <v>1</v>
      </c>
      <c r="D1126" t="s">
        <v>54</v>
      </c>
      <c r="E1126">
        <f t="shared" si="91"/>
        <v>1</v>
      </c>
      <c r="F1126" t="s">
        <v>28</v>
      </c>
      <c r="G1126">
        <v>9</v>
      </c>
      <c r="H1126" s="1">
        <v>105072</v>
      </c>
      <c r="I1126" s="10">
        <v>0.19</v>
      </c>
      <c r="J1126">
        <v>37.5</v>
      </c>
      <c r="K1126" t="s">
        <v>26</v>
      </c>
      <c r="L1126">
        <v>38</v>
      </c>
      <c r="M1126" t="s">
        <v>47</v>
      </c>
      <c r="N1126" t="s">
        <v>42</v>
      </c>
      <c r="O1126" t="s">
        <v>31</v>
      </c>
      <c r="P1126">
        <v>2</v>
      </c>
      <c r="Q1126" t="s">
        <v>36</v>
      </c>
      <c r="R1126" t="s">
        <v>33</v>
      </c>
      <c r="S1126">
        <v>3</v>
      </c>
      <c r="T1126">
        <v>1</v>
      </c>
      <c r="U1126">
        <v>10</v>
      </c>
      <c r="V1126">
        <v>6</v>
      </c>
      <c r="W1126">
        <v>5</v>
      </c>
      <c r="X1126">
        <v>4</v>
      </c>
      <c r="Y1126">
        <v>0</v>
      </c>
      <c r="Z1126">
        <v>2</v>
      </c>
      <c r="AA1126" t="str">
        <f t="shared" si="93"/>
        <v>Mid Tenure</v>
      </c>
      <c r="AB1126" s="5">
        <v>45864</v>
      </c>
      <c r="AC1126">
        <f t="shared" si="94"/>
        <v>1</v>
      </c>
      <c r="AD1126" t="s">
        <v>38</v>
      </c>
      <c r="AE1126">
        <f>VLOOKUP(A1126,'Employee Engagement Survey'!A1077:B2546,2,FALSE)</f>
        <v>4</v>
      </c>
      <c r="AF1126">
        <f>VLOOKUP(A1126,'Employee Engagement Survey'!A1077:C2546,3,FALSE)</f>
        <v>3</v>
      </c>
      <c r="AG1126">
        <f>VLOOKUP(A1126,'Employee Engagement Survey'!A1077:D2546,4,FALSE)</f>
        <v>4</v>
      </c>
      <c r="AH1126">
        <f>VLOOKUP(A1126,'Employee Engagement Survey'!A1077:E2546,5,FALSE)</f>
        <v>4</v>
      </c>
      <c r="AI1126">
        <f t="shared" si="92"/>
        <v>3.75</v>
      </c>
    </row>
    <row r="1127" spans="1:35" hidden="1" x14ac:dyDescent="0.4">
      <c r="A1127">
        <v>1552</v>
      </c>
      <c r="B1127" t="s">
        <v>34</v>
      </c>
      <c r="C1127">
        <f t="shared" si="90"/>
        <v>1</v>
      </c>
      <c r="D1127" t="s">
        <v>55</v>
      </c>
      <c r="E1127">
        <f t="shared" si="91"/>
        <v>0</v>
      </c>
      <c r="F1127" t="s">
        <v>28</v>
      </c>
      <c r="G1127">
        <v>6</v>
      </c>
      <c r="H1127" s="1">
        <v>60828</v>
      </c>
      <c r="I1127" s="10">
        <v>0.18</v>
      </c>
      <c r="J1127">
        <v>37.5</v>
      </c>
      <c r="K1127" t="s">
        <v>26</v>
      </c>
      <c r="L1127">
        <v>40</v>
      </c>
      <c r="M1127" t="s">
        <v>29</v>
      </c>
      <c r="N1127" t="s">
        <v>48</v>
      </c>
      <c r="O1127" t="s">
        <v>35</v>
      </c>
      <c r="P1127">
        <v>8</v>
      </c>
      <c r="Q1127" t="s">
        <v>36</v>
      </c>
      <c r="R1127" t="s">
        <v>37</v>
      </c>
      <c r="S1127">
        <v>3</v>
      </c>
      <c r="T1127">
        <v>0</v>
      </c>
      <c r="U1127">
        <v>8</v>
      </c>
      <c r="V1127">
        <v>2</v>
      </c>
      <c r="W1127">
        <v>2</v>
      </c>
      <c r="X1127">
        <v>2</v>
      </c>
      <c r="Y1127">
        <v>2</v>
      </c>
      <c r="Z1127">
        <v>2</v>
      </c>
      <c r="AA1127" t="str">
        <f t="shared" si="93"/>
        <v>Early Tenure</v>
      </c>
      <c r="AB1127" s="5">
        <v>45468</v>
      </c>
      <c r="AC1127">
        <f t="shared" si="94"/>
        <v>1</v>
      </c>
      <c r="AD1127" t="s">
        <v>38</v>
      </c>
      <c r="AE1127">
        <f>VLOOKUP(A1127,'Employee Engagement Survey'!A1078:B2547,2,FALSE)</f>
        <v>4</v>
      </c>
      <c r="AF1127">
        <f>VLOOKUP(A1127,'Employee Engagement Survey'!A1078:C2547,3,FALSE)</f>
        <v>4</v>
      </c>
      <c r="AG1127">
        <f>VLOOKUP(A1127,'Employee Engagement Survey'!A1078:D2547,4,FALSE)</f>
        <v>3</v>
      </c>
      <c r="AH1127">
        <f>VLOOKUP(A1127,'Employee Engagement Survey'!A1078:E2547,5,FALSE)</f>
        <v>3</v>
      </c>
      <c r="AI1127">
        <f t="shared" si="92"/>
        <v>3.5</v>
      </c>
    </row>
    <row r="1128" spans="1:35" hidden="1" x14ac:dyDescent="0.4">
      <c r="A1128">
        <v>1553</v>
      </c>
      <c r="B1128" t="s">
        <v>34</v>
      </c>
      <c r="C1128">
        <f t="shared" si="90"/>
        <v>1</v>
      </c>
      <c r="D1128" t="s">
        <v>55</v>
      </c>
      <c r="E1128">
        <f t="shared" si="91"/>
        <v>0</v>
      </c>
      <c r="F1128" t="s">
        <v>28</v>
      </c>
      <c r="G1128">
        <v>9</v>
      </c>
      <c r="H1128" s="1">
        <v>101292</v>
      </c>
      <c r="I1128" s="10">
        <v>0.12</v>
      </c>
      <c r="J1128">
        <v>37.5</v>
      </c>
      <c r="K1128" t="s">
        <v>34</v>
      </c>
      <c r="L1128">
        <v>45</v>
      </c>
      <c r="M1128" t="s">
        <v>29</v>
      </c>
      <c r="N1128" t="s">
        <v>48</v>
      </c>
      <c r="O1128" t="s">
        <v>31</v>
      </c>
      <c r="P1128">
        <v>1</v>
      </c>
      <c r="Q1128" t="s">
        <v>51</v>
      </c>
      <c r="R1128" t="s">
        <v>45</v>
      </c>
      <c r="S1128">
        <v>3</v>
      </c>
      <c r="T1128">
        <v>3</v>
      </c>
      <c r="U1128">
        <v>10</v>
      </c>
      <c r="V1128">
        <v>4</v>
      </c>
      <c r="W1128">
        <v>10</v>
      </c>
      <c r="X1128">
        <v>8</v>
      </c>
      <c r="Y1128">
        <v>7</v>
      </c>
      <c r="Z1128">
        <v>7</v>
      </c>
      <c r="AA1128" t="str">
        <f t="shared" si="93"/>
        <v>Long Tenure</v>
      </c>
      <c r="AB1128" s="5">
        <v>45127</v>
      </c>
      <c r="AC1128">
        <f t="shared" si="94"/>
        <v>0</v>
      </c>
      <c r="AD1128" t="s">
        <v>49</v>
      </c>
      <c r="AE1128">
        <f>VLOOKUP(A1128,'Employee Engagement Survey'!A1079:B2548,2,FALSE)</f>
        <v>1</v>
      </c>
      <c r="AF1128">
        <f>VLOOKUP(A1128,'Employee Engagement Survey'!A1079:C2548,3,FALSE)</f>
        <v>2</v>
      </c>
      <c r="AG1128">
        <f>VLOOKUP(A1128,'Employee Engagement Survey'!A1079:D2548,4,FALSE)</f>
        <v>1</v>
      </c>
      <c r="AH1128">
        <f>VLOOKUP(A1128,'Employee Engagement Survey'!A1079:E2548,5,FALSE)</f>
        <v>3</v>
      </c>
      <c r="AI1128">
        <f t="shared" si="92"/>
        <v>1.75</v>
      </c>
    </row>
    <row r="1129" spans="1:35" hidden="1" x14ac:dyDescent="0.4">
      <c r="A1129">
        <v>1556</v>
      </c>
      <c r="B1129" t="s">
        <v>34</v>
      </c>
      <c r="C1129">
        <f t="shared" si="90"/>
        <v>1</v>
      </c>
      <c r="D1129" t="s">
        <v>39</v>
      </c>
      <c r="E1129">
        <f t="shared" si="91"/>
        <v>0</v>
      </c>
      <c r="F1129" t="s">
        <v>40</v>
      </c>
      <c r="G1129">
        <v>5</v>
      </c>
      <c r="H1129" s="1">
        <v>55728</v>
      </c>
      <c r="I1129" s="10">
        <v>0.21</v>
      </c>
      <c r="J1129">
        <v>37.5</v>
      </c>
      <c r="K1129" t="s">
        <v>26</v>
      </c>
      <c r="L1129">
        <v>36</v>
      </c>
      <c r="M1129" t="s">
        <v>29</v>
      </c>
      <c r="N1129" t="s">
        <v>30</v>
      </c>
      <c r="O1129" t="s">
        <v>31</v>
      </c>
      <c r="P1129">
        <v>2</v>
      </c>
      <c r="Q1129" t="s">
        <v>51</v>
      </c>
      <c r="R1129" t="s">
        <v>37</v>
      </c>
      <c r="S1129">
        <v>4</v>
      </c>
      <c r="T1129">
        <v>0</v>
      </c>
      <c r="U1129">
        <v>7</v>
      </c>
      <c r="V1129">
        <v>3</v>
      </c>
      <c r="W1129">
        <v>3</v>
      </c>
      <c r="X1129">
        <v>2</v>
      </c>
      <c r="Y1129">
        <v>1</v>
      </c>
      <c r="Z1129">
        <v>2</v>
      </c>
      <c r="AA1129" t="str">
        <f t="shared" si="93"/>
        <v>Mid Tenure</v>
      </c>
      <c r="AB1129" s="5">
        <v>44599</v>
      </c>
      <c r="AC1129">
        <f t="shared" si="94"/>
        <v>0</v>
      </c>
      <c r="AD1129" t="s">
        <v>38</v>
      </c>
      <c r="AE1129">
        <f>VLOOKUP(A1129,'Employee Engagement Survey'!A1080:B2549,2,FALSE)</f>
        <v>3</v>
      </c>
      <c r="AF1129">
        <f>VLOOKUP(A1129,'Employee Engagement Survey'!A1080:C2549,3,FALSE)</f>
        <v>4</v>
      </c>
      <c r="AG1129">
        <f>VLOOKUP(A1129,'Employee Engagement Survey'!A1080:D2549,4,FALSE)</f>
        <v>4</v>
      </c>
      <c r="AH1129">
        <f>VLOOKUP(A1129,'Employee Engagement Survey'!A1080:E2549,5,FALSE)</f>
        <v>2</v>
      </c>
      <c r="AI1129">
        <f t="shared" si="92"/>
        <v>3.25</v>
      </c>
    </row>
    <row r="1130" spans="1:35" x14ac:dyDescent="0.4">
      <c r="A1130">
        <v>743</v>
      </c>
      <c r="B1130" t="s">
        <v>34</v>
      </c>
      <c r="C1130">
        <f t="shared" si="90"/>
        <v>1</v>
      </c>
      <c r="D1130" t="s">
        <v>54</v>
      </c>
      <c r="E1130">
        <f t="shared" si="91"/>
        <v>1</v>
      </c>
      <c r="F1130" t="s">
        <v>28</v>
      </c>
      <c r="G1130">
        <v>9</v>
      </c>
      <c r="H1130" s="1">
        <v>106332</v>
      </c>
      <c r="I1130" s="10">
        <v>0.14000000000000001</v>
      </c>
      <c r="J1130">
        <v>37.5</v>
      </c>
      <c r="K1130" t="s">
        <v>26</v>
      </c>
      <c r="L1130">
        <v>38</v>
      </c>
      <c r="M1130" t="s">
        <v>47</v>
      </c>
      <c r="N1130" t="s">
        <v>30</v>
      </c>
      <c r="O1130" t="s">
        <v>31</v>
      </c>
      <c r="P1130">
        <v>1</v>
      </c>
      <c r="Q1130" t="s">
        <v>43</v>
      </c>
      <c r="R1130" t="s">
        <v>37</v>
      </c>
      <c r="S1130">
        <v>3</v>
      </c>
      <c r="T1130">
        <v>0</v>
      </c>
      <c r="U1130">
        <v>10</v>
      </c>
      <c r="V1130">
        <v>4</v>
      </c>
      <c r="W1130">
        <v>1</v>
      </c>
      <c r="X1130">
        <v>0</v>
      </c>
      <c r="Y1130">
        <v>0</v>
      </c>
      <c r="Z1130">
        <v>0</v>
      </c>
      <c r="AA1130" t="str">
        <f t="shared" si="93"/>
        <v>Early Tenure</v>
      </c>
      <c r="AB1130" s="5">
        <v>45392</v>
      </c>
      <c r="AC1130">
        <f t="shared" si="94"/>
        <v>1</v>
      </c>
      <c r="AD1130" t="s">
        <v>49</v>
      </c>
      <c r="AE1130">
        <f>VLOOKUP(A1130,'Employee Engagement Survey'!A1081:B2550,2,FALSE)</f>
        <v>3</v>
      </c>
      <c r="AF1130">
        <f>VLOOKUP(A1130,'Employee Engagement Survey'!A1081:C2550,3,FALSE)</f>
        <v>3</v>
      </c>
      <c r="AG1130">
        <f>VLOOKUP(A1130,'Employee Engagement Survey'!A1081:D2550,4,FALSE)</f>
        <v>4</v>
      </c>
      <c r="AH1130">
        <f>VLOOKUP(A1130,'Employee Engagement Survey'!A1081:E2550,5,FALSE)</f>
        <v>4</v>
      </c>
      <c r="AI1130">
        <f t="shared" si="92"/>
        <v>3.5</v>
      </c>
    </row>
    <row r="1131" spans="1:35" hidden="1" x14ac:dyDescent="0.4">
      <c r="A1131">
        <v>1703</v>
      </c>
      <c r="B1131" t="s">
        <v>34</v>
      </c>
      <c r="C1131">
        <f t="shared" si="90"/>
        <v>1</v>
      </c>
      <c r="D1131" t="s">
        <v>55</v>
      </c>
      <c r="E1131">
        <f t="shared" si="91"/>
        <v>0</v>
      </c>
      <c r="F1131" t="s">
        <v>28</v>
      </c>
      <c r="G1131">
        <v>9</v>
      </c>
      <c r="H1131" s="1">
        <v>106548</v>
      </c>
      <c r="I1131" s="10">
        <v>0.19</v>
      </c>
      <c r="J1131">
        <v>37.5</v>
      </c>
      <c r="K1131" t="s">
        <v>26</v>
      </c>
      <c r="L1131">
        <v>44</v>
      </c>
      <c r="M1131" t="s">
        <v>47</v>
      </c>
      <c r="N1131" t="s">
        <v>42</v>
      </c>
      <c r="O1131" t="s">
        <v>31</v>
      </c>
      <c r="P1131">
        <v>2</v>
      </c>
      <c r="Q1131" t="s">
        <v>43</v>
      </c>
      <c r="R1131" t="s">
        <v>37</v>
      </c>
      <c r="S1131">
        <v>3</v>
      </c>
      <c r="T1131">
        <v>1</v>
      </c>
      <c r="U1131">
        <v>9</v>
      </c>
      <c r="V1131">
        <v>2</v>
      </c>
      <c r="W1131">
        <v>8</v>
      </c>
      <c r="X1131">
        <v>7</v>
      </c>
      <c r="Y1131">
        <v>6</v>
      </c>
      <c r="Z1131">
        <v>7</v>
      </c>
      <c r="AA1131" t="str">
        <f t="shared" si="93"/>
        <v>Mid Tenure</v>
      </c>
      <c r="AB1131" s="5">
        <v>45070</v>
      </c>
      <c r="AC1131">
        <f t="shared" si="94"/>
        <v>0</v>
      </c>
      <c r="AD1131" t="s">
        <v>38</v>
      </c>
      <c r="AE1131">
        <f>VLOOKUP(A1131,'Employee Engagement Survey'!A1082:B2551,2,FALSE)</f>
        <v>3</v>
      </c>
      <c r="AF1131">
        <f>VLOOKUP(A1131,'Employee Engagement Survey'!A1082:C2551,3,FALSE)</f>
        <v>4</v>
      </c>
      <c r="AG1131">
        <f>VLOOKUP(A1131,'Employee Engagement Survey'!A1082:D2551,4,FALSE)</f>
        <v>2</v>
      </c>
      <c r="AH1131">
        <f>VLOOKUP(A1131,'Employee Engagement Survey'!A1082:E2551,5,FALSE)</f>
        <v>3</v>
      </c>
      <c r="AI1131">
        <f t="shared" si="92"/>
        <v>3</v>
      </c>
    </row>
    <row r="1132" spans="1:35" hidden="1" x14ac:dyDescent="0.4">
      <c r="A1132">
        <v>1558</v>
      </c>
      <c r="B1132" t="s">
        <v>34</v>
      </c>
      <c r="C1132">
        <f t="shared" si="90"/>
        <v>1</v>
      </c>
      <c r="D1132" t="s">
        <v>27</v>
      </c>
      <c r="E1132">
        <f t="shared" si="91"/>
        <v>0</v>
      </c>
      <c r="F1132" t="s">
        <v>28</v>
      </c>
      <c r="G1132">
        <v>4</v>
      </c>
      <c r="H1132" s="1">
        <v>53412</v>
      </c>
      <c r="I1132" s="10">
        <v>0.18</v>
      </c>
      <c r="J1132">
        <v>37.5</v>
      </c>
      <c r="K1132" t="s">
        <v>34</v>
      </c>
      <c r="L1132">
        <v>29</v>
      </c>
      <c r="M1132" t="s">
        <v>29</v>
      </c>
      <c r="N1132" t="s">
        <v>42</v>
      </c>
      <c r="O1132" t="s">
        <v>31</v>
      </c>
      <c r="P1132">
        <v>9</v>
      </c>
      <c r="Q1132" t="s">
        <v>43</v>
      </c>
      <c r="R1132" t="s">
        <v>37</v>
      </c>
      <c r="S1132">
        <v>3</v>
      </c>
      <c r="T1132">
        <v>2</v>
      </c>
      <c r="U1132">
        <v>5</v>
      </c>
      <c r="V1132">
        <v>2</v>
      </c>
      <c r="W1132">
        <v>1</v>
      </c>
      <c r="X1132">
        <v>0</v>
      </c>
      <c r="Y1132">
        <v>0</v>
      </c>
      <c r="Z1132">
        <v>0</v>
      </c>
      <c r="AA1132" t="str">
        <f t="shared" si="93"/>
        <v>Early Tenure</v>
      </c>
      <c r="AB1132" s="5">
        <v>44714</v>
      </c>
      <c r="AC1132">
        <f t="shared" si="94"/>
        <v>0</v>
      </c>
      <c r="AD1132" t="s">
        <v>38</v>
      </c>
      <c r="AE1132">
        <f>VLOOKUP(A1132,'Employee Engagement Survey'!A1083:B2552,2,FALSE)</f>
        <v>3</v>
      </c>
      <c r="AF1132">
        <f>VLOOKUP(A1132,'Employee Engagement Survey'!A1083:C2552,3,FALSE)</f>
        <v>3</v>
      </c>
      <c r="AG1132">
        <f>VLOOKUP(A1132,'Employee Engagement Survey'!A1083:D2552,4,FALSE)</f>
        <v>1</v>
      </c>
      <c r="AH1132">
        <f>VLOOKUP(A1132,'Employee Engagement Survey'!A1083:E2552,5,FALSE)</f>
        <v>2</v>
      </c>
      <c r="AI1132">
        <f t="shared" si="92"/>
        <v>2.25</v>
      </c>
    </row>
    <row r="1133" spans="1:35" hidden="1" x14ac:dyDescent="0.4">
      <c r="A1133">
        <v>1560</v>
      </c>
      <c r="B1133" t="s">
        <v>34</v>
      </c>
      <c r="C1133">
        <f t="shared" si="90"/>
        <v>1</v>
      </c>
      <c r="D1133" t="s">
        <v>57</v>
      </c>
      <c r="E1133">
        <f t="shared" si="91"/>
        <v>0</v>
      </c>
      <c r="F1133" t="s">
        <v>40</v>
      </c>
      <c r="G1133">
        <v>8</v>
      </c>
      <c r="H1133" s="1">
        <v>88704</v>
      </c>
      <c r="I1133" s="10">
        <v>0.13</v>
      </c>
      <c r="J1133">
        <v>37.5</v>
      </c>
      <c r="K1133" t="s">
        <v>34</v>
      </c>
      <c r="L1133">
        <v>33</v>
      </c>
      <c r="M1133" t="s">
        <v>29</v>
      </c>
      <c r="N1133" t="s">
        <v>42</v>
      </c>
      <c r="O1133" t="s">
        <v>31</v>
      </c>
      <c r="P1133">
        <v>8</v>
      </c>
      <c r="Q1133" t="s">
        <v>51</v>
      </c>
      <c r="R1133" t="s">
        <v>37</v>
      </c>
      <c r="S1133">
        <v>3</v>
      </c>
      <c r="T1133">
        <v>1</v>
      </c>
      <c r="U1133">
        <v>8</v>
      </c>
      <c r="V1133">
        <v>6</v>
      </c>
      <c r="W1133">
        <v>2</v>
      </c>
      <c r="X1133">
        <v>2</v>
      </c>
      <c r="Y1133">
        <v>2</v>
      </c>
      <c r="Z1133">
        <v>2</v>
      </c>
      <c r="AA1133" t="str">
        <f t="shared" si="93"/>
        <v>Early Tenure</v>
      </c>
      <c r="AB1133" s="5">
        <v>45708</v>
      </c>
      <c r="AC1133">
        <f t="shared" si="94"/>
        <v>1</v>
      </c>
      <c r="AD1133" t="s">
        <v>38</v>
      </c>
      <c r="AE1133">
        <f>VLOOKUP(A1133,'Employee Engagement Survey'!A1084:B2553,2,FALSE)</f>
        <v>1</v>
      </c>
      <c r="AF1133">
        <f>VLOOKUP(A1133,'Employee Engagement Survey'!A1084:C2553,3,FALSE)</f>
        <v>1</v>
      </c>
      <c r="AG1133">
        <f>VLOOKUP(A1133,'Employee Engagement Survey'!A1084:D2553,4,FALSE)</f>
        <v>4</v>
      </c>
      <c r="AH1133">
        <f>VLOOKUP(A1133,'Employee Engagement Survey'!A1084:E2553,5,FALSE)</f>
        <v>1</v>
      </c>
      <c r="AI1133">
        <f t="shared" si="92"/>
        <v>1.75</v>
      </c>
    </row>
    <row r="1134" spans="1:35" hidden="1" x14ac:dyDescent="0.4">
      <c r="A1134">
        <v>312</v>
      </c>
      <c r="B1134" t="s">
        <v>34</v>
      </c>
      <c r="C1134">
        <f t="shared" si="90"/>
        <v>1</v>
      </c>
      <c r="D1134" t="s">
        <v>57</v>
      </c>
      <c r="E1134">
        <f t="shared" si="91"/>
        <v>0</v>
      </c>
      <c r="F1134" t="s">
        <v>40</v>
      </c>
      <c r="G1134">
        <v>9</v>
      </c>
      <c r="H1134" s="1">
        <v>107016</v>
      </c>
      <c r="I1134" s="10">
        <v>0.14000000000000001</v>
      </c>
      <c r="J1134">
        <v>37.5</v>
      </c>
      <c r="K1134" t="s">
        <v>34</v>
      </c>
      <c r="L1134">
        <v>29</v>
      </c>
      <c r="M1134" t="s">
        <v>47</v>
      </c>
      <c r="N1134" t="s">
        <v>42</v>
      </c>
      <c r="O1134" t="s">
        <v>44</v>
      </c>
      <c r="P1134">
        <v>1</v>
      </c>
      <c r="Q1134" t="s">
        <v>32</v>
      </c>
      <c r="R1134" t="s">
        <v>33</v>
      </c>
      <c r="S1134">
        <v>3</v>
      </c>
      <c r="T1134">
        <v>1</v>
      </c>
      <c r="U1134">
        <v>11</v>
      </c>
      <c r="V1134">
        <v>5</v>
      </c>
      <c r="W1134">
        <v>11</v>
      </c>
      <c r="X1134">
        <v>10</v>
      </c>
      <c r="Y1134">
        <v>4</v>
      </c>
      <c r="Z1134">
        <v>1</v>
      </c>
      <c r="AA1134" t="str">
        <f t="shared" si="93"/>
        <v>Long Tenure</v>
      </c>
      <c r="AB1134" s="5">
        <v>44871</v>
      </c>
      <c r="AC1134">
        <f t="shared" si="94"/>
        <v>0</v>
      </c>
      <c r="AD1134" t="s">
        <v>38</v>
      </c>
      <c r="AE1134">
        <f>VLOOKUP(A1134,'Employee Engagement Survey'!A1085:B2554,2,FALSE)</f>
        <v>2</v>
      </c>
      <c r="AF1134">
        <f>VLOOKUP(A1134,'Employee Engagement Survey'!A1085:C2554,3,FALSE)</f>
        <v>4</v>
      </c>
      <c r="AG1134">
        <f>VLOOKUP(A1134,'Employee Engagement Survey'!A1085:D2554,4,FALSE)</f>
        <v>4</v>
      </c>
      <c r="AH1134">
        <f>VLOOKUP(A1134,'Employee Engagement Survey'!A1085:E2554,5,FALSE)</f>
        <v>3</v>
      </c>
      <c r="AI1134">
        <f t="shared" si="92"/>
        <v>3.25</v>
      </c>
    </row>
    <row r="1135" spans="1:35" hidden="1" x14ac:dyDescent="0.4">
      <c r="A1135">
        <v>1641</v>
      </c>
      <c r="B1135" t="s">
        <v>34</v>
      </c>
      <c r="C1135">
        <f t="shared" si="90"/>
        <v>1</v>
      </c>
      <c r="D1135" t="s">
        <v>54</v>
      </c>
      <c r="E1135">
        <f t="shared" si="91"/>
        <v>1</v>
      </c>
      <c r="F1135" t="s">
        <v>28</v>
      </c>
      <c r="G1135">
        <v>9</v>
      </c>
      <c r="H1135" s="1">
        <v>107340</v>
      </c>
      <c r="I1135" s="10">
        <v>0.15</v>
      </c>
      <c r="J1135">
        <v>37.5</v>
      </c>
      <c r="K1135" t="s">
        <v>26</v>
      </c>
      <c r="L1135">
        <v>40</v>
      </c>
      <c r="M1135" t="s">
        <v>47</v>
      </c>
      <c r="N1135" t="s">
        <v>30</v>
      </c>
      <c r="O1135" t="s">
        <v>31</v>
      </c>
      <c r="P1135">
        <v>16</v>
      </c>
      <c r="Q1135" t="s">
        <v>43</v>
      </c>
      <c r="R1135" t="s">
        <v>37</v>
      </c>
      <c r="S1135">
        <v>3</v>
      </c>
      <c r="T1135">
        <v>0</v>
      </c>
      <c r="U1135">
        <v>18</v>
      </c>
      <c r="V1135">
        <v>2</v>
      </c>
      <c r="W1135">
        <v>4</v>
      </c>
      <c r="X1135">
        <v>2</v>
      </c>
      <c r="Y1135">
        <v>3</v>
      </c>
      <c r="Z1135">
        <v>3</v>
      </c>
      <c r="AA1135" t="str">
        <f t="shared" si="93"/>
        <v>Mid Tenure</v>
      </c>
      <c r="AB1135" s="5">
        <v>45181</v>
      </c>
      <c r="AC1135">
        <f t="shared" si="94"/>
        <v>0</v>
      </c>
      <c r="AD1135" t="s">
        <v>49</v>
      </c>
      <c r="AE1135">
        <f>VLOOKUP(A1135,'Employee Engagement Survey'!A1086:B2555,2,FALSE)</f>
        <v>3</v>
      </c>
      <c r="AF1135">
        <f>VLOOKUP(A1135,'Employee Engagement Survey'!A1086:C2555,3,FALSE)</f>
        <v>4</v>
      </c>
      <c r="AG1135">
        <f>VLOOKUP(A1135,'Employee Engagement Survey'!A1086:D2555,4,FALSE)</f>
        <v>4</v>
      </c>
      <c r="AH1135">
        <f>VLOOKUP(A1135,'Employee Engagement Survey'!A1086:E2555,5,FALSE)</f>
        <v>2</v>
      </c>
      <c r="AI1135">
        <f t="shared" si="92"/>
        <v>3.25</v>
      </c>
    </row>
    <row r="1136" spans="1:35" hidden="1" x14ac:dyDescent="0.4">
      <c r="A1136">
        <v>1563</v>
      </c>
      <c r="B1136" t="s">
        <v>34</v>
      </c>
      <c r="C1136">
        <f t="shared" si="90"/>
        <v>1</v>
      </c>
      <c r="D1136" t="s">
        <v>104</v>
      </c>
      <c r="E1136">
        <f t="shared" si="91"/>
        <v>0</v>
      </c>
      <c r="F1136" t="s">
        <v>59</v>
      </c>
      <c r="G1136">
        <v>7</v>
      </c>
      <c r="H1136" s="1">
        <v>84924</v>
      </c>
      <c r="I1136" s="10">
        <v>0.11</v>
      </c>
      <c r="J1136">
        <v>37.5</v>
      </c>
      <c r="K1136" t="s">
        <v>34</v>
      </c>
      <c r="L1136">
        <v>38</v>
      </c>
      <c r="M1136" t="s">
        <v>29</v>
      </c>
      <c r="N1136" t="s">
        <v>42</v>
      </c>
      <c r="O1136" t="s">
        <v>44</v>
      </c>
      <c r="P1136">
        <v>10</v>
      </c>
      <c r="Q1136" t="s">
        <v>51</v>
      </c>
      <c r="R1136" t="s">
        <v>59</v>
      </c>
      <c r="S1136">
        <v>3</v>
      </c>
      <c r="T1136">
        <v>0</v>
      </c>
      <c r="U1136">
        <v>10</v>
      </c>
      <c r="V1136">
        <v>2</v>
      </c>
      <c r="W1136">
        <v>6</v>
      </c>
      <c r="X1136">
        <v>3</v>
      </c>
      <c r="Y1136">
        <v>1</v>
      </c>
      <c r="Z1136">
        <v>2</v>
      </c>
      <c r="AA1136" t="str">
        <f t="shared" si="93"/>
        <v>Mid Tenure</v>
      </c>
      <c r="AB1136" s="5">
        <v>45564</v>
      </c>
      <c r="AC1136">
        <f t="shared" si="94"/>
        <v>1</v>
      </c>
      <c r="AD1136" t="s">
        <v>38</v>
      </c>
      <c r="AE1136">
        <f>VLOOKUP(A1136,'Employee Engagement Survey'!A1089:B2558,2,FALSE)</f>
        <v>3</v>
      </c>
      <c r="AF1136">
        <f>VLOOKUP(A1136,'Employee Engagement Survey'!A1089:C2558,3,FALSE)</f>
        <v>3</v>
      </c>
      <c r="AG1136">
        <f>VLOOKUP(A1136,'Employee Engagement Survey'!A1089:D2558,4,FALSE)</f>
        <v>3</v>
      </c>
      <c r="AH1136">
        <f>VLOOKUP(A1136,'Employee Engagement Survey'!A1089:E2558,5,FALSE)</f>
        <v>3</v>
      </c>
      <c r="AI1136">
        <f t="shared" si="92"/>
        <v>3</v>
      </c>
    </row>
    <row r="1137" spans="1:35" hidden="1" x14ac:dyDescent="0.4">
      <c r="A1137">
        <v>1564</v>
      </c>
      <c r="B1137" t="s">
        <v>34</v>
      </c>
      <c r="C1137">
        <f t="shared" si="90"/>
        <v>1</v>
      </c>
      <c r="D1137" t="s">
        <v>46</v>
      </c>
      <c r="E1137">
        <f t="shared" si="91"/>
        <v>0</v>
      </c>
      <c r="F1137" t="s">
        <v>28</v>
      </c>
      <c r="G1137">
        <v>4</v>
      </c>
      <c r="H1137" s="1">
        <v>53400</v>
      </c>
      <c r="I1137" s="10">
        <v>0.19</v>
      </c>
      <c r="J1137">
        <v>37.5</v>
      </c>
      <c r="K1137" t="s">
        <v>34</v>
      </c>
      <c r="L1137">
        <v>35</v>
      </c>
      <c r="M1137" t="s">
        <v>29</v>
      </c>
      <c r="N1137" t="s">
        <v>30</v>
      </c>
      <c r="O1137" t="s">
        <v>31</v>
      </c>
      <c r="P1137">
        <v>1</v>
      </c>
      <c r="Q1137" t="s">
        <v>43</v>
      </c>
      <c r="R1137" t="s">
        <v>33</v>
      </c>
      <c r="S1137">
        <v>3</v>
      </c>
      <c r="T1137">
        <v>0</v>
      </c>
      <c r="U1137">
        <v>3</v>
      </c>
      <c r="V1137">
        <v>3</v>
      </c>
      <c r="W1137">
        <v>3</v>
      </c>
      <c r="X1137">
        <v>0</v>
      </c>
      <c r="Y1137">
        <v>1</v>
      </c>
      <c r="Z1137">
        <v>2</v>
      </c>
      <c r="AA1137" t="str">
        <f t="shared" si="93"/>
        <v>Mid Tenure</v>
      </c>
      <c r="AB1137" s="5">
        <v>44820</v>
      </c>
      <c r="AC1137">
        <f t="shared" si="94"/>
        <v>0</v>
      </c>
      <c r="AD1137" t="s">
        <v>49</v>
      </c>
      <c r="AE1137">
        <f>VLOOKUP(A1137,'Employee Engagement Survey'!A1090:B2559,2,FALSE)</f>
        <v>4</v>
      </c>
      <c r="AF1137">
        <f>VLOOKUP(A1137,'Employee Engagement Survey'!A1090:C2559,3,FALSE)</f>
        <v>1</v>
      </c>
      <c r="AG1137">
        <f>VLOOKUP(A1137,'Employee Engagement Survey'!A1090:D2559,4,FALSE)</f>
        <v>2</v>
      </c>
      <c r="AH1137">
        <f>VLOOKUP(A1137,'Employee Engagement Survey'!A1090:E2559,5,FALSE)</f>
        <v>3</v>
      </c>
      <c r="AI1137">
        <f t="shared" si="92"/>
        <v>2.5</v>
      </c>
    </row>
    <row r="1138" spans="1:35" hidden="1" x14ac:dyDescent="0.4">
      <c r="A1138">
        <v>1651</v>
      </c>
      <c r="B1138" t="s">
        <v>34</v>
      </c>
      <c r="C1138">
        <f t="shared" ref="C1138:C1201" si="95">IF(B1138="No",1,0)</f>
        <v>1</v>
      </c>
      <c r="D1138" t="s">
        <v>55</v>
      </c>
      <c r="E1138">
        <f t="shared" si="91"/>
        <v>0</v>
      </c>
      <c r="F1138" t="s">
        <v>28</v>
      </c>
      <c r="G1138">
        <v>9</v>
      </c>
      <c r="H1138" s="1">
        <v>108096</v>
      </c>
      <c r="I1138" s="10">
        <v>0.12</v>
      </c>
      <c r="J1138">
        <v>37.5</v>
      </c>
      <c r="K1138" t="s">
        <v>34</v>
      </c>
      <c r="L1138">
        <v>36</v>
      </c>
      <c r="M1138" t="s">
        <v>47</v>
      </c>
      <c r="N1138" t="s">
        <v>42</v>
      </c>
      <c r="O1138" t="s">
        <v>31</v>
      </c>
      <c r="P1138">
        <v>5</v>
      </c>
      <c r="Q1138" t="s">
        <v>51</v>
      </c>
      <c r="R1138" t="s">
        <v>37</v>
      </c>
      <c r="S1138">
        <v>3</v>
      </c>
      <c r="T1138">
        <v>2</v>
      </c>
      <c r="U1138">
        <v>9</v>
      </c>
      <c r="V1138">
        <v>6</v>
      </c>
      <c r="W1138">
        <v>3</v>
      </c>
      <c r="X1138">
        <v>2</v>
      </c>
      <c r="Y1138">
        <v>0</v>
      </c>
      <c r="Z1138">
        <v>2</v>
      </c>
      <c r="AA1138" t="str">
        <f t="shared" si="93"/>
        <v>Mid Tenure</v>
      </c>
      <c r="AB1138" s="5">
        <v>44616</v>
      </c>
      <c r="AC1138">
        <f t="shared" si="94"/>
        <v>0</v>
      </c>
      <c r="AD1138" t="s">
        <v>38</v>
      </c>
      <c r="AE1138">
        <f>VLOOKUP(A1138,'Employee Engagement Survey'!A1091:B2560,2,FALSE)</f>
        <v>2</v>
      </c>
      <c r="AF1138">
        <f>VLOOKUP(A1138,'Employee Engagement Survey'!A1091:C2560,3,FALSE)</f>
        <v>1</v>
      </c>
      <c r="AG1138">
        <f>VLOOKUP(A1138,'Employee Engagement Survey'!A1091:D2560,4,FALSE)</f>
        <v>3</v>
      </c>
      <c r="AH1138">
        <f>VLOOKUP(A1138,'Employee Engagement Survey'!A1091:E2560,5,FALSE)</f>
        <v>3</v>
      </c>
      <c r="AI1138">
        <f t="shared" si="92"/>
        <v>2.25</v>
      </c>
    </row>
    <row r="1139" spans="1:35" hidden="1" x14ac:dyDescent="0.4">
      <c r="A1139">
        <v>1568</v>
      </c>
      <c r="B1139" t="s">
        <v>34</v>
      </c>
      <c r="C1139">
        <f t="shared" si="95"/>
        <v>1</v>
      </c>
      <c r="D1139" t="s">
        <v>57</v>
      </c>
      <c r="E1139">
        <f t="shared" si="91"/>
        <v>0</v>
      </c>
      <c r="F1139" t="s">
        <v>40</v>
      </c>
      <c r="G1139">
        <v>9</v>
      </c>
      <c r="H1139" s="1">
        <v>123000</v>
      </c>
      <c r="I1139" s="10">
        <v>0.12</v>
      </c>
      <c r="J1139">
        <v>37.5</v>
      </c>
      <c r="K1139" t="s">
        <v>34</v>
      </c>
      <c r="L1139">
        <v>30</v>
      </c>
      <c r="M1139" t="s">
        <v>29</v>
      </c>
      <c r="N1139" t="s">
        <v>42</v>
      </c>
      <c r="O1139" t="s">
        <v>31</v>
      </c>
      <c r="P1139">
        <v>29</v>
      </c>
      <c r="Q1139" t="s">
        <v>51</v>
      </c>
      <c r="R1139" t="s">
        <v>45</v>
      </c>
      <c r="S1139">
        <v>3</v>
      </c>
      <c r="T1139">
        <v>1</v>
      </c>
      <c r="U1139">
        <v>9</v>
      </c>
      <c r="V1139">
        <v>3</v>
      </c>
      <c r="W1139">
        <v>4</v>
      </c>
      <c r="X1139">
        <v>2</v>
      </c>
      <c r="Y1139">
        <v>1</v>
      </c>
      <c r="Z1139">
        <v>3</v>
      </c>
      <c r="AA1139" t="str">
        <f t="shared" si="93"/>
        <v>Mid Tenure</v>
      </c>
      <c r="AB1139" s="5">
        <v>45987</v>
      </c>
      <c r="AC1139">
        <f t="shared" si="94"/>
        <v>1</v>
      </c>
      <c r="AD1139" t="s">
        <v>38</v>
      </c>
      <c r="AE1139">
        <f>VLOOKUP(A1139,'Employee Engagement Survey'!A1092:B2561,2,FALSE)</f>
        <v>3</v>
      </c>
      <c r="AF1139">
        <f>VLOOKUP(A1139,'Employee Engagement Survey'!A1092:C2561,3,FALSE)</f>
        <v>2</v>
      </c>
      <c r="AG1139">
        <f>VLOOKUP(A1139,'Employee Engagement Survey'!A1092:D2561,4,FALSE)</f>
        <v>2</v>
      </c>
      <c r="AH1139">
        <f>VLOOKUP(A1139,'Employee Engagement Survey'!A1092:E2561,5,FALSE)</f>
        <v>3</v>
      </c>
      <c r="AI1139">
        <f t="shared" si="92"/>
        <v>2.5</v>
      </c>
    </row>
    <row r="1140" spans="1:35" hidden="1" x14ac:dyDescent="0.4">
      <c r="A1140">
        <v>1915</v>
      </c>
      <c r="B1140" t="s">
        <v>34</v>
      </c>
      <c r="C1140">
        <f t="shared" si="95"/>
        <v>1</v>
      </c>
      <c r="D1140" t="s">
        <v>57</v>
      </c>
      <c r="E1140">
        <f t="shared" si="91"/>
        <v>0</v>
      </c>
      <c r="F1140" t="s">
        <v>40</v>
      </c>
      <c r="G1140">
        <v>9</v>
      </c>
      <c r="H1140" s="1">
        <v>109236</v>
      </c>
      <c r="I1140" s="10">
        <v>0.12</v>
      </c>
      <c r="J1140">
        <v>37.5</v>
      </c>
      <c r="K1140" t="s">
        <v>26</v>
      </c>
      <c r="L1140">
        <v>34</v>
      </c>
      <c r="M1140" t="s">
        <v>47</v>
      </c>
      <c r="N1140" t="s">
        <v>42</v>
      </c>
      <c r="O1140" t="s">
        <v>31</v>
      </c>
      <c r="P1140">
        <v>3</v>
      </c>
      <c r="Q1140" t="s">
        <v>32</v>
      </c>
      <c r="R1140" t="s">
        <v>33</v>
      </c>
      <c r="S1140">
        <v>3</v>
      </c>
      <c r="T1140">
        <v>0</v>
      </c>
      <c r="U1140">
        <v>9</v>
      </c>
      <c r="V1140">
        <v>3</v>
      </c>
      <c r="W1140">
        <v>4</v>
      </c>
      <c r="X1140">
        <v>2</v>
      </c>
      <c r="Y1140">
        <v>0</v>
      </c>
      <c r="Z1140">
        <v>1</v>
      </c>
      <c r="AA1140" t="str">
        <f t="shared" si="93"/>
        <v>Mid Tenure</v>
      </c>
      <c r="AB1140" s="5">
        <v>45459</v>
      </c>
      <c r="AC1140">
        <f t="shared" si="94"/>
        <v>1</v>
      </c>
      <c r="AD1140" t="s">
        <v>38</v>
      </c>
      <c r="AE1140">
        <f>VLOOKUP(A1140,'Employee Engagement Survey'!A1094:B2563,2,FALSE)</f>
        <v>4</v>
      </c>
      <c r="AF1140">
        <f>VLOOKUP(A1140,'Employee Engagement Survey'!A1094:C2563,3,FALSE)</f>
        <v>4</v>
      </c>
      <c r="AG1140">
        <f>VLOOKUP(A1140,'Employee Engagement Survey'!A1094:D2563,4,FALSE)</f>
        <v>3</v>
      </c>
      <c r="AH1140">
        <f>VLOOKUP(A1140,'Employee Engagement Survey'!A1094:E2563,5,FALSE)</f>
        <v>2</v>
      </c>
      <c r="AI1140">
        <f t="shared" si="92"/>
        <v>3.25</v>
      </c>
    </row>
    <row r="1141" spans="1:35" hidden="1" x14ac:dyDescent="0.4">
      <c r="A1141">
        <v>1574</v>
      </c>
      <c r="B1141" t="s">
        <v>34</v>
      </c>
      <c r="C1141">
        <f t="shared" si="95"/>
        <v>1</v>
      </c>
      <c r="D1141" t="s">
        <v>27</v>
      </c>
      <c r="E1141">
        <f t="shared" si="91"/>
        <v>0</v>
      </c>
      <c r="F1141" t="s">
        <v>28</v>
      </c>
      <c r="G1141">
        <v>6</v>
      </c>
      <c r="H1141" s="1">
        <v>61044</v>
      </c>
      <c r="I1141" s="10">
        <v>0.14000000000000001</v>
      </c>
      <c r="J1141">
        <v>37.5</v>
      </c>
      <c r="K1141" t="s">
        <v>34</v>
      </c>
      <c r="L1141">
        <v>32</v>
      </c>
      <c r="M1141" t="s">
        <v>29</v>
      </c>
      <c r="N1141" t="s">
        <v>42</v>
      </c>
      <c r="O1141" t="s">
        <v>35</v>
      </c>
      <c r="P1141">
        <v>1</v>
      </c>
      <c r="Q1141" t="s">
        <v>51</v>
      </c>
      <c r="R1141" t="s">
        <v>45</v>
      </c>
      <c r="S1141">
        <v>3</v>
      </c>
      <c r="T1141">
        <v>1</v>
      </c>
      <c r="U1141">
        <v>9</v>
      </c>
      <c r="V1141">
        <v>3</v>
      </c>
      <c r="W1141">
        <v>6</v>
      </c>
      <c r="X1141">
        <v>5</v>
      </c>
      <c r="Y1141">
        <v>1</v>
      </c>
      <c r="Z1141">
        <v>2</v>
      </c>
      <c r="AA1141" t="str">
        <f t="shared" si="93"/>
        <v>Mid Tenure</v>
      </c>
      <c r="AB1141" s="5">
        <v>45420</v>
      </c>
      <c r="AC1141">
        <f t="shared" si="94"/>
        <v>1</v>
      </c>
      <c r="AD1141" t="s">
        <v>38</v>
      </c>
      <c r="AE1141">
        <f>VLOOKUP(A1141,'Employee Engagement Survey'!A1095:B2564,2,FALSE)</f>
        <v>4</v>
      </c>
      <c r="AF1141">
        <f>VLOOKUP(A1141,'Employee Engagement Survey'!A1095:C2564,3,FALSE)</f>
        <v>1</v>
      </c>
      <c r="AG1141">
        <f>VLOOKUP(A1141,'Employee Engagement Survey'!A1095:D2564,4,FALSE)</f>
        <v>2</v>
      </c>
      <c r="AH1141">
        <f>VLOOKUP(A1141,'Employee Engagement Survey'!A1095:E2564,5,FALSE)</f>
        <v>2</v>
      </c>
      <c r="AI1141">
        <f t="shared" si="92"/>
        <v>2.25</v>
      </c>
    </row>
    <row r="1142" spans="1:35" hidden="1" x14ac:dyDescent="0.4">
      <c r="A1142">
        <v>1577</v>
      </c>
      <c r="B1142" t="s">
        <v>34</v>
      </c>
      <c r="C1142">
        <f t="shared" si="95"/>
        <v>1</v>
      </c>
      <c r="D1142" t="s">
        <v>27</v>
      </c>
      <c r="E1142">
        <f t="shared" si="91"/>
        <v>0</v>
      </c>
      <c r="F1142" t="s">
        <v>28</v>
      </c>
      <c r="G1142">
        <v>5</v>
      </c>
      <c r="H1142" s="1">
        <v>59664</v>
      </c>
      <c r="I1142" s="10">
        <v>0.13</v>
      </c>
      <c r="J1142">
        <v>37.5</v>
      </c>
      <c r="K1142" t="s">
        <v>34</v>
      </c>
      <c r="L1142">
        <v>34</v>
      </c>
      <c r="M1142" t="s">
        <v>29</v>
      </c>
      <c r="N1142" t="s">
        <v>30</v>
      </c>
      <c r="O1142" t="s">
        <v>31</v>
      </c>
      <c r="P1142">
        <v>7</v>
      </c>
      <c r="Q1142" t="s">
        <v>51</v>
      </c>
      <c r="R1142" t="s">
        <v>33</v>
      </c>
      <c r="S1142">
        <v>3</v>
      </c>
      <c r="T1142">
        <v>0</v>
      </c>
      <c r="U1142">
        <v>1</v>
      </c>
      <c r="V1142">
        <v>4</v>
      </c>
      <c r="W1142">
        <v>1</v>
      </c>
      <c r="X1142">
        <v>0</v>
      </c>
      <c r="Y1142">
        <v>0</v>
      </c>
      <c r="Z1142">
        <v>0</v>
      </c>
      <c r="AA1142" t="str">
        <f t="shared" si="93"/>
        <v>Early Tenure</v>
      </c>
      <c r="AB1142" s="5">
        <v>45507</v>
      </c>
      <c r="AC1142">
        <f t="shared" si="94"/>
        <v>1</v>
      </c>
      <c r="AD1142" t="s">
        <v>49</v>
      </c>
      <c r="AE1142">
        <f>VLOOKUP(A1142,'Employee Engagement Survey'!A1096:B2565,2,FALSE)</f>
        <v>1</v>
      </c>
      <c r="AF1142">
        <f>VLOOKUP(A1142,'Employee Engagement Survey'!A1096:C2565,3,FALSE)</f>
        <v>4</v>
      </c>
      <c r="AG1142">
        <f>VLOOKUP(A1142,'Employee Engagement Survey'!A1096:D2565,4,FALSE)</f>
        <v>3</v>
      </c>
      <c r="AH1142">
        <f>VLOOKUP(A1142,'Employee Engagement Survey'!A1096:E2565,5,FALSE)</f>
        <v>1</v>
      </c>
      <c r="AI1142">
        <f t="shared" si="92"/>
        <v>2.25</v>
      </c>
    </row>
    <row r="1143" spans="1:35" hidden="1" x14ac:dyDescent="0.4">
      <c r="A1143">
        <v>1578</v>
      </c>
      <c r="B1143" t="s">
        <v>34</v>
      </c>
      <c r="C1143">
        <f t="shared" si="95"/>
        <v>1</v>
      </c>
      <c r="D1143" t="s">
        <v>110</v>
      </c>
      <c r="E1143">
        <f t="shared" si="91"/>
        <v>1</v>
      </c>
      <c r="F1143" t="s">
        <v>40</v>
      </c>
      <c r="G1143">
        <v>5</v>
      </c>
      <c r="H1143" s="1">
        <v>247032</v>
      </c>
      <c r="I1143" s="10">
        <v>0.21</v>
      </c>
      <c r="J1143">
        <v>37.5</v>
      </c>
      <c r="K1143" t="s">
        <v>34</v>
      </c>
      <c r="L1143">
        <v>55</v>
      </c>
      <c r="M1143" t="s">
        <v>29</v>
      </c>
      <c r="N1143" t="s">
        <v>42</v>
      </c>
      <c r="O1143" t="s">
        <v>31</v>
      </c>
      <c r="P1143">
        <v>26</v>
      </c>
      <c r="Q1143" t="s">
        <v>58</v>
      </c>
      <c r="R1143" t="s">
        <v>56</v>
      </c>
      <c r="S1143">
        <v>4</v>
      </c>
      <c r="T1143">
        <v>1</v>
      </c>
      <c r="U1143">
        <v>36</v>
      </c>
      <c r="V1143">
        <v>3</v>
      </c>
      <c r="W1143">
        <v>36</v>
      </c>
      <c r="X1143">
        <v>6</v>
      </c>
      <c r="Y1143">
        <v>2</v>
      </c>
      <c r="Z1143">
        <v>13</v>
      </c>
      <c r="AA1143" t="str">
        <f t="shared" si="93"/>
        <v>Long Tenure</v>
      </c>
      <c r="AB1143" s="5">
        <v>45552</v>
      </c>
      <c r="AC1143">
        <f t="shared" si="94"/>
        <v>1</v>
      </c>
      <c r="AD1143" t="s">
        <v>38</v>
      </c>
      <c r="AE1143">
        <f>VLOOKUP(A1143,'Employee Engagement Survey'!A1097:B2566,2,FALSE)</f>
        <v>3</v>
      </c>
      <c r="AF1143">
        <f>VLOOKUP(A1143,'Employee Engagement Survey'!A1097:C2566,3,FALSE)</f>
        <v>4</v>
      </c>
      <c r="AG1143">
        <f>VLOOKUP(A1143,'Employee Engagement Survey'!A1097:D2566,4,FALSE)</f>
        <v>3</v>
      </c>
      <c r="AH1143">
        <f>VLOOKUP(A1143,'Employee Engagement Survey'!A1097:E2566,5,FALSE)</f>
        <v>3</v>
      </c>
      <c r="AI1143">
        <f t="shared" si="92"/>
        <v>3.25</v>
      </c>
    </row>
    <row r="1144" spans="1:35" hidden="1" x14ac:dyDescent="0.4">
      <c r="A1144">
        <v>1580</v>
      </c>
      <c r="B1144" t="s">
        <v>34</v>
      </c>
      <c r="C1144">
        <f t="shared" si="95"/>
        <v>1</v>
      </c>
      <c r="D1144" t="s">
        <v>27</v>
      </c>
      <c r="E1144">
        <f t="shared" si="91"/>
        <v>0</v>
      </c>
      <c r="F1144" t="s">
        <v>28</v>
      </c>
      <c r="G1144">
        <v>7</v>
      </c>
      <c r="H1144" s="1">
        <v>77808</v>
      </c>
      <c r="I1144" s="10">
        <v>0.17</v>
      </c>
      <c r="J1144">
        <v>37.5</v>
      </c>
      <c r="K1144" t="s">
        <v>34</v>
      </c>
      <c r="L1144">
        <v>34</v>
      </c>
      <c r="M1144" t="s">
        <v>29</v>
      </c>
      <c r="N1144" t="s">
        <v>42</v>
      </c>
      <c r="O1144" t="s">
        <v>31</v>
      </c>
      <c r="P1144">
        <v>1</v>
      </c>
      <c r="Q1144" t="s">
        <v>51</v>
      </c>
      <c r="R1144" t="s">
        <v>37</v>
      </c>
      <c r="S1144">
        <v>3</v>
      </c>
      <c r="T1144">
        <v>1</v>
      </c>
      <c r="U1144">
        <v>9</v>
      </c>
      <c r="V1144">
        <v>3</v>
      </c>
      <c r="W1144">
        <v>2</v>
      </c>
      <c r="X1144">
        <v>2</v>
      </c>
      <c r="Y1144">
        <v>2</v>
      </c>
      <c r="Z1144">
        <v>1</v>
      </c>
      <c r="AA1144" t="str">
        <f t="shared" si="93"/>
        <v>Early Tenure</v>
      </c>
      <c r="AB1144" s="5">
        <v>44912</v>
      </c>
      <c r="AC1144">
        <f t="shared" si="94"/>
        <v>0</v>
      </c>
      <c r="AD1144" t="s">
        <v>38</v>
      </c>
      <c r="AE1144">
        <f>VLOOKUP(A1144,'Employee Engagement Survey'!A1099:B2568,2,FALSE)</f>
        <v>2</v>
      </c>
      <c r="AF1144">
        <f>VLOOKUP(A1144,'Employee Engagement Survey'!A1099:C2568,3,FALSE)</f>
        <v>4</v>
      </c>
      <c r="AG1144">
        <f>VLOOKUP(A1144,'Employee Engagement Survey'!A1099:D2568,4,FALSE)</f>
        <v>2</v>
      </c>
      <c r="AH1144">
        <f>VLOOKUP(A1144,'Employee Engagement Survey'!A1099:E2568,5,FALSE)</f>
        <v>2</v>
      </c>
      <c r="AI1144">
        <f t="shared" si="92"/>
        <v>2.5</v>
      </c>
    </row>
    <row r="1145" spans="1:35" hidden="1" x14ac:dyDescent="0.4">
      <c r="A1145">
        <v>463</v>
      </c>
      <c r="B1145" t="s">
        <v>34</v>
      </c>
      <c r="C1145">
        <f t="shared" si="95"/>
        <v>1</v>
      </c>
      <c r="D1145" t="s">
        <v>57</v>
      </c>
      <c r="E1145">
        <f t="shared" si="91"/>
        <v>0</v>
      </c>
      <c r="F1145" t="s">
        <v>40</v>
      </c>
      <c r="G1145">
        <v>9</v>
      </c>
      <c r="H1145" s="1">
        <v>111216</v>
      </c>
      <c r="I1145" s="10">
        <v>0.14000000000000001</v>
      </c>
      <c r="J1145">
        <v>37.5</v>
      </c>
      <c r="K1145" t="s">
        <v>26</v>
      </c>
      <c r="L1145">
        <v>29</v>
      </c>
      <c r="M1145" t="s">
        <v>47</v>
      </c>
      <c r="N1145" t="s">
        <v>48</v>
      </c>
      <c r="O1145" t="s">
        <v>31</v>
      </c>
      <c r="P1145">
        <v>10</v>
      </c>
      <c r="Q1145" t="s">
        <v>32</v>
      </c>
      <c r="R1145" t="s">
        <v>56</v>
      </c>
      <c r="S1145">
        <v>3</v>
      </c>
      <c r="T1145">
        <v>2</v>
      </c>
      <c r="U1145">
        <v>7</v>
      </c>
      <c r="V1145">
        <v>2</v>
      </c>
      <c r="W1145">
        <v>7</v>
      </c>
      <c r="X1145">
        <v>7</v>
      </c>
      <c r="Y1145">
        <v>1</v>
      </c>
      <c r="Z1145">
        <v>7</v>
      </c>
      <c r="AA1145" t="str">
        <f t="shared" si="93"/>
        <v>Mid Tenure</v>
      </c>
      <c r="AB1145" s="5">
        <v>45096</v>
      </c>
      <c r="AC1145">
        <f t="shared" si="94"/>
        <v>0</v>
      </c>
      <c r="AD1145" t="s">
        <v>49</v>
      </c>
      <c r="AE1145">
        <f>VLOOKUP(A1145,'Employee Engagement Survey'!A1100:B2569,2,FALSE)</f>
        <v>4</v>
      </c>
      <c r="AF1145">
        <f>VLOOKUP(A1145,'Employee Engagement Survey'!A1100:C2569,3,FALSE)</f>
        <v>2</v>
      </c>
      <c r="AG1145">
        <f>VLOOKUP(A1145,'Employee Engagement Survey'!A1100:D2569,4,FALSE)</f>
        <v>1</v>
      </c>
      <c r="AH1145">
        <f>VLOOKUP(A1145,'Employee Engagement Survey'!A1100:E2569,5,FALSE)</f>
        <v>3</v>
      </c>
      <c r="AI1145">
        <f t="shared" si="92"/>
        <v>2.5</v>
      </c>
    </row>
    <row r="1146" spans="1:35" hidden="1" x14ac:dyDescent="0.4">
      <c r="A1146">
        <v>1582</v>
      </c>
      <c r="B1146" t="s">
        <v>34</v>
      </c>
      <c r="C1146">
        <f t="shared" si="95"/>
        <v>1</v>
      </c>
      <c r="D1146" t="s">
        <v>57</v>
      </c>
      <c r="E1146">
        <f t="shared" si="91"/>
        <v>0</v>
      </c>
      <c r="F1146" t="s">
        <v>40</v>
      </c>
      <c r="G1146">
        <v>9</v>
      </c>
      <c r="H1146" s="1">
        <v>131088</v>
      </c>
      <c r="I1146" s="10">
        <v>0.11</v>
      </c>
      <c r="J1146">
        <v>37.5</v>
      </c>
      <c r="K1146" t="s">
        <v>34</v>
      </c>
      <c r="L1146">
        <v>38</v>
      </c>
      <c r="M1146" t="s">
        <v>29</v>
      </c>
      <c r="N1146" t="s">
        <v>42</v>
      </c>
      <c r="O1146" t="s">
        <v>31</v>
      </c>
      <c r="P1146">
        <v>14</v>
      </c>
      <c r="Q1146" t="s">
        <v>43</v>
      </c>
      <c r="R1146" t="s">
        <v>37</v>
      </c>
      <c r="S1146">
        <v>3</v>
      </c>
      <c r="T1146">
        <v>1</v>
      </c>
      <c r="U1146">
        <v>10</v>
      </c>
      <c r="V1146">
        <v>3</v>
      </c>
      <c r="W1146">
        <v>9</v>
      </c>
      <c r="X1146">
        <v>8</v>
      </c>
      <c r="Y1146">
        <v>7</v>
      </c>
      <c r="Z1146">
        <v>7</v>
      </c>
      <c r="AA1146" t="str">
        <f t="shared" si="93"/>
        <v>Mid Tenure</v>
      </c>
      <c r="AB1146" s="5">
        <v>45555</v>
      </c>
      <c r="AC1146">
        <f t="shared" si="94"/>
        <v>1</v>
      </c>
      <c r="AD1146" t="s">
        <v>49</v>
      </c>
      <c r="AE1146">
        <f>VLOOKUP(A1146,'Employee Engagement Survey'!A1101:B2570,2,FALSE)</f>
        <v>3</v>
      </c>
      <c r="AF1146">
        <f>VLOOKUP(A1146,'Employee Engagement Survey'!A1101:C2570,3,FALSE)</f>
        <v>2</v>
      </c>
      <c r="AG1146">
        <f>VLOOKUP(A1146,'Employee Engagement Survey'!A1101:D2570,4,FALSE)</f>
        <v>4</v>
      </c>
      <c r="AH1146">
        <f>VLOOKUP(A1146,'Employee Engagement Survey'!A1101:E2570,5,FALSE)</f>
        <v>3</v>
      </c>
      <c r="AI1146">
        <f t="shared" si="92"/>
        <v>3</v>
      </c>
    </row>
    <row r="1147" spans="1:35" hidden="1" x14ac:dyDescent="0.4">
      <c r="A1147">
        <v>1586</v>
      </c>
      <c r="B1147" t="s">
        <v>34</v>
      </c>
      <c r="C1147">
        <f t="shared" si="95"/>
        <v>1</v>
      </c>
      <c r="D1147" t="s">
        <v>46</v>
      </c>
      <c r="E1147">
        <f t="shared" si="91"/>
        <v>0</v>
      </c>
      <c r="F1147" t="s">
        <v>28</v>
      </c>
      <c r="G1147">
        <v>6</v>
      </c>
      <c r="H1147" s="1">
        <v>68676</v>
      </c>
      <c r="I1147" s="10">
        <v>0.18</v>
      </c>
      <c r="J1147">
        <v>37.5</v>
      </c>
      <c r="K1147" t="s">
        <v>26</v>
      </c>
      <c r="L1147">
        <v>29</v>
      </c>
      <c r="M1147" t="s">
        <v>29</v>
      </c>
      <c r="N1147" t="s">
        <v>30</v>
      </c>
      <c r="O1147" t="s">
        <v>31</v>
      </c>
      <c r="P1147">
        <v>3</v>
      </c>
      <c r="Q1147" t="s">
        <v>32</v>
      </c>
      <c r="R1147" t="s">
        <v>33</v>
      </c>
      <c r="S1147">
        <v>3</v>
      </c>
      <c r="T1147">
        <v>0</v>
      </c>
      <c r="U1147">
        <v>10</v>
      </c>
      <c r="V1147">
        <v>3</v>
      </c>
      <c r="W1147">
        <v>10</v>
      </c>
      <c r="X1147">
        <v>9</v>
      </c>
      <c r="Y1147">
        <v>1</v>
      </c>
      <c r="Z1147">
        <v>5</v>
      </c>
      <c r="AA1147" t="str">
        <f t="shared" si="93"/>
        <v>Long Tenure</v>
      </c>
      <c r="AB1147" s="5">
        <v>45397</v>
      </c>
      <c r="AC1147">
        <f t="shared" si="94"/>
        <v>1</v>
      </c>
      <c r="AD1147" t="s">
        <v>38</v>
      </c>
      <c r="AE1147">
        <f>VLOOKUP(A1147,'Employee Engagement Survey'!A1102:B2571,2,FALSE)</f>
        <v>2</v>
      </c>
      <c r="AF1147">
        <f>VLOOKUP(A1147,'Employee Engagement Survey'!A1102:C2571,3,FALSE)</f>
        <v>1</v>
      </c>
      <c r="AG1147">
        <f>VLOOKUP(A1147,'Employee Engagement Survey'!A1102:D2571,4,FALSE)</f>
        <v>4</v>
      </c>
      <c r="AH1147">
        <f>VLOOKUP(A1147,'Employee Engagement Survey'!A1102:E2571,5,FALSE)</f>
        <v>3</v>
      </c>
      <c r="AI1147">
        <f t="shared" si="92"/>
        <v>2.5</v>
      </c>
    </row>
    <row r="1148" spans="1:35" x14ac:dyDescent="0.4">
      <c r="A1148">
        <v>1525</v>
      </c>
      <c r="B1148" t="s">
        <v>34</v>
      </c>
      <c r="C1148">
        <f t="shared" si="95"/>
        <v>1</v>
      </c>
      <c r="D1148" t="s">
        <v>54</v>
      </c>
      <c r="E1148">
        <f t="shared" si="91"/>
        <v>1</v>
      </c>
      <c r="F1148" t="s">
        <v>28</v>
      </c>
      <c r="G1148">
        <v>9</v>
      </c>
      <c r="H1148" s="1">
        <v>112512</v>
      </c>
      <c r="I1148" s="10">
        <v>0.18</v>
      </c>
      <c r="J1148">
        <v>37.5</v>
      </c>
      <c r="K1148" t="s">
        <v>34</v>
      </c>
      <c r="L1148">
        <v>39</v>
      </c>
      <c r="M1148" t="s">
        <v>47</v>
      </c>
      <c r="N1148" t="s">
        <v>30</v>
      </c>
      <c r="O1148" t="s">
        <v>31</v>
      </c>
      <c r="P1148">
        <v>6</v>
      </c>
      <c r="Q1148" t="s">
        <v>43</v>
      </c>
      <c r="R1148" t="s">
        <v>37</v>
      </c>
      <c r="S1148">
        <v>3</v>
      </c>
      <c r="T1148">
        <v>0</v>
      </c>
      <c r="U1148">
        <v>9</v>
      </c>
      <c r="V1148">
        <v>3</v>
      </c>
      <c r="W1148">
        <v>2</v>
      </c>
      <c r="X1148">
        <v>0</v>
      </c>
      <c r="Y1148">
        <v>2</v>
      </c>
      <c r="Z1148">
        <v>2</v>
      </c>
      <c r="AA1148" t="str">
        <f t="shared" si="93"/>
        <v>Early Tenure</v>
      </c>
      <c r="AB1148" s="5">
        <v>45322</v>
      </c>
      <c r="AC1148">
        <f t="shared" si="94"/>
        <v>1</v>
      </c>
      <c r="AD1148" t="s">
        <v>38</v>
      </c>
      <c r="AE1148">
        <f>VLOOKUP(A1148,'Employee Engagement Survey'!A1103:B2572,2,FALSE)</f>
        <v>2</v>
      </c>
      <c r="AF1148">
        <f>VLOOKUP(A1148,'Employee Engagement Survey'!A1103:C2572,3,FALSE)</f>
        <v>2</v>
      </c>
      <c r="AG1148">
        <f>VLOOKUP(A1148,'Employee Engagement Survey'!A1103:D2572,4,FALSE)</f>
        <v>4</v>
      </c>
      <c r="AH1148">
        <f>VLOOKUP(A1148,'Employee Engagement Survey'!A1103:E2572,5,FALSE)</f>
        <v>3</v>
      </c>
      <c r="AI1148">
        <f t="shared" si="92"/>
        <v>2.75</v>
      </c>
    </row>
    <row r="1149" spans="1:35" hidden="1" x14ac:dyDescent="0.4">
      <c r="A1149">
        <v>1588</v>
      </c>
      <c r="B1149" t="s">
        <v>34</v>
      </c>
      <c r="C1149">
        <f t="shared" si="95"/>
        <v>1</v>
      </c>
      <c r="D1149" t="s">
        <v>57</v>
      </c>
      <c r="E1149">
        <f t="shared" si="91"/>
        <v>0</v>
      </c>
      <c r="F1149" t="s">
        <v>40</v>
      </c>
      <c r="G1149">
        <v>9</v>
      </c>
      <c r="H1149" s="1">
        <v>110844</v>
      </c>
      <c r="I1149" s="10">
        <v>0.11</v>
      </c>
      <c r="J1149">
        <v>37.5</v>
      </c>
      <c r="K1149" t="s">
        <v>34</v>
      </c>
      <c r="L1149">
        <v>39</v>
      </c>
      <c r="M1149" t="s">
        <v>29</v>
      </c>
      <c r="N1149" t="s">
        <v>42</v>
      </c>
      <c r="O1149" t="s">
        <v>31</v>
      </c>
      <c r="P1149">
        <v>6</v>
      </c>
      <c r="Q1149" t="s">
        <v>43</v>
      </c>
      <c r="R1149" t="s">
        <v>33</v>
      </c>
      <c r="S1149">
        <v>3</v>
      </c>
      <c r="T1149">
        <v>1</v>
      </c>
      <c r="U1149">
        <v>11</v>
      </c>
      <c r="V1149">
        <v>3</v>
      </c>
      <c r="W1149">
        <v>7</v>
      </c>
      <c r="X1149">
        <v>6</v>
      </c>
      <c r="Y1149">
        <v>7</v>
      </c>
      <c r="Z1149">
        <v>6</v>
      </c>
      <c r="AA1149" t="str">
        <f t="shared" si="93"/>
        <v>Mid Tenure</v>
      </c>
      <c r="AB1149" s="5">
        <v>45872</v>
      </c>
      <c r="AC1149">
        <f t="shared" si="94"/>
        <v>1</v>
      </c>
      <c r="AD1149" t="s">
        <v>38</v>
      </c>
      <c r="AE1149">
        <f>VLOOKUP(A1149,'Employee Engagement Survey'!A1104:B2573,2,FALSE)</f>
        <v>4</v>
      </c>
      <c r="AF1149">
        <f>VLOOKUP(A1149,'Employee Engagement Survey'!A1104:C2573,3,FALSE)</f>
        <v>3</v>
      </c>
      <c r="AG1149">
        <f>VLOOKUP(A1149,'Employee Engagement Survey'!A1104:D2573,4,FALSE)</f>
        <v>1</v>
      </c>
      <c r="AH1149">
        <f>VLOOKUP(A1149,'Employee Engagement Survey'!A1104:E2573,5,FALSE)</f>
        <v>3</v>
      </c>
      <c r="AI1149">
        <f t="shared" si="92"/>
        <v>2.75</v>
      </c>
    </row>
    <row r="1150" spans="1:35" hidden="1" x14ac:dyDescent="0.4">
      <c r="A1150">
        <v>682</v>
      </c>
      <c r="B1150" t="s">
        <v>34</v>
      </c>
      <c r="C1150">
        <f t="shared" si="95"/>
        <v>1</v>
      </c>
      <c r="D1150" t="s">
        <v>57</v>
      </c>
      <c r="E1150">
        <f t="shared" si="91"/>
        <v>0</v>
      </c>
      <c r="F1150" t="s">
        <v>40</v>
      </c>
      <c r="G1150">
        <v>9</v>
      </c>
      <c r="H1150" s="1">
        <v>112572</v>
      </c>
      <c r="I1150" s="10">
        <v>0.2</v>
      </c>
      <c r="J1150">
        <v>37.5</v>
      </c>
      <c r="K1150" t="s">
        <v>34</v>
      </c>
      <c r="L1150">
        <v>53</v>
      </c>
      <c r="M1150" t="s">
        <v>47</v>
      </c>
      <c r="N1150" t="s">
        <v>30</v>
      </c>
      <c r="O1150" t="s">
        <v>31</v>
      </c>
      <c r="P1150">
        <v>1</v>
      </c>
      <c r="Q1150" t="s">
        <v>32</v>
      </c>
      <c r="R1150" t="s">
        <v>33</v>
      </c>
      <c r="S1150">
        <v>4</v>
      </c>
      <c r="T1150">
        <v>0</v>
      </c>
      <c r="U1150">
        <v>18</v>
      </c>
      <c r="V1150">
        <v>2</v>
      </c>
      <c r="W1150">
        <v>14</v>
      </c>
      <c r="X1150">
        <v>7</v>
      </c>
      <c r="Y1150">
        <v>8</v>
      </c>
      <c r="Z1150">
        <v>10</v>
      </c>
      <c r="AA1150" t="str">
        <f t="shared" si="93"/>
        <v>Long Tenure</v>
      </c>
      <c r="AB1150" s="5">
        <v>44637</v>
      </c>
      <c r="AC1150">
        <f t="shared" si="94"/>
        <v>0</v>
      </c>
      <c r="AD1150" t="s">
        <v>38</v>
      </c>
      <c r="AE1150">
        <f>VLOOKUP(A1150,'Employee Engagement Survey'!A1105:B2574,2,FALSE)</f>
        <v>4</v>
      </c>
      <c r="AF1150">
        <f>VLOOKUP(A1150,'Employee Engagement Survey'!A1105:C2574,3,FALSE)</f>
        <v>1</v>
      </c>
      <c r="AG1150">
        <f>VLOOKUP(A1150,'Employee Engagement Survey'!A1105:D2574,4,FALSE)</f>
        <v>4</v>
      </c>
      <c r="AH1150">
        <f>VLOOKUP(A1150,'Employee Engagement Survey'!A1105:E2574,5,FALSE)</f>
        <v>4</v>
      </c>
      <c r="AI1150">
        <f t="shared" si="92"/>
        <v>3.25</v>
      </c>
    </row>
    <row r="1151" spans="1:35" hidden="1" x14ac:dyDescent="0.4">
      <c r="A1151">
        <v>1590</v>
      </c>
      <c r="B1151" t="s">
        <v>34</v>
      </c>
      <c r="C1151">
        <f t="shared" si="95"/>
        <v>1</v>
      </c>
      <c r="D1151" t="s">
        <v>55</v>
      </c>
      <c r="E1151">
        <f t="shared" si="91"/>
        <v>0</v>
      </c>
      <c r="F1151" t="s">
        <v>28</v>
      </c>
      <c r="G1151">
        <v>9</v>
      </c>
      <c r="H1151" s="1">
        <v>118236</v>
      </c>
      <c r="I1151" s="10">
        <v>0.19</v>
      </c>
      <c r="J1151">
        <v>37.5</v>
      </c>
      <c r="K1151" t="s">
        <v>34</v>
      </c>
      <c r="L1151">
        <v>29</v>
      </c>
      <c r="M1151" t="s">
        <v>29</v>
      </c>
      <c r="N1151" t="s">
        <v>48</v>
      </c>
      <c r="O1151" t="s">
        <v>44</v>
      </c>
      <c r="P1151">
        <v>2</v>
      </c>
      <c r="Q1151" t="s">
        <v>32</v>
      </c>
      <c r="R1151" t="s">
        <v>37</v>
      </c>
      <c r="S1151">
        <v>3</v>
      </c>
      <c r="T1151">
        <v>1</v>
      </c>
      <c r="U1151">
        <v>6</v>
      </c>
      <c r="V1151">
        <v>0</v>
      </c>
      <c r="W1151">
        <v>6</v>
      </c>
      <c r="X1151">
        <v>4</v>
      </c>
      <c r="Y1151">
        <v>1</v>
      </c>
      <c r="Z1151">
        <v>3</v>
      </c>
      <c r="AA1151" t="str">
        <f t="shared" si="93"/>
        <v>Mid Tenure</v>
      </c>
      <c r="AB1151" s="5">
        <v>45046</v>
      </c>
      <c r="AC1151">
        <f t="shared" si="94"/>
        <v>0</v>
      </c>
      <c r="AD1151" t="s">
        <v>38</v>
      </c>
      <c r="AE1151">
        <f>VLOOKUP(A1151,'Employee Engagement Survey'!A1106:B2575,2,FALSE)</f>
        <v>1</v>
      </c>
      <c r="AF1151">
        <f>VLOOKUP(A1151,'Employee Engagement Survey'!A1106:C2575,3,FALSE)</f>
        <v>4</v>
      </c>
      <c r="AG1151">
        <f>VLOOKUP(A1151,'Employee Engagement Survey'!A1106:D2575,4,FALSE)</f>
        <v>4</v>
      </c>
      <c r="AH1151">
        <f>VLOOKUP(A1151,'Employee Engagement Survey'!A1106:E2575,5,FALSE)</f>
        <v>4</v>
      </c>
      <c r="AI1151">
        <f t="shared" si="92"/>
        <v>3.25</v>
      </c>
    </row>
    <row r="1152" spans="1:35" x14ac:dyDescent="0.4">
      <c r="A1152">
        <v>1591</v>
      </c>
      <c r="B1152" t="s">
        <v>34</v>
      </c>
      <c r="C1152">
        <f t="shared" si="95"/>
        <v>1</v>
      </c>
      <c r="D1152" t="s">
        <v>110</v>
      </c>
      <c r="E1152">
        <f t="shared" si="91"/>
        <v>1</v>
      </c>
      <c r="F1152" t="s">
        <v>40</v>
      </c>
      <c r="G1152">
        <v>5</v>
      </c>
      <c r="H1152" s="1">
        <v>243972</v>
      </c>
      <c r="I1152" s="10">
        <v>0.16</v>
      </c>
      <c r="J1152">
        <v>37.5</v>
      </c>
      <c r="K1152" t="s">
        <v>26</v>
      </c>
      <c r="L1152">
        <v>50</v>
      </c>
      <c r="M1152" t="s">
        <v>29</v>
      </c>
      <c r="N1152" t="s">
        <v>42</v>
      </c>
      <c r="O1152" t="s">
        <v>31</v>
      </c>
      <c r="P1152">
        <v>9</v>
      </c>
      <c r="Q1152" t="s">
        <v>43</v>
      </c>
      <c r="R1152" t="s">
        <v>56</v>
      </c>
      <c r="S1152">
        <v>3</v>
      </c>
      <c r="T1152">
        <v>1</v>
      </c>
      <c r="U1152">
        <v>27</v>
      </c>
      <c r="V1152">
        <v>2</v>
      </c>
      <c r="W1152">
        <v>1</v>
      </c>
      <c r="X1152">
        <v>0</v>
      </c>
      <c r="Y1152">
        <v>0</v>
      </c>
      <c r="Z1152">
        <v>0</v>
      </c>
      <c r="AA1152" t="str">
        <f t="shared" si="93"/>
        <v>Early Tenure</v>
      </c>
      <c r="AB1152" s="5">
        <v>45897</v>
      </c>
      <c r="AC1152">
        <f t="shared" si="94"/>
        <v>1</v>
      </c>
      <c r="AD1152" t="s">
        <v>49</v>
      </c>
      <c r="AE1152">
        <f>VLOOKUP(A1152,'Employee Engagement Survey'!A1107:B2576,2,FALSE)</f>
        <v>3</v>
      </c>
      <c r="AF1152">
        <f>VLOOKUP(A1152,'Employee Engagement Survey'!A1107:C2576,3,FALSE)</f>
        <v>3</v>
      </c>
      <c r="AG1152">
        <f>VLOOKUP(A1152,'Employee Engagement Survey'!A1107:D2576,4,FALSE)</f>
        <v>3</v>
      </c>
      <c r="AH1152">
        <f>VLOOKUP(A1152,'Employee Engagement Survey'!A1107:E2576,5,FALSE)</f>
        <v>3</v>
      </c>
      <c r="AI1152">
        <f t="shared" si="92"/>
        <v>3</v>
      </c>
    </row>
    <row r="1153" spans="1:35" hidden="1" x14ac:dyDescent="0.4">
      <c r="A1153">
        <v>567</v>
      </c>
      <c r="B1153" t="s">
        <v>34</v>
      </c>
      <c r="C1153">
        <f t="shared" si="95"/>
        <v>1</v>
      </c>
      <c r="D1153" t="s">
        <v>57</v>
      </c>
      <c r="E1153">
        <f t="shared" si="91"/>
        <v>0</v>
      </c>
      <c r="F1153" t="s">
        <v>40</v>
      </c>
      <c r="G1153">
        <v>9</v>
      </c>
      <c r="H1153" s="1">
        <v>112944</v>
      </c>
      <c r="I1153" s="10">
        <v>0.11</v>
      </c>
      <c r="J1153">
        <v>37.5</v>
      </c>
      <c r="K1153" t="s">
        <v>34</v>
      </c>
      <c r="L1153">
        <v>30</v>
      </c>
      <c r="M1153" t="s">
        <v>47</v>
      </c>
      <c r="N1153" t="s">
        <v>42</v>
      </c>
      <c r="O1153" t="s">
        <v>35</v>
      </c>
      <c r="P1153">
        <v>22</v>
      </c>
      <c r="Q1153" t="s">
        <v>51</v>
      </c>
      <c r="R1153" t="s">
        <v>53</v>
      </c>
      <c r="S1153">
        <v>3</v>
      </c>
      <c r="T1153">
        <v>0</v>
      </c>
      <c r="U1153">
        <v>10</v>
      </c>
      <c r="V1153">
        <v>3</v>
      </c>
      <c r="W1153">
        <v>9</v>
      </c>
      <c r="X1153">
        <v>8</v>
      </c>
      <c r="Y1153">
        <v>7</v>
      </c>
      <c r="Z1153">
        <v>8</v>
      </c>
      <c r="AA1153" t="str">
        <f t="shared" si="93"/>
        <v>Mid Tenure</v>
      </c>
      <c r="AB1153" s="5">
        <v>44755</v>
      </c>
      <c r="AC1153">
        <f t="shared" si="94"/>
        <v>0</v>
      </c>
      <c r="AD1153" t="s">
        <v>49</v>
      </c>
      <c r="AE1153">
        <f>VLOOKUP(A1153,'Employee Engagement Survey'!A1108:B2577,2,FALSE)</f>
        <v>3</v>
      </c>
      <c r="AF1153">
        <f>VLOOKUP(A1153,'Employee Engagement Survey'!A1108:C2577,3,FALSE)</f>
        <v>1</v>
      </c>
      <c r="AG1153">
        <f>VLOOKUP(A1153,'Employee Engagement Survey'!A1108:D2577,4,FALSE)</f>
        <v>3</v>
      </c>
      <c r="AH1153">
        <f>VLOOKUP(A1153,'Employee Engagement Survey'!A1108:E2577,5,FALSE)</f>
        <v>3</v>
      </c>
      <c r="AI1153">
        <f t="shared" si="92"/>
        <v>2.5</v>
      </c>
    </row>
    <row r="1154" spans="1:35" hidden="1" x14ac:dyDescent="0.4">
      <c r="A1154">
        <v>1592</v>
      </c>
      <c r="B1154" t="s">
        <v>34</v>
      </c>
      <c r="C1154">
        <f t="shared" si="95"/>
        <v>1</v>
      </c>
      <c r="D1154" t="s">
        <v>27</v>
      </c>
      <c r="E1154">
        <f t="shared" ref="E1154:E1217" si="96">IF(OR(D1154="Manager, HR", D1154="Manager, Sales", D1154="Manager, R&amp;D", D1154="Manufacturing Director",D1154="Research Director", D1154="VP, HR", D1154="CEO"),1,0)</f>
        <v>0</v>
      </c>
      <c r="F1154" t="s">
        <v>28</v>
      </c>
      <c r="G1154">
        <v>3</v>
      </c>
      <c r="H1154" s="1">
        <v>48876</v>
      </c>
      <c r="I1154" s="10">
        <v>0.16</v>
      </c>
      <c r="J1154">
        <v>37.5</v>
      </c>
      <c r="K1154" t="s">
        <v>34</v>
      </c>
      <c r="L1154">
        <v>23</v>
      </c>
      <c r="M1154" t="s">
        <v>29</v>
      </c>
      <c r="N1154" t="s">
        <v>42</v>
      </c>
      <c r="O1154" t="s">
        <v>31</v>
      </c>
      <c r="P1154">
        <v>10</v>
      </c>
      <c r="Q1154" t="s">
        <v>43</v>
      </c>
      <c r="R1154" t="s">
        <v>45</v>
      </c>
      <c r="S1154">
        <v>3</v>
      </c>
      <c r="T1154">
        <v>1</v>
      </c>
      <c r="U1154">
        <v>4</v>
      </c>
      <c r="V1154">
        <v>2</v>
      </c>
      <c r="W1154">
        <v>2</v>
      </c>
      <c r="X1154">
        <v>2</v>
      </c>
      <c r="Y1154">
        <v>2</v>
      </c>
      <c r="Z1154">
        <v>2</v>
      </c>
      <c r="AA1154" t="str">
        <f t="shared" si="93"/>
        <v>Early Tenure</v>
      </c>
      <c r="AB1154" s="5">
        <v>45127</v>
      </c>
      <c r="AC1154">
        <f t="shared" si="94"/>
        <v>0</v>
      </c>
      <c r="AD1154" t="s">
        <v>49</v>
      </c>
      <c r="AE1154">
        <f>VLOOKUP(A1154,'Employee Engagement Survey'!A1109:B2578,2,FALSE)</f>
        <v>4</v>
      </c>
      <c r="AF1154">
        <f>VLOOKUP(A1154,'Employee Engagement Survey'!A1109:C2578,3,FALSE)</f>
        <v>3</v>
      </c>
      <c r="AG1154">
        <f>VLOOKUP(A1154,'Employee Engagement Survey'!A1109:D2578,4,FALSE)</f>
        <v>4</v>
      </c>
      <c r="AH1154">
        <f>VLOOKUP(A1154,'Employee Engagement Survey'!A1109:E2578,5,FALSE)</f>
        <v>3</v>
      </c>
      <c r="AI1154">
        <f t="shared" ref="AI1154:AI1217" si="97">AVERAGE(AE1154:AH1154)</f>
        <v>3.5</v>
      </c>
    </row>
    <row r="1155" spans="1:35" hidden="1" x14ac:dyDescent="0.4">
      <c r="A1155">
        <v>1594</v>
      </c>
      <c r="B1155" t="s">
        <v>34</v>
      </c>
      <c r="C1155">
        <f t="shared" si="95"/>
        <v>1</v>
      </c>
      <c r="D1155" t="s">
        <v>46</v>
      </c>
      <c r="E1155">
        <f t="shared" si="96"/>
        <v>0</v>
      </c>
      <c r="F1155" t="s">
        <v>28</v>
      </c>
      <c r="G1155">
        <v>7</v>
      </c>
      <c r="H1155" s="1">
        <v>78744</v>
      </c>
      <c r="I1155" s="10">
        <v>0.13</v>
      </c>
      <c r="J1155">
        <v>37.5</v>
      </c>
      <c r="K1155" t="s">
        <v>26</v>
      </c>
      <c r="L1155">
        <v>36</v>
      </c>
      <c r="M1155" t="s">
        <v>29</v>
      </c>
      <c r="N1155" t="s">
        <v>42</v>
      </c>
      <c r="O1155" t="s">
        <v>44</v>
      </c>
      <c r="P1155">
        <v>6</v>
      </c>
      <c r="Q1155" t="s">
        <v>51</v>
      </c>
      <c r="R1155" t="s">
        <v>37</v>
      </c>
      <c r="S1155">
        <v>3</v>
      </c>
      <c r="T1155">
        <v>1</v>
      </c>
      <c r="U1155">
        <v>9</v>
      </c>
      <c r="V1155">
        <v>3</v>
      </c>
      <c r="W1155">
        <v>3</v>
      </c>
      <c r="X1155">
        <v>2</v>
      </c>
      <c r="Y1155">
        <v>0</v>
      </c>
      <c r="Z1155">
        <v>2</v>
      </c>
      <c r="AA1155" t="str">
        <f t="shared" ref="AA1155:AA1218" si="98">IF(W1155&lt;=2,"Early Tenure",IF(W1155&lt;=9,"Mid Tenure","Long Tenure"))</f>
        <v>Mid Tenure</v>
      </c>
      <c r="AB1155" s="5">
        <v>45057</v>
      </c>
      <c r="AC1155">
        <f t="shared" ref="AC1155:AC1218" si="99">IF(AND(AB1155&lt;&gt;"",AB1155&gt;DATE(2024,1,1)),1,0)</f>
        <v>0</v>
      </c>
      <c r="AD1155" t="s">
        <v>49</v>
      </c>
      <c r="AE1155">
        <f>VLOOKUP(A1155,'Employee Engagement Survey'!A1110:B2579,2,FALSE)</f>
        <v>1</v>
      </c>
      <c r="AF1155">
        <f>VLOOKUP(A1155,'Employee Engagement Survey'!A1110:C2579,3,FALSE)</f>
        <v>1</v>
      </c>
      <c r="AG1155">
        <f>VLOOKUP(A1155,'Employee Engagement Survey'!A1110:D2579,4,FALSE)</f>
        <v>4</v>
      </c>
      <c r="AH1155">
        <f>VLOOKUP(A1155,'Employee Engagement Survey'!A1110:E2579,5,FALSE)</f>
        <v>3</v>
      </c>
      <c r="AI1155">
        <f t="shared" si="97"/>
        <v>2.25</v>
      </c>
    </row>
    <row r="1156" spans="1:35" x14ac:dyDescent="0.4">
      <c r="A1156">
        <v>1595</v>
      </c>
      <c r="B1156" t="s">
        <v>34</v>
      </c>
      <c r="C1156">
        <f t="shared" si="95"/>
        <v>1</v>
      </c>
      <c r="D1156" t="s">
        <v>109</v>
      </c>
      <c r="E1156">
        <f t="shared" si="96"/>
        <v>1</v>
      </c>
      <c r="F1156" t="s">
        <v>28</v>
      </c>
      <c r="G1156">
        <v>5</v>
      </c>
      <c r="H1156" s="1">
        <v>247356</v>
      </c>
      <c r="I1156" s="10">
        <v>0.22</v>
      </c>
      <c r="J1156">
        <v>37.5</v>
      </c>
      <c r="K1156" t="s">
        <v>34</v>
      </c>
      <c r="L1156">
        <v>42</v>
      </c>
      <c r="M1156" t="s">
        <v>29</v>
      </c>
      <c r="N1156" t="s">
        <v>30</v>
      </c>
      <c r="O1156" t="s">
        <v>31</v>
      </c>
      <c r="P1156">
        <v>9</v>
      </c>
      <c r="Q1156" t="s">
        <v>36</v>
      </c>
      <c r="R1156" t="s">
        <v>53</v>
      </c>
      <c r="S1156">
        <v>4</v>
      </c>
      <c r="T1156">
        <v>0</v>
      </c>
      <c r="U1156">
        <v>24</v>
      </c>
      <c r="V1156">
        <v>2</v>
      </c>
      <c r="W1156">
        <v>1</v>
      </c>
      <c r="X1156">
        <v>0</v>
      </c>
      <c r="Y1156">
        <v>0</v>
      </c>
      <c r="Z1156">
        <v>1</v>
      </c>
      <c r="AA1156" t="str">
        <f t="shared" si="98"/>
        <v>Early Tenure</v>
      </c>
      <c r="AB1156" s="5">
        <v>45687</v>
      </c>
      <c r="AC1156">
        <f t="shared" si="99"/>
        <v>1</v>
      </c>
      <c r="AD1156" t="s">
        <v>38</v>
      </c>
      <c r="AE1156">
        <f>VLOOKUP(A1156,'Employee Engagement Survey'!A1111:B2580,2,FALSE)</f>
        <v>4</v>
      </c>
      <c r="AF1156">
        <f>VLOOKUP(A1156,'Employee Engagement Survey'!A1111:C2580,3,FALSE)</f>
        <v>4</v>
      </c>
      <c r="AG1156">
        <f>VLOOKUP(A1156,'Employee Engagement Survey'!A1111:D2580,4,FALSE)</f>
        <v>4</v>
      </c>
      <c r="AH1156">
        <f>VLOOKUP(A1156,'Employee Engagement Survey'!A1111:E2580,5,FALSE)</f>
        <v>3</v>
      </c>
      <c r="AI1156">
        <f t="shared" si="97"/>
        <v>3.75</v>
      </c>
    </row>
    <row r="1157" spans="1:35" hidden="1" x14ac:dyDescent="0.4">
      <c r="A1157">
        <v>1596</v>
      </c>
      <c r="B1157" t="s">
        <v>34</v>
      </c>
      <c r="C1157">
        <f t="shared" si="95"/>
        <v>1</v>
      </c>
      <c r="D1157" t="s">
        <v>46</v>
      </c>
      <c r="E1157">
        <f t="shared" si="96"/>
        <v>0</v>
      </c>
      <c r="F1157" t="s">
        <v>28</v>
      </c>
      <c r="G1157">
        <v>6</v>
      </c>
      <c r="H1157" s="1">
        <v>64884</v>
      </c>
      <c r="I1157" s="10">
        <v>0.17</v>
      </c>
      <c r="J1157">
        <v>37.5</v>
      </c>
      <c r="K1157" t="s">
        <v>34</v>
      </c>
      <c r="L1157">
        <v>35</v>
      </c>
      <c r="M1157" t="s">
        <v>29</v>
      </c>
      <c r="N1157" t="s">
        <v>42</v>
      </c>
      <c r="O1157" t="s">
        <v>31</v>
      </c>
      <c r="P1157">
        <v>28</v>
      </c>
      <c r="Q1157" t="s">
        <v>43</v>
      </c>
      <c r="R1157" t="s">
        <v>37</v>
      </c>
      <c r="S1157">
        <v>3</v>
      </c>
      <c r="T1157">
        <v>2</v>
      </c>
      <c r="U1157">
        <v>10</v>
      </c>
      <c r="V1157">
        <v>3</v>
      </c>
      <c r="W1157">
        <v>10</v>
      </c>
      <c r="X1157">
        <v>9</v>
      </c>
      <c r="Y1157">
        <v>6</v>
      </c>
      <c r="Z1157">
        <v>8</v>
      </c>
      <c r="AA1157" t="str">
        <f t="shared" si="98"/>
        <v>Long Tenure</v>
      </c>
      <c r="AB1157" s="5">
        <v>45179</v>
      </c>
      <c r="AC1157">
        <f t="shared" si="99"/>
        <v>0</v>
      </c>
      <c r="AD1157" t="s">
        <v>49</v>
      </c>
      <c r="AE1157">
        <f>VLOOKUP(A1157,'Employee Engagement Survey'!A1112:B2581,2,FALSE)</f>
        <v>2</v>
      </c>
      <c r="AF1157">
        <f>VLOOKUP(A1157,'Employee Engagement Survey'!A1112:C2581,3,FALSE)</f>
        <v>3</v>
      </c>
      <c r="AG1157">
        <f>VLOOKUP(A1157,'Employee Engagement Survey'!A1112:D2581,4,FALSE)</f>
        <v>4</v>
      </c>
      <c r="AH1157">
        <f>VLOOKUP(A1157,'Employee Engagement Survey'!A1112:E2581,5,FALSE)</f>
        <v>2</v>
      </c>
      <c r="AI1157">
        <f t="shared" si="97"/>
        <v>2.75</v>
      </c>
    </row>
    <row r="1158" spans="1:35" hidden="1" x14ac:dyDescent="0.4">
      <c r="A1158">
        <v>1597</v>
      </c>
      <c r="B1158" t="s">
        <v>34</v>
      </c>
      <c r="C1158">
        <f t="shared" si="95"/>
        <v>1</v>
      </c>
      <c r="D1158" t="s">
        <v>55</v>
      </c>
      <c r="E1158">
        <f t="shared" si="96"/>
        <v>0</v>
      </c>
      <c r="F1158" t="s">
        <v>28</v>
      </c>
      <c r="G1158">
        <v>7</v>
      </c>
      <c r="H1158" s="1">
        <v>72756</v>
      </c>
      <c r="I1158" s="10">
        <v>0.14000000000000001</v>
      </c>
      <c r="J1158">
        <v>37.5</v>
      </c>
      <c r="K1158" t="s">
        <v>34</v>
      </c>
      <c r="L1158">
        <v>34</v>
      </c>
      <c r="M1158" t="s">
        <v>29</v>
      </c>
      <c r="N1158" t="s">
        <v>42</v>
      </c>
      <c r="O1158" t="s">
        <v>44</v>
      </c>
      <c r="P1158">
        <v>10</v>
      </c>
      <c r="Q1158" t="s">
        <v>51</v>
      </c>
      <c r="R1158" t="s">
        <v>45</v>
      </c>
      <c r="S1158">
        <v>3</v>
      </c>
      <c r="T1158">
        <v>1</v>
      </c>
      <c r="U1158">
        <v>8</v>
      </c>
      <c r="V1158">
        <v>3</v>
      </c>
      <c r="W1158">
        <v>8</v>
      </c>
      <c r="X1158">
        <v>2</v>
      </c>
      <c r="Y1158">
        <v>7</v>
      </c>
      <c r="Z1158">
        <v>7</v>
      </c>
      <c r="AA1158" t="str">
        <f t="shared" si="98"/>
        <v>Mid Tenure</v>
      </c>
      <c r="AB1158" s="5">
        <v>45032</v>
      </c>
      <c r="AC1158">
        <f t="shared" si="99"/>
        <v>0</v>
      </c>
      <c r="AD1158" t="s">
        <v>49</v>
      </c>
      <c r="AE1158">
        <f>VLOOKUP(A1158,'Employee Engagement Survey'!A1114:B2583,2,FALSE)</f>
        <v>4</v>
      </c>
      <c r="AF1158">
        <f>VLOOKUP(A1158,'Employee Engagement Survey'!A1114:C2583,3,FALSE)</f>
        <v>3</v>
      </c>
      <c r="AG1158">
        <f>VLOOKUP(A1158,'Employee Engagement Survey'!A1114:D2583,4,FALSE)</f>
        <v>2</v>
      </c>
      <c r="AH1158">
        <f>VLOOKUP(A1158,'Employee Engagement Survey'!A1114:E2583,5,FALSE)</f>
        <v>2</v>
      </c>
      <c r="AI1158">
        <f t="shared" si="97"/>
        <v>2.75</v>
      </c>
    </row>
    <row r="1159" spans="1:35" hidden="1" x14ac:dyDescent="0.4">
      <c r="A1159">
        <v>1529</v>
      </c>
      <c r="B1159" t="s">
        <v>34</v>
      </c>
      <c r="C1159">
        <f t="shared" si="95"/>
        <v>1</v>
      </c>
      <c r="D1159" t="s">
        <v>55</v>
      </c>
      <c r="E1159">
        <f t="shared" si="96"/>
        <v>0</v>
      </c>
      <c r="F1159" t="s">
        <v>28</v>
      </c>
      <c r="G1159">
        <v>9</v>
      </c>
      <c r="H1159" s="1">
        <v>115272</v>
      </c>
      <c r="I1159" s="10">
        <v>0.19</v>
      </c>
      <c r="J1159">
        <v>37.5</v>
      </c>
      <c r="K1159" t="s">
        <v>34</v>
      </c>
      <c r="L1159">
        <v>35</v>
      </c>
      <c r="M1159" t="s">
        <v>47</v>
      </c>
      <c r="N1159" t="s">
        <v>30</v>
      </c>
      <c r="O1159" t="s">
        <v>31</v>
      </c>
      <c r="P1159">
        <v>16</v>
      </c>
      <c r="Q1159" t="s">
        <v>43</v>
      </c>
      <c r="R1159" t="s">
        <v>37</v>
      </c>
      <c r="S1159">
        <v>3</v>
      </c>
      <c r="T1159">
        <v>0</v>
      </c>
      <c r="U1159">
        <v>11</v>
      </c>
      <c r="V1159">
        <v>3</v>
      </c>
      <c r="W1159">
        <v>11</v>
      </c>
      <c r="X1159">
        <v>8</v>
      </c>
      <c r="Y1159">
        <v>3</v>
      </c>
      <c r="Z1159">
        <v>3</v>
      </c>
      <c r="AA1159" t="str">
        <f t="shared" si="98"/>
        <v>Long Tenure</v>
      </c>
      <c r="AB1159" s="5">
        <v>44746</v>
      </c>
      <c r="AC1159">
        <f t="shared" si="99"/>
        <v>0</v>
      </c>
      <c r="AD1159" t="s">
        <v>49</v>
      </c>
      <c r="AE1159">
        <f>VLOOKUP(A1159,'Employee Engagement Survey'!A1115:B2584,2,FALSE)</f>
        <v>4</v>
      </c>
      <c r="AF1159">
        <f>VLOOKUP(A1159,'Employee Engagement Survey'!A1115:C2584,3,FALSE)</f>
        <v>2</v>
      </c>
      <c r="AG1159">
        <f>VLOOKUP(A1159,'Employee Engagement Survey'!A1115:D2584,4,FALSE)</f>
        <v>4</v>
      </c>
      <c r="AH1159">
        <f>VLOOKUP(A1159,'Employee Engagement Survey'!A1115:E2584,5,FALSE)</f>
        <v>1</v>
      </c>
      <c r="AI1159">
        <f t="shared" si="97"/>
        <v>2.75</v>
      </c>
    </row>
    <row r="1160" spans="1:35" hidden="1" x14ac:dyDescent="0.4">
      <c r="A1160">
        <v>1599</v>
      </c>
      <c r="B1160" t="s">
        <v>34</v>
      </c>
      <c r="C1160">
        <f t="shared" si="95"/>
        <v>1</v>
      </c>
      <c r="D1160" t="s">
        <v>46</v>
      </c>
      <c r="E1160">
        <f t="shared" si="96"/>
        <v>0</v>
      </c>
      <c r="F1160" t="s">
        <v>28</v>
      </c>
      <c r="G1160">
        <v>7</v>
      </c>
      <c r="H1160" s="1">
        <v>70512</v>
      </c>
      <c r="I1160" s="10">
        <v>0.12</v>
      </c>
      <c r="J1160">
        <v>37.5</v>
      </c>
      <c r="K1160" t="s">
        <v>34</v>
      </c>
      <c r="L1160">
        <v>43</v>
      </c>
      <c r="M1160" t="s">
        <v>29</v>
      </c>
      <c r="N1160" t="s">
        <v>48</v>
      </c>
      <c r="O1160" t="s">
        <v>31</v>
      </c>
      <c r="P1160">
        <v>27</v>
      </c>
      <c r="Q1160" t="s">
        <v>43</v>
      </c>
      <c r="R1160" t="s">
        <v>45</v>
      </c>
      <c r="S1160">
        <v>3</v>
      </c>
      <c r="T1160">
        <v>1</v>
      </c>
      <c r="U1160">
        <v>8</v>
      </c>
      <c r="V1160">
        <v>0</v>
      </c>
      <c r="W1160">
        <v>6</v>
      </c>
      <c r="X1160">
        <v>4</v>
      </c>
      <c r="Y1160">
        <v>0</v>
      </c>
      <c r="Z1160">
        <v>2</v>
      </c>
      <c r="AA1160" t="str">
        <f t="shared" si="98"/>
        <v>Mid Tenure</v>
      </c>
      <c r="AB1160" s="5">
        <v>44930</v>
      </c>
      <c r="AC1160">
        <f t="shared" si="99"/>
        <v>0</v>
      </c>
      <c r="AD1160" t="s">
        <v>38</v>
      </c>
      <c r="AE1160">
        <f>VLOOKUP(A1160,'Employee Engagement Survey'!A1116:B2585,2,FALSE)</f>
        <v>4</v>
      </c>
      <c r="AF1160">
        <f>VLOOKUP(A1160,'Employee Engagement Survey'!A1116:C2585,3,FALSE)</f>
        <v>2</v>
      </c>
      <c r="AG1160">
        <f>VLOOKUP(A1160,'Employee Engagement Survey'!A1116:D2585,4,FALSE)</f>
        <v>3</v>
      </c>
      <c r="AH1160">
        <f>VLOOKUP(A1160,'Employee Engagement Survey'!A1116:E2585,5,FALSE)</f>
        <v>3</v>
      </c>
      <c r="AI1160">
        <f t="shared" si="97"/>
        <v>3</v>
      </c>
    </row>
    <row r="1161" spans="1:35" hidden="1" x14ac:dyDescent="0.4">
      <c r="A1161">
        <v>717</v>
      </c>
      <c r="B1161" t="s">
        <v>34</v>
      </c>
      <c r="C1161">
        <f t="shared" si="95"/>
        <v>1</v>
      </c>
      <c r="D1161" t="s">
        <v>55</v>
      </c>
      <c r="E1161">
        <f t="shared" si="96"/>
        <v>0</v>
      </c>
      <c r="F1161" t="s">
        <v>28</v>
      </c>
      <c r="G1161">
        <v>9</v>
      </c>
      <c r="H1161" s="1">
        <v>115452</v>
      </c>
      <c r="I1161" s="10">
        <v>0.14000000000000001</v>
      </c>
      <c r="J1161">
        <v>37.5</v>
      </c>
      <c r="K1161" t="s">
        <v>34</v>
      </c>
      <c r="L1161">
        <v>34</v>
      </c>
      <c r="M1161" t="s">
        <v>47</v>
      </c>
      <c r="N1161" t="s">
        <v>30</v>
      </c>
      <c r="O1161" t="s">
        <v>31</v>
      </c>
      <c r="P1161">
        <v>9</v>
      </c>
      <c r="Q1161" t="s">
        <v>43</v>
      </c>
      <c r="R1161" t="s">
        <v>33</v>
      </c>
      <c r="S1161">
        <v>3</v>
      </c>
      <c r="T1161">
        <v>0</v>
      </c>
      <c r="U1161">
        <v>9</v>
      </c>
      <c r="V1161">
        <v>3</v>
      </c>
      <c r="W1161">
        <v>8</v>
      </c>
      <c r="X1161">
        <v>7</v>
      </c>
      <c r="Y1161">
        <v>7</v>
      </c>
      <c r="Z1161">
        <v>7</v>
      </c>
      <c r="AA1161" t="str">
        <f t="shared" si="98"/>
        <v>Mid Tenure</v>
      </c>
      <c r="AB1161" s="5">
        <v>45404</v>
      </c>
      <c r="AC1161">
        <f t="shared" si="99"/>
        <v>1</v>
      </c>
      <c r="AD1161" t="s">
        <v>38</v>
      </c>
      <c r="AE1161">
        <f>VLOOKUP(A1161,'Employee Engagement Survey'!A1117:B2586,2,FALSE)</f>
        <v>4</v>
      </c>
      <c r="AF1161">
        <f>VLOOKUP(A1161,'Employee Engagement Survey'!A1117:C2586,3,FALSE)</f>
        <v>2</v>
      </c>
      <c r="AG1161">
        <f>VLOOKUP(A1161,'Employee Engagement Survey'!A1117:D2586,4,FALSE)</f>
        <v>2</v>
      </c>
      <c r="AH1161">
        <f>VLOOKUP(A1161,'Employee Engagement Survey'!A1117:E2586,5,FALSE)</f>
        <v>4</v>
      </c>
      <c r="AI1161">
        <f t="shared" si="97"/>
        <v>3</v>
      </c>
    </row>
    <row r="1162" spans="1:35" hidden="1" x14ac:dyDescent="0.4">
      <c r="A1162">
        <v>1601</v>
      </c>
      <c r="B1162" t="s">
        <v>34</v>
      </c>
      <c r="C1162">
        <f t="shared" si="95"/>
        <v>1</v>
      </c>
      <c r="D1162" t="s">
        <v>46</v>
      </c>
      <c r="E1162">
        <f t="shared" si="96"/>
        <v>0</v>
      </c>
      <c r="F1162" t="s">
        <v>28</v>
      </c>
      <c r="G1162">
        <v>5</v>
      </c>
      <c r="H1162" s="1">
        <v>56280</v>
      </c>
      <c r="I1162" s="10">
        <v>0.18</v>
      </c>
      <c r="J1162">
        <v>37.5</v>
      </c>
      <c r="K1162" t="s">
        <v>34</v>
      </c>
      <c r="L1162">
        <v>35</v>
      </c>
      <c r="M1162" t="s">
        <v>29</v>
      </c>
      <c r="N1162" t="s">
        <v>42</v>
      </c>
      <c r="O1162" t="s">
        <v>31</v>
      </c>
      <c r="P1162">
        <v>7</v>
      </c>
      <c r="Q1162" t="s">
        <v>36</v>
      </c>
      <c r="R1162" t="s">
        <v>37</v>
      </c>
      <c r="S1162">
        <v>3</v>
      </c>
      <c r="T1162">
        <v>1</v>
      </c>
      <c r="U1162">
        <v>1</v>
      </c>
      <c r="V1162">
        <v>5</v>
      </c>
      <c r="W1162">
        <v>1</v>
      </c>
      <c r="X1162">
        <v>0</v>
      </c>
      <c r="Y1162">
        <v>0</v>
      </c>
      <c r="Z1162">
        <v>1</v>
      </c>
      <c r="AA1162" t="str">
        <f t="shared" si="98"/>
        <v>Early Tenure</v>
      </c>
      <c r="AB1162" s="5">
        <v>45850</v>
      </c>
      <c r="AC1162">
        <f t="shared" si="99"/>
        <v>1</v>
      </c>
      <c r="AD1162" t="s">
        <v>38</v>
      </c>
      <c r="AE1162">
        <f>VLOOKUP(A1162,'Employee Engagement Survey'!A1118:B2587,2,FALSE)</f>
        <v>3</v>
      </c>
      <c r="AF1162">
        <f>VLOOKUP(A1162,'Employee Engagement Survey'!A1118:C2587,3,FALSE)</f>
        <v>4</v>
      </c>
      <c r="AG1162">
        <f>VLOOKUP(A1162,'Employee Engagement Survey'!A1118:D2587,4,FALSE)</f>
        <v>4</v>
      </c>
      <c r="AH1162">
        <f>VLOOKUP(A1162,'Employee Engagement Survey'!A1118:E2587,5,FALSE)</f>
        <v>2</v>
      </c>
      <c r="AI1162">
        <f t="shared" si="97"/>
        <v>3.25</v>
      </c>
    </row>
    <row r="1163" spans="1:35" hidden="1" x14ac:dyDescent="0.4">
      <c r="A1163">
        <v>1602</v>
      </c>
      <c r="B1163" t="s">
        <v>34</v>
      </c>
      <c r="C1163">
        <f t="shared" si="95"/>
        <v>1</v>
      </c>
      <c r="D1163" t="s">
        <v>110</v>
      </c>
      <c r="E1163">
        <f t="shared" si="96"/>
        <v>1</v>
      </c>
      <c r="F1163" t="s">
        <v>40</v>
      </c>
      <c r="G1163">
        <v>4</v>
      </c>
      <c r="H1163" s="1">
        <v>222804</v>
      </c>
      <c r="I1163" s="10">
        <v>0.15</v>
      </c>
      <c r="J1163">
        <v>37.5</v>
      </c>
      <c r="K1163" t="s">
        <v>34</v>
      </c>
      <c r="L1163">
        <v>46</v>
      </c>
      <c r="M1163" t="s">
        <v>29</v>
      </c>
      <c r="N1163" t="s">
        <v>30</v>
      </c>
      <c r="O1163" t="s">
        <v>31</v>
      </c>
      <c r="P1163">
        <v>1</v>
      </c>
      <c r="Q1163" t="s">
        <v>51</v>
      </c>
      <c r="R1163" t="s">
        <v>37</v>
      </c>
      <c r="S1163">
        <v>3</v>
      </c>
      <c r="T1163">
        <v>0</v>
      </c>
      <c r="U1163">
        <v>27</v>
      </c>
      <c r="V1163">
        <v>5</v>
      </c>
      <c r="W1163">
        <v>26</v>
      </c>
      <c r="X1163">
        <v>0</v>
      </c>
      <c r="Y1163">
        <v>0</v>
      </c>
      <c r="Z1163">
        <v>12</v>
      </c>
      <c r="AA1163" t="str">
        <f t="shared" si="98"/>
        <v>Long Tenure</v>
      </c>
      <c r="AB1163" s="5">
        <v>44664</v>
      </c>
      <c r="AC1163">
        <f t="shared" si="99"/>
        <v>0</v>
      </c>
      <c r="AD1163" t="s">
        <v>38</v>
      </c>
      <c r="AE1163">
        <f>VLOOKUP(A1163,'Employee Engagement Survey'!A1119:B2588,2,FALSE)</f>
        <v>4</v>
      </c>
      <c r="AF1163">
        <f>VLOOKUP(A1163,'Employee Engagement Survey'!A1119:C2588,3,FALSE)</f>
        <v>1</v>
      </c>
      <c r="AG1163">
        <f>VLOOKUP(A1163,'Employee Engagement Survey'!A1119:D2588,4,FALSE)</f>
        <v>2</v>
      </c>
      <c r="AH1163">
        <f>VLOOKUP(A1163,'Employee Engagement Survey'!A1119:E2588,5,FALSE)</f>
        <v>1</v>
      </c>
      <c r="AI1163">
        <f t="shared" si="97"/>
        <v>2</v>
      </c>
    </row>
    <row r="1164" spans="1:35" hidden="1" x14ac:dyDescent="0.4">
      <c r="A1164">
        <v>230</v>
      </c>
      <c r="B1164" t="s">
        <v>34</v>
      </c>
      <c r="C1164">
        <f t="shared" si="95"/>
        <v>1</v>
      </c>
      <c r="D1164" t="s">
        <v>57</v>
      </c>
      <c r="E1164">
        <f t="shared" si="96"/>
        <v>0</v>
      </c>
      <c r="F1164" t="s">
        <v>40</v>
      </c>
      <c r="G1164">
        <v>9</v>
      </c>
      <c r="H1164" s="1">
        <v>116232</v>
      </c>
      <c r="I1164" s="10">
        <v>0.22</v>
      </c>
      <c r="J1164">
        <v>37.5</v>
      </c>
      <c r="K1164" t="s">
        <v>34</v>
      </c>
      <c r="L1164">
        <v>38</v>
      </c>
      <c r="M1164" t="s">
        <v>47</v>
      </c>
      <c r="N1164" t="s">
        <v>30</v>
      </c>
      <c r="O1164" t="s">
        <v>31</v>
      </c>
      <c r="P1164">
        <v>1</v>
      </c>
      <c r="Q1164" t="s">
        <v>51</v>
      </c>
      <c r="R1164" t="s">
        <v>37</v>
      </c>
      <c r="S1164">
        <v>4</v>
      </c>
      <c r="T1164">
        <v>0</v>
      </c>
      <c r="U1164">
        <v>12</v>
      </c>
      <c r="V1164">
        <v>2</v>
      </c>
      <c r="W1164">
        <v>8</v>
      </c>
      <c r="X1164">
        <v>3</v>
      </c>
      <c r="Y1164">
        <v>0</v>
      </c>
      <c r="Z1164">
        <v>7</v>
      </c>
      <c r="AA1164" t="str">
        <f t="shared" si="98"/>
        <v>Mid Tenure</v>
      </c>
      <c r="AB1164" s="5">
        <v>45739</v>
      </c>
      <c r="AC1164">
        <f t="shared" si="99"/>
        <v>1</v>
      </c>
      <c r="AD1164" t="s">
        <v>38</v>
      </c>
      <c r="AE1164">
        <f>VLOOKUP(A1164,'Employee Engagement Survey'!A1121:B2590,2,FALSE)</f>
        <v>1</v>
      </c>
      <c r="AF1164">
        <f>VLOOKUP(A1164,'Employee Engagement Survey'!A1121:C2590,3,FALSE)</f>
        <v>4</v>
      </c>
      <c r="AG1164">
        <f>VLOOKUP(A1164,'Employee Engagement Survey'!A1121:D2590,4,FALSE)</f>
        <v>3</v>
      </c>
      <c r="AH1164">
        <f>VLOOKUP(A1164,'Employee Engagement Survey'!A1121:E2590,5,FALSE)</f>
        <v>4</v>
      </c>
      <c r="AI1164">
        <f t="shared" si="97"/>
        <v>3</v>
      </c>
    </row>
    <row r="1165" spans="1:35" hidden="1" x14ac:dyDescent="0.4">
      <c r="A1165">
        <v>1606</v>
      </c>
      <c r="B1165" t="s">
        <v>34</v>
      </c>
      <c r="C1165">
        <f t="shared" si="95"/>
        <v>1</v>
      </c>
      <c r="D1165" t="s">
        <v>55</v>
      </c>
      <c r="E1165">
        <f t="shared" si="96"/>
        <v>0</v>
      </c>
      <c r="F1165" t="s">
        <v>28</v>
      </c>
      <c r="G1165">
        <v>10</v>
      </c>
      <c r="H1165" s="1">
        <v>146940</v>
      </c>
      <c r="I1165" s="10">
        <v>0.15</v>
      </c>
      <c r="J1165">
        <v>37.5</v>
      </c>
      <c r="K1165" t="s">
        <v>26</v>
      </c>
      <c r="L1165">
        <v>50</v>
      </c>
      <c r="M1165" t="s">
        <v>29</v>
      </c>
      <c r="N1165" t="s">
        <v>42</v>
      </c>
      <c r="O1165" t="s">
        <v>44</v>
      </c>
      <c r="P1165">
        <v>20</v>
      </c>
      <c r="Q1165" t="s">
        <v>58</v>
      </c>
      <c r="R1165" t="s">
        <v>33</v>
      </c>
      <c r="S1165">
        <v>3</v>
      </c>
      <c r="T1165">
        <v>1</v>
      </c>
      <c r="U1165">
        <v>32</v>
      </c>
      <c r="V1165">
        <v>3</v>
      </c>
      <c r="W1165">
        <v>30</v>
      </c>
      <c r="X1165">
        <v>8</v>
      </c>
      <c r="Y1165">
        <v>12</v>
      </c>
      <c r="Z1165">
        <v>13</v>
      </c>
      <c r="AA1165" t="str">
        <f t="shared" si="98"/>
        <v>Long Tenure</v>
      </c>
      <c r="AB1165" s="5">
        <v>45848</v>
      </c>
      <c r="AC1165">
        <f t="shared" si="99"/>
        <v>1</v>
      </c>
      <c r="AD1165" t="s">
        <v>49</v>
      </c>
      <c r="AE1165">
        <f>VLOOKUP(A1165,'Employee Engagement Survey'!A1122:B2591,2,FALSE)</f>
        <v>2</v>
      </c>
      <c r="AF1165">
        <f>VLOOKUP(A1165,'Employee Engagement Survey'!A1122:C2591,3,FALSE)</f>
        <v>3</v>
      </c>
      <c r="AG1165">
        <f>VLOOKUP(A1165,'Employee Engagement Survey'!A1122:D2591,4,FALSE)</f>
        <v>3</v>
      </c>
      <c r="AH1165">
        <f>VLOOKUP(A1165,'Employee Engagement Survey'!A1122:E2591,5,FALSE)</f>
        <v>3</v>
      </c>
      <c r="AI1165">
        <f t="shared" si="97"/>
        <v>2.75</v>
      </c>
    </row>
    <row r="1166" spans="1:35" hidden="1" x14ac:dyDescent="0.4">
      <c r="A1166">
        <v>1609</v>
      </c>
      <c r="B1166" t="s">
        <v>34</v>
      </c>
      <c r="C1166">
        <f t="shared" si="95"/>
        <v>1</v>
      </c>
      <c r="D1166" t="s">
        <v>27</v>
      </c>
      <c r="E1166">
        <f t="shared" si="96"/>
        <v>0</v>
      </c>
      <c r="F1166" t="s">
        <v>28</v>
      </c>
      <c r="G1166">
        <v>3</v>
      </c>
      <c r="H1166" s="1">
        <v>49692</v>
      </c>
      <c r="I1166" s="10">
        <v>0.12</v>
      </c>
      <c r="J1166">
        <v>37.5</v>
      </c>
      <c r="K1166" t="s">
        <v>34</v>
      </c>
      <c r="L1166">
        <v>30</v>
      </c>
      <c r="M1166" t="s">
        <v>29</v>
      </c>
      <c r="N1166" t="s">
        <v>42</v>
      </c>
      <c r="O1166" t="s">
        <v>31</v>
      </c>
      <c r="P1166">
        <v>7</v>
      </c>
      <c r="Q1166" t="s">
        <v>43</v>
      </c>
      <c r="R1166" t="s">
        <v>33</v>
      </c>
      <c r="S1166">
        <v>3</v>
      </c>
      <c r="T1166">
        <v>1</v>
      </c>
      <c r="U1166">
        <v>6</v>
      </c>
      <c r="V1166">
        <v>3</v>
      </c>
      <c r="W1166">
        <v>6</v>
      </c>
      <c r="X1166">
        <v>4</v>
      </c>
      <c r="Y1166">
        <v>1</v>
      </c>
      <c r="Z1166">
        <v>1</v>
      </c>
      <c r="AA1166" t="str">
        <f t="shared" si="98"/>
        <v>Mid Tenure</v>
      </c>
      <c r="AB1166" s="5">
        <v>45525</v>
      </c>
      <c r="AC1166">
        <f t="shared" si="99"/>
        <v>1</v>
      </c>
      <c r="AD1166" t="s">
        <v>38</v>
      </c>
      <c r="AE1166">
        <f>VLOOKUP(A1166,'Employee Engagement Survey'!A1123:B2592,2,FALSE)</f>
        <v>2</v>
      </c>
      <c r="AF1166">
        <f>VLOOKUP(A1166,'Employee Engagement Survey'!A1123:C2592,3,FALSE)</f>
        <v>2</v>
      </c>
      <c r="AG1166">
        <f>VLOOKUP(A1166,'Employee Engagement Survey'!A1123:D2592,4,FALSE)</f>
        <v>2</v>
      </c>
      <c r="AH1166">
        <f>VLOOKUP(A1166,'Employee Engagement Survey'!A1123:E2592,5,FALSE)</f>
        <v>2</v>
      </c>
      <c r="AI1166">
        <f t="shared" si="97"/>
        <v>2</v>
      </c>
    </row>
    <row r="1167" spans="1:35" hidden="1" x14ac:dyDescent="0.4">
      <c r="A1167">
        <v>1612</v>
      </c>
      <c r="B1167" t="s">
        <v>34</v>
      </c>
      <c r="C1167">
        <f t="shared" si="95"/>
        <v>1</v>
      </c>
      <c r="D1167" t="s">
        <v>57</v>
      </c>
      <c r="E1167">
        <f t="shared" si="96"/>
        <v>0</v>
      </c>
      <c r="F1167" t="s">
        <v>40</v>
      </c>
      <c r="G1167">
        <v>6</v>
      </c>
      <c r="H1167" s="1">
        <v>64620</v>
      </c>
      <c r="I1167" s="10">
        <v>0.15</v>
      </c>
      <c r="J1167">
        <v>37.5</v>
      </c>
      <c r="K1167" t="s">
        <v>34</v>
      </c>
      <c r="L1167">
        <v>45</v>
      </c>
      <c r="M1167" t="s">
        <v>29</v>
      </c>
      <c r="N1167" t="s">
        <v>42</v>
      </c>
      <c r="O1167" t="s">
        <v>35</v>
      </c>
      <c r="P1167">
        <v>26</v>
      </c>
      <c r="Q1167" t="s">
        <v>43</v>
      </c>
      <c r="R1167" t="s">
        <v>56</v>
      </c>
      <c r="S1167">
        <v>3</v>
      </c>
      <c r="T1167">
        <v>1</v>
      </c>
      <c r="U1167">
        <v>10</v>
      </c>
      <c r="V1167">
        <v>2</v>
      </c>
      <c r="W1167">
        <v>10</v>
      </c>
      <c r="X1167">
        <v>7</v>
      </c>
      <c r="Y1167">
        <v>4</v>
      </c>
      <c r="Z1167">
        <v>5</v>
      </c>
      <c r="AA1167" t="str">
        <f t="shared" si="98"/>
        <v>Long Tenure</v>
      </c>
      <c r="AB1167" s="5">
        <v>45210</v>
      </c>
      <c r="AC1167">
        <f t="shared" si="99"/>
        <v>0</v>
      </c>
      <c r="AD1167" t="s">
        <v>49</v>
      </c>
      <c r="AE1167">
        <f>VLOOKUP(A1167,'Employee Engagement Survey'!A1124:B2593,2,FALSE)</f>
        <v>1</v>
      </c>
      <c r="AF1167">
        <f>VLOOKUP(A1167,'Employee Engagement Survey'!A1124:C2593,3,FALSE)</f>
        <v>1</v>
      </c>
      <c r="AG1167">
        <f>VLOOKUP(A1167,'Employee Engagement Survey'!A1124:D2593,4,FALSE)</f>
        <v>1</v>
      </c>
      <c r="AH1167">
        <f>VLOOKUP(A1167,'Employee Engagement Survey'!A1124:E2593,5,FALSE)</f>
        <v>3</v>
      </c>
      <c r="AI1167">
        <f t="shared" si="97"/>
        <v>1.5</v>
      </c>
    </row>
    <row r="1168" spans="1:35" hidden="1" x14ac:dyDescent="0.4">
      <c r="A1168">
        <v>314</v>
      </c>
      <c r="B1168" t="s">
        <v>34</v>
      </c>
      <c r="C1168">
        <f t="shared" si="95"/>
        <v>1</v>
      </c>
      <c r="D1168" t="s">
        <v>57</v>
      </c>
      <c r="E1168">
        <f t="shared" si="96"/>
        <v>0</v>
      </c>
      <c r="F1168" t="s">
        <v>40</v>
      </c>
      <c r="G1168">
        <v>9</v>
      </c>
      <c r="H1168" s="1">
        <v>117468</v>
      </c>
      <c r="I1168" s="10">
        <v>0.14000000000000001</v>
      </c>
      <c r="J1168">
        <v>37.5</v>
      </c>
      <c r="K1168" t="s">
        <v>34</v>
      </c>
      <c r="L1168">
        <v>35</v>
      </c>
      <c r="M1168" t="s">
        <v>47</v>
      </c>
      <c r="N1168" t="s">
        <v>30</v>
      </c>
      <c r="O1168" t="s">
        <v>44</v>
      </c>
      <c r="P1168">
        <v>1</v>
      </c>
      <c r="Q1168" t="s">
        <v>43</v>
      </c>
      <c r="R1168" t="s">
        <v>56</v>
      </c>
      <c r="S1168">
        <v>3</v>
      </c>
      <c r="T1168">
        <v>0</v>
      </c>
      <c r="U1168">
        <v>10</v>
      </c>
      <c r="V1168">
        <v>3</v>
      </c>
      <c r="W1168">
        <v>10</v>
      </c>
      <c r="X1168">
        <v>7</v>
      </c>
      <c r="Y1168">
        <v>0</v>
      </c>
      <c r="Z1168">
        <v>8</v>
      </c>
      <c r="AA1168" t="str">
        <f t="shared" si="98"/>
        <v>Long Tenure</v>
      </c>
      <c r="AB1168" s="5">
        <v>45237</v>
      </c>
      <c r="AC1168">
        <f t="shared" si="99"/>
        <v>0</v>
      </c>
      <c r="AD1168" t="s">
        <v>49</v>
      </c>
      <c r="AE1168">
        <f>VLOOKUP(A1168,'Employee Engagement Survey'!A1125:B2594,2,FALSE)</f>
        <v>3</v>
      </c>
      <c r="AF1168">
        <f>VLOOKUP(A1168,'Employee Engagement Survey'!A1125:C2594,3,FALSE)</f>
        <v>3</v>
      </c>
      <c r="AG1168">
        <f>VLOOKUP(A1168,'Employee Engagement Survey'!A1125:D2594,4,FALSE)</f>
        <v>1</v>
      </c>
      <c r="AH1168">
        <f>VLOOKUP(A1168,'Employee Engagement Survey'!A1125:E2594,5,FALSE)</f>
        <v>4</v>
      </c>
      <c r="AI1168">
        <f t="shared" si="97"/>
        <v>2.75</v>
      </c>
    </row>
    <row r="1169" spans="1:35" hidden="1" x14ac:dyDescent="0.4">
      <c r="A1169">
        <v>1613</v>
      </c>
      <c r="B1169" t="s">
        <v>34</v>
      </c>
      <c r="C1169">
        <f t="shared" si="95"/>
        <v>1</v>
      </c>
      <c r="D1169" t="s">
        <v>57</v>
      </c>
      <c r="E1169">
        <f t="shared" si="96"/>
        <v>0</v>
      </c>
      <c r="F1169" t="s">
        <v>40</v>
      </c>
      <c r="G1169">
        <v>7</v>
      </c>
      <c r="H1169" s="1">
        <v>75984</v>
      </c>
      <c r="I1169" s="10">
        <v>0.13</v>
      </c>
      <c r="J1169">
        <v>37.5</v>
      </c>
      <c r="K1169" t="s">
        <v>34</v>
      </c>
      <c r="L1169">
        <v>31</v>
      </c>
      <c r="M1169" t="s">
        <v>29</v>
      </c>
      <c r="N1169" t="s">
        <v>30</v>
      </c>
      <c r="O1169" t="s">
        <v>44</v>
      </c>
      <c r="P1169">
        <v>2</v>
      </c>
      <c r="Q1169" t="s">
        <v>51</v>
      </c>
      <c r="R1169" t="s">
        <v>53</v>
      </c>
      <c r="S1169">
        <v>3</v>
      </c>
      <c r="T1169">
        <v>0</v>
      </c>
      <c r="U1169">
        <v>10</v>
      </c>
      <c r="V1169">
        <v>3</v>
      </c>
      <c r="W1169">
        <v>5</v>
      </c>
      <c r="X1169">
        <v>2</v>
      </c>
      <c r="Y1169">
        <v>0</v>
      </c>
      <c r="Z1169">
        <v>3</v>
      </c>
      <c r="AA1169" t="str">
        <f t="shared" si="98"/>
        <v>Mid Tenure</v>
      </c>
      <c r="AB1169" s="5">
        <v>45454</v>
      </c>
      <c r="AC1169">
        <f t="shared" si="99"/>
        <v>1</v>
      </c>
      <c r="AD1169" t="s">
        <v>49</v>
      </c>
      <c r="AE1169">
        <f>VLOOKUP(A1169,'Employee Engagement Survey'!A1126:B2595,2,FALSE)</f>
        <v>4</v>
      </c>
      <c r="AF1169">
        <f>VLOOKUP(A1169,'Employee Engagement Survey'!A1126:C2595,3,FALSE)</f>
        <v>1</v>
      </c>
      <c r="AG1169">
        <f>VLOOKUP(A1169,'Employee Engagement Survey'!A1126:D2595,4,FALSE)</f>
        <v>4</v>
      </c>
      <c r="AH1169">
        <f>VLOOKUP(A1169,'Employee Engagement Survey'!A1126:E2595,5,FALSE)</f>
        <v>3</v>
      </c>
      <c r="AI1169">
        <f t="shared" si="97"/>
        <v>3</v>
      </c>
    </row>
    <row r="1170" spans="1:35" hidden="1" x14ac:dyDescent="0.4">
      <c r="A1170">
        <v>1088</v>
      </c>
      <c r="B1170" t="s">
        <v>34</v>
      </c>
      <c r="C1170">
        <f t="shared" si="95"/>
        <v>1</v>
      </c>
      <c r="D1170" t="s">
        <v>55</v>
      </c>
      <c r="E1170">
        <f t="shared" si="96"/>
        <v>0</v>
      </c>
      <c r="F1170" t="s">
        <v>28</v>
      </c>
      <c r="G1170">
        <v>9</v>
      </c>
      <c r="H1170" s="1">
        <v>117876</v>
      </c>
      <c r="I1170" s="10">
        <v>0.18</v>
      </c>
      <c r="J1170">
        <v>37.5</v>
      </c>
      <c r="K1170" t="s">
        <v>34</v>
      </c>
      <c r="L1170">
        <v>38</v>
      </c>
      <c r="M1170" t="s">
        <v>47</v>
      </c>
      <c r="N1170" t="s">
        <v>42</v>
      </c>
      <c r="O1170" t="s">
        <v>31</v>
      </c>
      <c r="P1170">
        <v>17</v>
      </c>
      <c r="Q1170" t="s">
        <v>32</v>
      </c>
      <c r="R1170" t="s">
        <v>37</v>
      </c>
      <c r="S1170">
        <v>3</v>
      </c>
      <c r="T1170">
        <v>1</v>
      </c>
      <c r="U1170">
        <v>20</v>
      </c>
      <c r="V1170">
        <v>4</v>
      </c>
      <c r="W1170">
        <v>19</v>
      </c>
      <c r="X1170">
        <v>9</v>
      </c>
      <c r="Y1170">
        <v>1</v>
      </c>
      <c r="Z1170">
        <v>9</v>
      </c>
      <c r="AA1170" t="str">
        <f t="shared" si="98"/>
        <v>Long Tenure</v>
      </c>
      <c r="AB1170" s="5">
        <v>45057</v>
      </c>
      <c r="AC1170">
        <f t="shared" si="99"/>
        <v>0</v>
      </c>
      <c r="AD1170" t="s">
        <v>49</v>
      </c>
      <c r="AE1170">
        <f>VLOOKUP(A1170,'Employee Engagement Survey'!A1127:B2596,2,FALSE)</f>
        <v>3</v>
      </c>
      <c r="AF1170">
        <f>VLOOKUP(A1170,'Employee Engagement Survey'!A1127:C2596,3,FALSE)</f>
        <v>3</v>
      </c>
      <c r="AG1170">
        <f>VLOOKUP(A1170,'Employee Engagement Survey'!A1127:D2596,4,FALSE)</f>
        <v>1</v>
      </c>
      <c r="AH1170">
        <f>VLOOKUP(A1170,'Employee Engagement Survey'!A1127:E2596,5,FALSE)</f>
        <v>2</v>
      </c>
      <c r="AI1170">
        <f t="shared" si="97"/>
        <v>2.25</v>
      </c>
    </row>
    <row r="1171" spans="1:35" hidden="1" x14ac:dyDescent="0.4">
      <c r="A1171">
        <v>1615</v>
      </c>
      <c r="B1171" t="s">
        <v>34</v>
      </c>
      <c r="C1171">
        <f t="shared" si="95"/>
        <v>1</v>
      </c>
      <c r="D1171" t="s">
        <v>54</v>
      </c>
      <c r="E1171">
        <f t="shared" si="96"/>
        <v>1</v>
      </c>
      <c r="F1171" t="s">
        <v>28</v>
      </c>
      <c r="G1171">
        <v>6</v>
      </c>
      <c r="H1171" s="1">
        <v>68688</v>
      </c>
      <c r="I1171" s="10">
        <v>0.13</v>
      </c>
      <c r="J1171">
        <v>37.5</v>
      </c>
      <c r="K1171" t="s">
        <v>34</v>
      </c>
      <c r="L1171">
        <v>34</v>
      </c>
      <c r="M1171" t="s">
        <v>29</v>
      </c>
      <c r="N1171" t="s">
        <v>48</v>
      </c>
      <c r="O1171" t="s">
        <v>44</v>
      </c>
      <c r="P1171">
        <v>10</v>
      </c>
      <c r="Q1171" t="s">
        <v>51</v>
      </c>
      <c r="R1171" t="s">
        <v>37</v>
      </c>
      <c r="S1171">
        <v>3</v>
      </c>
      <c r="T1171">
        <v>1</v>
      </c>
      <c r="U1171">
        <v>9</v>
      </c>
      <c r="V1171">
        <v>3</v>
      </c>
      <c r="W1171">
        <v>9</v>
      </c>
      <c r="X1171">
        <v>7</v>
      </c>
      <c r="Y1171">
        <v>7</v>
      </c>
      <c r="Z1171">
        <v>2</v>
      </c>
      <c r="AA1171" t="str">
        <f t="shared" si="98"/>
        <v>Mid Tenure</v>
      </c>
      <c r="AB1171" s="5">
        <v>45729</v>
      </c>
      <c r="AC1171">
        <f t="shared" si="99"/>
        <v>1</v>
      </c>
      <c r="AD1171" t="s">
        <v>49</v>
      </c>
      <c r="AE1171">
        <f>VLOOKUP(A1171,'Employee Engagement Survey'!A1128:B2597,2,FALSE)</f>
        <v>3</v>
      </c>
      <c r="AF1171">
        <f>VLOOKUP(A1171,'Employee Engagement Survey'!A1128:C2597,3,FALSE)</f>
        <v>4</v>
      </c>
      <c r="AG1171">
        <f>VLOOKUP(A1171,'Employee Engagement Survey'!A1128:D2597,4,FALSE)</f>
        <v>1</v>
      </c>
      <c r="AH1171">
        <f>VLOOKUP(A1171,'Employee Engagement Survey'!A1128:E2597,5,FALSE)</f>
        <v>3</v>
      </c>
      <c r="AI1171">
        <f t="shared" si="97"/>
        <v>2.75</v>
      </c>
    </row>
    <row r="1172" spans="1:35" hidden="1" x14ac:dyDescent="0.4">
      <c r="A1172">
        <v>2040</v>
      </c>
      <c r="B1172" t="s">
        <v>34</v>
      </c>
      <c r="C1172">
        <f t="shared" si="95"/>
        <v>1</v>
      </c>
      <c r="D1172" t="s">
        <v>105</v>
      </c>
      <c r="E1172">
        <f t="shared" si="96"/>
        <v>0</v>
      </c>
      <c r="F1172" t="s">
        <v>59</v>
      </c>
      <c r="G1172">
        <v>9</v>
      </c>
      <c r="H1172" s="1">
        <v>118044</v>
      </c>
      <c r="I1172" s="10">
        <v>0.16</v>
      </c>
      <c r="J1172">
        <v>37.5</v>
      </c>
      <c r="K1172" t="s">
        <v>26</v>
      </c>
      <c r="L1172">
        <v>35</v>
      </c>
      <c r="M1172" t="s">
        <v>47</v>
      </c>
      <c r="N1172" t="s">
        <v>30</v>
      </c>
      <c r="O1172" t="s">
        <v>31</v>
      </c>
      <c r="P1172">
        <v>26</v>
      </c>
      <c r="Q1172" t="s">
        <v>51</v>
      </c>
      <c r="R1172" t="s">
        <v>37</v>
      </c>
      <c r="S1172">
        <v>3</v>
      </c>
      <c r="T1172">
        <v>0</v>
      </c>
      <c r="U1172">
        <v>9</v>
      </c>
      <c r="V1172">
        <v>2</v>
      </c>
      <c r="W1172">
        <v>9</v>
      </c>
      <c r="X1172">
        <v>0</v>
      </c>
      <c r="Y1172">
        <v>1</v>
      </c>
      <c r="Z1172">
        <v>7</v>
      </c>
      <c r="AA1172" t="str">
        <f t="shared" si="98"/>
        <v>Mid Tenure</v>
      </c>
      <c r="AB1172" s="5">
        <v>45267</v>
      </c>
      <c r="AC1172">
        <f t="shared" si="99"/>
        <v>0</v>
      </c>
      <c r="AD1172" t="s">
        <v>49</v>
      </c>
      <c r="AE1172">
        <f>VLOOKUP(A1172,'Employee Engagement Survey'!A1129:B2598,2,FALSE)</f>
        <v>3</v>
      </c>
      <c r="AF1172">
        <f>VLOOKUP(A1172,'Employee Engagement Survey'!A1129:C2598,3,FALSE)</f>
        <v>4</v>
      </c>
      <c r="AG1172">
        <f>VLOOKUP(A1172,'Employee Engagement Survey'!A1129:D2598,4,FALSE)</f>
        <v>3</v>
      </c>
      <c r="AH1172">
        <f>VLOOKUP(A1172,'Employee Engagement Survey'!A1129:E2598,5,FALSE)</f>
        <v>3</v>
      </c>
      <c r="AI1172">
        <f t="shared" si="97"/>
        <v>3.25</v>
      </c>
    </row>
    <row r="1173" spans="1:35" hidden="1" x14ac:dyDescent="0.4">
      <c r="A1173">
        <v>1618</v>
      </c>
      <c r="B1173" t="s">
        <v>34</v>
      </c>
      <c r="C1173">
        <f t="shared" si="95"/>
        <v>1</v>
      </c>
      <c r="D1173" t="s">
        <v>54</v>
      </c>
      <c r="E1173">
        <f t="shared" si="96"/>
        <v>1</v>
      </c>
      <c r="F1173" t="s">
        <v>28</v>
      </c>
      <c r="G1173">
        <v>7</v>
      </c>
      <c r="H1173" s="1">
        <v>76524</v>
      </c>
      <c r="I1173" s="10">
        <v>0.13</v>
      </c>
      <c r="J1173">
        <v>37.5</v>
      </c>
      <c r="K1173" t="s">
        <v>34</v>
      </c>
      <c r="L1173">
        <v>39</v>
      </c>
      <c r="M1173" t="s">
        <v>29</v>
      </c>
      <c r="N1173" t="s">
        <v>42</v>
      </c>
      <c r="O1173" t="s">
        <v>31</v>
      </c>
      <c r="P1173">
        <v>10</v>
      </c>
      <c r="Q1173" t="s">
        <v>58</v>
      </c>
      <c r="R1173" t="s">
        <v>33</v>
      </c>
      <c r="S1173">
        <v>3</v>
      </c>
      <c r="T1173">
        <v>3</v>
      </c>
      <c r="U1173">
        <v>10</v>
      </c>
      <c r="V1173">
        <v>3</v>
      </c>
      <c r="W1173">
        <v>7</v>
      </c>
      <c r="X1173">
        <v>7</v>
      </c>
      <c r="Y1173">
        <v>7</v>
      </c>
      <c r="Z1173">
        <v>7</v>
      </c>
      <c r="AA1173" t="str">
        <f t="shared" si="98"/>
        <v>Mid Tenure</v>
      </c>
      <c r="AB1173" s="5">
        <v>45129</v>
      </c>
      <c r="AC1173">
        <f t="shared" si="99"/>
        <v>0</v>
      </c>
      <c r="AD1173" t="s">
        <v>49</v>
      </c>
      <c r="AE1173">
        <f>VLOOKUP(A1173,'Employee Engagement Survey'!A1130:B2599,2,FALSE)</f>
        <v>2</v>
      </c>
      <c r="AF1173">
        <f>VLOOKUP(A1173,'Employee Engagement Survey'!A1130:C2599,3,FALSE)</f>
        <v>1</v>
      </c>
      <c r="AG1173">
        <f>VLOOKUP(A1173,'Employee Engagement Survey'!A1130:D2599,4,FALSE)</f>
        <v>4</v>
      </c>
      <c r="AH1173">
        <f>VLOOKUP(A1173,'Employee Engagement Survey'!A1130:E2599,5,FALSE)</f>
        <v>3</v>
      </c>
      <c r="AI1173">
        <f t="shared" si="97"/>
        <v>2.5</v>
      </c>
    </row>
    <row r="1174" spans="1:35" hidden="1" x14ac:dyDescent="0.4">
      <c r="A1174">
        <v>1619</v>
      </c>
      <c r="B1174" t="s">
        <v>34</v>
      </c>
      <c r="C1174">
        <f t="shared" si="95"/>
        <v>1</v>
      </c>
      <c r="D1174" t="s">
        <v>46</v>
      </c>
      <c r="E1174">
        <f t="shared" si="96"/>
        <v>0</v>
      </c>
      <c r="F1174" t="s">
        <v>28</v>
      </c>
      <c r="G1174">
        <v>6</v>
      </c>
      <c r="H1174" s="1">
        <v>60792</v>
      </c>
      <c r="I1174" s="10">
        <v>0.11</v>
      </c>
      <c r="J1174">
        <v>37.5</v>
      </c>
      <c r="K1174" t="s">
        <v>34</v>
      </c>
      <c r="L1174">
        <v>27</v>
      </c>
      <c r="M1174" t="s">
        <v>29</v>
      </c>
      <c r="N1174" t="s">
        <v>48</v>
      </c>
      <c r="O1174" t="s">
        <v>31</v>
      </c>
      <c r="P1174">
        <v>19</v>
      </c>
      <c r="Q1174" t="s">
        <v>43</v>
      </c>
      <c r="R1174" t="s">
        <v>53</v>
      </c>
      <c r="S1174">
        <v>3</v>
      </c>
      <c r="T1174">
        <v>2</v>
      </c>
      <c r="U1174">
        <v>7</v>
      </c>
      <c r="V1174">
        <v>3</v>
      </c>
      <c r="W1174">
        <v>7</v>
      </c>
      <c r="X1174">
        <v>7</v>
      </c>
      <c r="Y1174">
        <v>0</v>
      </c>
      <c r="Z1174">
        <v>7</v>
      </c>
      <c r="AA1174" t="str">
        <f t="shared" si="98"/>
        <v>Mid Tenure</v>
      </c>
      <c r="AB1174" s="5">
        <v>45346</v>
      </c>
      <c r="AC1174">
        <f t="shared" si="99"/>
        <v>1</v>
      </c>
      <c r="AD1174" t="s">
        <v>38</v>
      </c>
      <c r="AE1174">
        <f>VLOOKUP(A1174,'Employee Engagement Survey'!A1131:B2600,2,FALSE)</f>
        <v>4</v>
      </c>
      <c r="AF1174">
        <f>VLOOKUP(A1174,'Employee Engagement Survey'!A1131:C2600,3,FALSE)</f>
        <v>1</v>
      </c>
      <c r="AG1174">
        <f>VLOOKUP(A1174,'Employee Engagement Survey'!A1131:D2600,4,FALSE)</f>
        <v>1</v>
      </c>
      <c r="AH1174">
        <f>VLOOKUP(A1174,'Employee Engagement Survey'!A1131:E2600,5,FALSE)</f>
        <v>3</v>
      </c>
      <c r="AI1174">
        <f t="shared" si="97"/>
        <v>2.25</v>
      </c>
    </row>
    <row r="1175" spans="1:35" hidden="1" x14ac:dyDescent="0.4">
      <c r="A1175">
        <v>1073</v>
      </c>
      <c r="B1175" t="s">
        <v>34</v>
      </c>
      <c r="C1175">
        <f t="shared" si="95"/>
        <v>1</v>
      </c>
      <c r="D1175" t="s">
        <v>54</v>
      </c>
      <c r="E1175">
        <f t="shared" si="96"/>
        <v>1</v>
      </c>
      <c r="F1175" t="s">
        <v>28</v>
      </c>
      <c r="G1175">
        <v>9</v>
      </c>
      <c r="H1175" s="1">
        <v>118296</v>
      </c>
      <c r="I1175" s="10">
        <v>0.11</v>
      </c>
      <c r="J1175">
        <v>37.5</v>
      </c>
      <c r="K1175" t="s">
        <v>34</v>
      </c>
      <c r="L1175">
        <v>36</v>
      </c>
      <c r="M1175" t="s">
        <v>47</v>
      </c>
      <c r="N1175" t="s">
        <v>30</v>
      </c>
      <c r="O1175" t="s">
        <v>31</v>
      </c>
      <c r="P1175">
        <v>12</v>
      </c>
      <c r="Q1175" t="s">
        <v>58</v>
      </c>
      <c r="R1175" t="s">
        <v>33</v>
      </c>
      <c r="S1175">
        <v>3</v>
      </c>
      <c r="T1175">
        <v>0</v>
      </c>
      <c r="U1175">
        <v>15</v>
      </c>
      <c r="V1175">
        <v>2</v>
      </c>
      <c r="W1175">
        <v>14</v>
      </c>
      <c r="X1175">
        <v>8</v>
      </c>
      <c r="Y1175">
        <v>7</v>
      </c>
      <c r="Z1175">
        <v>8</v>
      </c>
      <c r="AA1175" t="str">
        <f t="shared" si="98"/>
        <v>Long Tenure</v>
      </c>
      <c r="AB1175" s="5">
        <v>45068</v>
      </c>
      <c r="AC1175">
        <f t="shared" si="99"/>
        <v>0</v>
      </c>
      <c r="AD1175" t="s">
        <v>38</v>
      </c>
      <c r="AE1175">
        <f>VLOOKUP(A1175,'Employee Engagement Survey'!A1132:B2601,2,FALSE)</f>
        <v>4</v>
      </c>
      <c r="AF1175">
        <f>VLOOKUP(A1175,'Employee Engagement Survey'!A1132:C2601,3,FALSE)</f>
        <v>4</v>
      </c>
      <c r="AG1175">
        <f>VLOOKUP(A1175,'Employee Engagement Survey'!A1132:D2601,4,FALSE)</f>
        <v>2</v>
      </c>
      <c r="AH1175">
        <f>VLOOKUP(A1175,'Employee Engagement Survey'!A1132:E2601,5,FALSE)</f>
        <v>2</v>
      </c>
      <c r="AI1175">
        <f t="shared" si="97"/>
        <v>3</v>
      </c>
    </row>
    <row r="1176" spans="1:35" hidden="1" x14ac:dyDescent="0.4">
      <c r="A1176">
        <v>302</v>
      </c>
      <c r="B1176" t="s">
        <v>34</v>
      </c>
      <c r="C1176">
        <f t="shared" si="95"/>
        <v>1</v>
      </c>
      <c r="D1176" t="s">
        <v>57</v>
      </c>
      <c r="E1176">
        <f t="shared" si="96"/>
        <v>0</v>
      </c>
      <c r="F1176" t="s">
        <v>40</v>
      </c>
      <c r="G1176">
        <v>9</v>
      </c>
      <c r="H1176" s="1">
        <v>118380</v>
      </c>
      <c r="I1176" s="10">
        <v>0.12</v>
      </c>
      <c r="J1176">
        <v>37.5</v>
      </c>
      <c r="K1176" t="s">
        <v>34</v>
      </c>
      <c r="L1176">
        <v>45</v>
      </c>
      <c r="M1176" t="s">
        <v>47</v>
      </c>
      <c r="N1176" t="s">
        <v>30</v>
      </c>
      <c r="O1176" t="s">
        <v>35</v>
      </c>
      <c r="P1176">
        <v>6</v>
      </c>
      <c r="Q1176" t="s">
        <v>43</v>
      </c>
      <c r="R1176" t="s">
        <v>33</v>
      </c>
      <c r="S1176">
        <v>3</v>
      </c>
      <c r="T1176">
        <v>0</v>
      </c>
      <c r="U1176">
        <v>23</v>
      </c>
      <c r="V1176">
        <v>2</v>
      </c>
      <c r="W1176">
        <v>19</v>
      </c>
      <c r="X1176">
        <v>7</v>
      </c>
      <c r="Y1176">
        <v>12</v>
      </c>
      <c r="Z1176">
        <v>8</v>
      </c>
      <c r="AA1176" t="str">
        <f t="shared" si="98"/>
        <v>Long Tenure</v>
      </c>
      <c r="AB1176" s="5">
        <v>44840</v>
      </c>
      <c r="AC1176">
        <f t="shared" si="99"/>
        <v>0</v>
      </c>
      <c r="AD1176" t="s">
        <v>49</v>
      </c>
      <c r="AE1176">
        <f>VLOOKUP(A1176,'Employee Engagement Survey'!A1133:B2602,2,FALSE)</f>
        <v>4</v>
      </c>
      <c r="AF1176">
        <f>VLOOKUP(A1176,'Employee Engagement Survey'!A1133:C2602,3,FALSE)</f>
        <v>4</v>
      </c>
      <c r="AG1176">
        <f>VLOOKUP(A1176,'Employee Engagement Survey'!A1133:D2602,4,FALSE)</f>
        <v>4</v>
      </c>
      <c r="AH1176">
        <f>VLOOKUP(A1176,'Employee Engagement Survey'!A1133:E2602,5,FALSE)</f>
        <v>3</v>
      </c>
      <c r="AI1176">
        <f t="shared" si="97"/>
        <v>3.75</v>
      </c>
    </row>
    <row r="1177" spans="1:35" hidden="1" x14ac:dyDescent="0.4">
      <c r="A1177">
        <v>1621</v>
      </c>
      <c r="B1177" t="s">
        <v>34</v>
      </c>
      <c r="C1177">
        <f t="shared" si="95"/>
        <v>1</v>
      </c>
      <c r="D1177" t="s">
        <v>27</v>
      </c>
      <c r="E1177">
        <f t="shared" si="96"/>
        <v>0</v>
      </c>
      <c r="F1177" t="s">
        <v>28</v>
      </c>
      <c r="G1177">
        <v>7</v>
      </c>
      <c r="H1177" s="1">
        <v>74496</v>
      </c>
      <c r="I1177" s="10">
        <v>0.11</v>
      </c>
      <c r="J1177">
        <v>37.5</v>
      </c>
      <c r="K1177" t="s">
        <v>34</v>
      </c>
      <c r="L1177">
        <v>35</v>
      </c>
      <c r="M1177" t="s">
        <v>29</v>
      </c>
      <c r="N1177" t="s">
        <v>42</v>
      </c>
      <c r="O1177" t="s">
        <v>31</v>
      </c>
      <c r="P1177">
        <v>18</v>
      </c>
      <c r="Q1177" t="s">
        <v>58</v>
      </c>
      <c r="R1177" t="s">
        <v>37</v>
      </c>
      <c r="S1177">
        <v>3</v>
      </c>
      <c r="T1177">
        <v>0</v>
      </c>
      <c r="U1177">
        <v>16</v>
      </c>
      <c r="V1177">
        <v>2</v>
      </c>
      <c r="W1177">
        <v>16</v>
      </c>
      <c r="X1177">
        <v>15</v>
      </c>
      <c r="Y1177">
        <v>1</v>
      </c>
      <c r="Z1177">
        <v>10</v>
      </c>
      <c r="AA1177" t="str">
        <f t="shared" si="98"/>
        <v>Long Tenure</v>
      </c>
      <c r="AB1177" s="5">
        <v>45371</v>
      </c>
      <c r="AC1177">
        <f t="shared" si="99"/>
        <v>1</v>
      </c>
      <c r="AD1177" t="s">
        <v>49</v>
      </c>
      <c r="AE1177">
        <f>VLOOKUP(A1177,'Employee Engagement Survey'!A1135:B2604,2,FALSE)</f>
        <v>2</v>
      </c>
      <c r="AF1177">
        <f>VLOOKUP(A1177,'Employee Engagement Survey'!A1135:C2604,3,FALSE)</f>
        <v>1</v>
      </c>
      <c r="AG1177">
        <f>VLOOKUP(A1177,'Employee Engagement Survey'!A1135:D2604,4,FALSE)</f>
        <v>4</v>
      </c>
      <c r="AH1177">
        <f>VLOOKUP(A1177,'Employee Engagement Survey'!A1135:E2604,5,FALSE)</f>
        <v>3</v>
      </c>
      <c r="AI1177">
        <f t="shared" si="97"/>
        <v>2.5</v>
      </c>
    </row>
    <row r="1178" spans="1:35" hidden="1" x14ac:dyDescent="0.4">
      <c r="A1178">
        <v>442</v>
      </c>
      <c r="B1178" t="s">
        <v>34</v>
      </c>
      <c r="C1178">
        <f t="shared" si="95"/>
        <v>1</v>
      </c>
      <c r="D1178" t="s">
        <v>54</v>
      </c>
      <c r="E1178">
        <f t="shared" si="96"/>
        <v>1</v>
      </c>
      <c r="F1178" t="s">
        <v>28</v>
      </c>
      <c r="G1178">
        <v>9</v>
      </c>
      <c r="H1178" s="1">
        <v>119316</v>
      </c>
      <c r="I1178" s="10">
        <v>0.24</v>
      </c>
      <c r="J1178">
        <v>37.5</v>
      </c>
      <c r="K1178" t="s">
        <v>34</v>
      </c>
      <c r="L1178">
        <v>31</v>
      </c>
      <c r="M1178" t="s">
        <v>47</v>
      </c>
      <c r="N1178" t="s">
        <v>42</v>
      </c>
      <c r="O1178" t="s">
        <v>44</v>
      </c>
      <c r="P1178">
        <v>7</v>
      </c>
      <c r="Q1178" t="s">
        <v>36</v>
      </c>
      <c r="R1178" t="s">
        <v>37</v>
      </c>
      <c r="S1178">
        <v>4</v>
      </c>
      <c r="T1178">
        <v>1</v>
      </c>
      <c r="U1178">
        <v>10</v>
      </c>
      <c r="V1178">
        <v>2</v>
      </c>
      <c r="W1178">
        <v>10</v>
      </c>
      <c r="X1178">
        <v>9</v>
      </c>
      <c r="Y1178">
        <v>8</v>
      </c>
      <c r="Z1178">
        <v>9</v>
      </c>
      <c r="AA1178" t="str">
        <f t="shared" si="98"/>
        <v>Long Tenure</v>
      </c>
      <c r="AB1178" s="5">
        <v>45882</v>
      </c>
      <c r="AC1178">
        <f t="shared" si="99"/>
        <v>1</v>
      </c>
      <c r="AD1178" t="s">
        <v>49</v>
      </c>
      <c r="AE1178">
        <f>VLOOKUP(A1178,'Employee Engagement Survey'!A1136:B2605,2,FALSE)</f>
        <v>3</v>
      </c>
      <c r="AF1178">
        <f>VLOOKUP(A1178,'Employee Engagement Survey'!A1136:C2605,3,FALSE)</f>
        <v>3</v>
      </c>
      <c r="AG1178">
        <f>VLOOKUP(A1178,'Employee Engagement Survey'!A1136:D2605,4,FALSE)</f>
        <v>1</v>
      </c>
      <c r="AH1178">
        <f>VLOOKUP(A1178,'Employee Engagement Survey'!A1136:E2605,5,FALSE)</f>
        <v>3</v>
      </c>
      <c r="AI1178">
        <f t="shared" si="97"/>
        <v>2.5</v>
      </c>
    </row>
    <row r="1179" spans="1:35" hidden="1" x14ac:dyDescent="0.4">
      <c r="A1179">
        <v>1623</v>
      </c>
      <c r="B1179" t="s">
        <v>34</v>
      </c>
      <c r="C1179">
        <f t="shared" si="95"/>
        <v>1</v>
      </c>
      <c r="D1179" t="s">
        <v>27</v>
      </c>
      <c r="E1179">
        <f t="shared" si="96"/>
        <v>0</v>
      </c>
      <c r="F1179" t="s">
        <v>28</v>
      </c>
      <c r="G1179">
        <v>6</v>
      </c>
      <c r="H1179" s="1">
        <v>61404</v>
      </c>
      <c r="I1179" s="10">
        <v>0.18</v>
      </c>
      <c r="J1179">
        <v>37.5</v>
      </c>
      <c r="K1179" t="s">
        <v>34</v>
      </c>
      <c r="L1179">
        <v>21</v>
      </c>
      <c r="M1179" t="s">
        <v>29</v>
      </c>
      <c r="N1179" t="s">
        <v>30</v>
      </c>
      <c r="O1179" t="s">
        <v>31</v>
      </c>
      <c r="P1179">
        <v>5</v>
      </c>
      <c r="Q1179" t="s">
        <v>32</v>
      </c>
      <c r="R1179" t="s">
        <v>33</v>
      </c>
      <c r="S1179">
        <v>3</v>
      </c>
      <c r="T1179">
        <v>0</v>
      </c>
      <c r="U1179">
        <v>3</v>
      </c>
      <c r="V1179">
        <v>2</v>
      </c>
      <c r="W1179">
        <v>2</v>
      </c>
      <c r="X1179">
        <v>2</v>
      </c>
      <c r="Y1179">
        <v>2</v>
      </c>
      <c r="Z1179">
        <v>2</v>
      </c>
      <c r="AA1179" t="str">
        <f t="shared" si="98"/>
        <v>Early Tenure</v>
      </c>
      <c r="AB1179" s="5">
        <v>44861</v>
      </c>
      <c r="AC1179">
        <f t="shared" si="99"/>
        <v>0</v>
      </c>
      <c r="AD1179" t="s">
        <v>49</v>
      </c>
      <c r="AE1179">
        <f>VLOOKUP(A1179,'Employee Engagement Survey'!A1137:B2606,2,FALSE)</f>
        <v>3</v>
      </c>
      <c r="AF1179">
        <f>VLOOKUP(A1179,'Employee Engagement Survey'!A1137:C2606,3,FALSE)</f>
        <v>4</v>
      </c>
      <c r="AG1179">
        <f>VLOOKUP(A1179,'Employee Engagement Survey'!A1137:D2606,4,FALSE)</f>
        <v>3</v>
      </c>
      <c r="AH1179">
        <f>VLOOKUP(A1179,'Employee Engagement Survey'!A1137:E2606,5,FALSE)</f>
        <v>3</v>
      </c>
      <c r="AI1179">
        <f t="shared" si="97"/>
        <v>3.25</v>
      </c>
    </row>
    <row r="1180" spans="1:35" hidden="1" x14ac:dyDescent="0.4">
      <c r="A1180">
        <v>207</v>
      </c>
      <c r="B1180" t="s">
        <v>34</v>
      </c>
      <c r="C1180">
        <f t="shared" si="95"/>
        <v>1</v>
      </c>
      <c r="D1180" t="s">
        <v>57</v>
      </c>
      <c r="E1180">
        <f t="shared" si="96"/>
        <v>0</v>
      </c>
      <c r="F1180" t="s">
        <v>40</v>
      </c>
      <c r="G1180">
        <v>9</v>
      </c>
      <c r="H1180" s="1">
        <v>119976</v>
      </c>
      <c r="I1180" s="10">
        <v>0.14000000000000001</v>
      </c>
      <c r="J1180">
        <v>37.5</v>
      </c>
      <c r="K1180" t="s">
        <v>34</v>
      </c>
      <c r="L1180">
        <v>32</v>
      </c>
      <c r="M1180" t="s">
        <v>47</v>
      </c>
      <c r="N1180" t="s">
        <v>30</v>
      </c>
      <c r="O1180" t="s">
        <v>44</v>
      </c>
      <c r="P1180">
        <v>8</v>
      </c>
      <c r="Q1180" t="s">
        <v>43</v>
      </c>
      <c r="R1180" t="s">
        <v>56</v>
      </c>
      <c r="S1180">
        <v>3</v>
      </c>
      <c r="T1180">
        <v>0</v>
      </c>
      <c r="U1180">
        <v>9</v>
      </c>
      <c r="V1180">
        <v>2</v>
      </c>
      <c r="W1180">
        <v>9</v>
      </c>
      <c r="X1180">
        <v>8</v>
      </c>
      <c r="Y1180">
        <v>3</v>
      </c>
      <c r="Z1180">
        <v>7</v>
      </c>
      <c r="AA1180" t="str">
        <f t="shared" si="98"/>
        <v>Mid Tenure</v>
      </c>
      <c r="AB1180" s="5">
        <v>45872</v>
      </c>
      <c r="AC1180">
        <f t="shared" si="99"/>
        <v>1</v>
      </c>
      <c r="AD1180" t="s">
        <v>38</v>
      </c>
      <c r="AE1180">
        <f>VLOOKUP(A1180,'Employee Engagement Survey'!A1138:B2607,2,FALSE)</f>
        <v>2</v>
      </c>
      <c r="AF1180">
        <f>VLOOKUP(A1180,'Employee Engagement Survey'!A1138:C2607,3,FALSE)</f>
        <v>4</v>
      </c>
      <c r="AG1180">
        <f>VLOOKUP(A1180,'Employee Engagement Survey'!A1138:D2607,4,FALSE)</f>
        <v>4</v>
      </c>
      <c r="AH1180">
        <f>VLOOKUP(A1180,'Employee Engagement Survey'!A1138:E2607,5,FALSE)</f>
        <v>3</v>
      </c>
      <c r="AI1180">
        <f t="shared" si="97"/>
        <v>3.25</v>
      </c>
    </row>
    <row r="1181" spans="1:35" hidden="1" x14ac:dyDescent="0.4">
      <c r="A1181">
        <v>1627</v>
      </c>
      <c r="B1181" t="s">
        <v>34</v>
      </c>
      <c r="C1181">
        <f t="shared" si="95"/>
        <v>1</v>
      </c>
      <c r="D1181" t="s">
        <v>46</v>
      </c>
      <c r="E1181">
        <f t="shared" si="96"/>
        <v>0</v>
      </c>
      <c r="F1181" t="s">
        <v>28</v>
      </c>
      <c r="G1181">
        <v>6</v>
      </c>
      <c r="H1181" s="1">
        <v>60828</v>
      </c>
      <c r="I1181" s="10">
        <v>0.15</v>
      </c>
      <c r="J1181">
        <v>37.5</v>
      </c>
      <c r="K1181" t="s">
        <v>34</v>
      </c>
      <c r="L1181">
        <v>39</v>
      </c>
      <c r="M1181" t="s">
        <v>29</v>
      </c>
      <c r="N1181" t="s">
        <v>48</v>
      </c>
      <c r="O1181" t="s">
        <v>31</v>
      </c>
      <c r="P1181">
        <v>3</v>
      </c>
      <c r="Q1181" t="s">
        <v>36</v>
      </c>
      <c r="R1181" t="s">
        <v>33</v>
      </c>
      <c r="S1181">
        <v>3</v>
      </c>
      <c r="T1181">
        <v>1</v>
      </c>
      <c r="U1181">
        <v>11</v>
      </c>
      <c r="V1181">
        <v>3</v>
      </c>
      <c r="W1181">
        <v>10</v>
      </c>
      <c r="X1181">
        <v>8</v>
      </c>
      <c r="Y1181">
        <v>0</v>
      </c>
      <c r="Z1181">
        <v>7</v>
      </c>
      <c r="AA1181" t="str">
        <f t="shared" si="98"/>
        <v>Long Tenure</v>
      </c>
      <c r="AB1181" s="5">
        <v>45222</v>
      </c>
      <c r="AC1181">
        <f t="shared" si="99"/>
        <v>0</v>
      </c>
      <c r="AD1181" t="s">
        <v>49</v>
      </c>
      <c r="AE1181">
        <f>VLOOKUP(A1181,'Employee Engagement Survey'!A1139:B2608,2,FALSE)</f>
        <v>3</v>
      </c>
      <c r="AF1181">
        <f>VLOOKUP(A1181,'Employee Engagement Survey'!A1139:C2608,3,FALSE)</f>
        <v>3</v>
      </c>
      <c r="AG1181">
        <f>VLOOKUP(A1181,'Employee Engagement Survey'!A1139:D2608,4,FALSE)</f>
        <v>4</v>
      </c>
      <c r="AH1181">
        <f>VLOOKUP(A1181,'Employee Engagement Survey'!A1139:E2608,5,FALSE)</f>
        <v>3</v>
      </c>
      <c r="AI1181">
        <f t="shared" si="97"/>
        <v>3.25</v>
      </c>
    </row>
    <row r="1182" spans="1:35" hidden="1" x14ac:dyDescent="0.4">
      <c r="A1182">
        <v>580</v>
      </c>
      <c r="B1182" t="s">
        <v>34</v>
      </c>
      <c r="C1182">
        <f t="shared" si="95"/>
        <v>1</v>
      </c>
      <c r="D1182" t="s">
        <v>57</v>
      </c>
      <c r="E1182">
        <f t="shared" si="96"/>
        <v>0</v>
      </c>
      <c r="F1182" t="s">
        <v>40</v>
      </c>
      <c r="G1182">
        <v>9</v>
      </c>
      <c r="H1182" s="1">
        <v>120852</v>
      </c>
      <c r="I1182" s="10">
        <v>0.19</v>
      </c>
      <c r="J1182">
        <v>37.5</v>
      </c>
      <c r="K1182" t="s">
        <v>26</v>
      </c>
      <c r="L1182">
        <v>46</v>
      </c>
      <c r="M1182" t="s">
        <v>47</v>
      </c>
      <c r="N1182" t="s">
        <v>42</v>
      </c>
      <c r="O1182" t="s">
        <v>31</v>
      </c>
      <c r="P1182">
        <v>10</v>
      </c>
      <c r="Q1182" t="s">
        <v>43</v>
      </c>
      <c r="R1182" t="s">
        <v>56</v>
      </c>
      <c r="S1182">
        <v>3</v>
      </c>
      <c r="T1182">
        <v>1</v>
      </c>
      <c r="U1182">
        <v>15</v>
      </c>
      <c r="V1182">
        <v>3</v>
      </c>
      <c r="W1182">
        <v>3</v>
      </c>
      <c r="X1182">
        <v>2</v>
      </c>
      <c r="Y1182">
        <v>1</v>
      </c>
      <c r="Z1182">
        <v>2</v>
      </c>
      <c r="AA1182" t="str">
        <f t="shared" si="98"/>
        <v>Mid Tenure</v>
      </c>
      <c r="AB1182" s="5">
        <v>45174</v>
      </c>
      <c r="AC1182">
        <f t="shared" si="99"/>
        <v>0</v>
      </c>
      <c r="AD1182" t="s">
        <v>38</v>
      </c>
      <c r="AE1182">
        <f>VLOOKUP(A1182,'Employee Engagement Survey'!A1140:B2609,2,FALSE)</f>
        <v>3</v>
      </c>
      <c r="AF1182">
        <f>VLOOKUP(A1182,'Employee Engagement Survey'!A1140:C2609,3,FALSE)</f>
        <v>4</v>
      </c>
      <c r="AG1182">
        <f>VLOOKUP(A1182,'Employee Engagement Survey'!A1140:D2609,4,FALSE)</f>
        <v>3</v>
      </c>
      <c r="AH1182">
        <f>VLOOKUP(A1182,'Employee Engagement Survey'!A1140:E2609,5,FALSE)</f>
        <v>3</v>
      </c>
      <c r="AI1182">
        <f t="shared" si="97"/>
        <v>3.25</v>
      </c>
    </row>
    <row r="1183" spans="1:35" hidden="1" x14ac:dyDescent="0.4">
      <c r="A1183">
        <v>1631</v>
      </c>
      <c r="B1183" t="s">
        <v>34</v>
      </c>
      <c r="C1183">
        <f t="shared" si="95"/>
        <v>1</v>
      </c>
      <c r="D1183" t="s">
        <v>54</v>
      </c>
      <c r="E1183">
        <f t="shared" si="96"/>
        <v>1</v>
      </c>
      <c r="F1183" t="s">
        <v>28</v>
      </c>
      <c r="G1183">
        <v>7</v>
      </c>
      <c r="H1183" s="1">
        <v>81216</v>
      </c>
      <c r="I1183" s="10">
        <v>0.17</v>
      </c>
      <c r="J1183">
        <v>37.5</v>
      </c>
      <c r="K1183" t="s">
        <v>34</v>
      </c>
      <c r="L1183">
        <v>37</v>
      </c>
      <c r="M1183" t="s">
        <v>29</v>
      </c>
      <c r="N1183" t="s">
        <v>42</v>
      </c>
      <c r="O1183" t="s">
        <v>31</v>
      </c>
      <c r="P1183">
        <v>19</v>
      </c>
      <c r="Q1183" t="s">
        <v>43</v>
      </c>
      <c r="R1183" t="s">
        <v>37</v>
      </c>
      <c r="S1183">
        <v>3</v>
      </c>
      <c r="T1183">
        <v>3</v>
      </c>
      <c r="U1183">
        <v>9</v>
      </c>
      <c r="V1183">
        <v>2</v>
      </c>
      <c r="W1183">
        <v>4</v>
      </c>
      <c r="X1183">
        <v>3</v>
      </c>
      <c r="Y1183">
        <v>0</v>
      </c>
      <c r="Z1183">
        <v>2</v>
      </c>
      <c r="AA1183" t="str">
        <f t="shared" si="98"/>
        <v>Mid Tenure</v>
      </c>
      <c r="AB1183" s="5">
        <v>45188</v>
      </c>
      <c r="AC1183">
        <f t="shared" si="99"/>
        <v>0</v>
      </c>
      <c r="AD1183" t="s">
        <v>38</v>
      </c>
      <c r="AE1183">
        <f>VLOOKUP(A1183,'Employee Engagement Survey'!A1141:B2610,2,FALSE)</f>
        <v>3</v>
      </c>
      <c r="AF1183">
        <f>VLOOKUP(A1183,'Employee Engagement Survey'!A1141:C2610,3,FALSE)</f>
        <v>3</v>
      </c>
      <c r="AG1183">
        <f>VLOOKUP(A1183,'Employee Engagement Survey'!A1141:D2610,4,FALSE)</f>
        <v>1</v>
      </c>
      <c r="AH1183">
        <f>VLOOKUP(A1183,'Employee Engagement Survey'!A1141:E2610,5,FALSE)</f>
        <v>2</v>
      </c>
      <c r="AI1183">
        <f t="shared" si="97"/>
        <v>2.25</v>
      </c>
    </row>
    <row r="1184" spans="1:35" hidden="1" x14ac:dyDescent="0.4">
      <c r="A1184">
        <v>174</v>
      </c>
      <c r="B1184" t="s">
        <v>34</v>
      </c>
      <c r="C1184">
        <f t="shared" si="95"/>
        <v>1</v>
      </c>
      <c r="D1184" t="s">
        <v>57</v>
      </c>
      <c r="E1184">
        <f t="shared" si="96"/>
        <v>0</v>
      </c>
      <c r="F1184" t="s">
        <v>40</v>
      </c>
      <c r="G1184">
        <v>9</v>
      </c>
      <c r="H1184" s="1">
        <v>122496</v>
      </c>
      <c r="I1184" s="10">
        <v>0.11</v>
      </c>
      <c r="J1184">
        <v>37.5</v>
      </c>
      <c r="K1184" t="s">
        <v>34</v>
      </c>
      <c r="L1184">
        <v>50</v>
      </c>
      <c r="M1184" t="s">
        <v>47</v>
      </c>
      <c r="N1184" t="s">
        <v>30</v>
      </c>
      <c r="O1184" t="s">
        <v>44</v>
      </c>
      <c r="P1184">
        <v>12</v>
      </c>
      <c r="Q1184" t="s">
        <v>43</v>
      </c>
      <c r="R1184" t="s">
        <v>56</v>
      </c>
      <c r="S1184">
        <v>3</v>
      </c>
      <c r="T1184">
        <v>0</v>
      </c>
      <c r="U1184">
        <v>16</v>
      </c>
      <c r="V1184">
        <v>3</v>
      </c>
      <c r="W1184">
        <v>2</v>
      </c>
      <c r="X1184">
        <v>2</v>
      </c>
      <c r="Y1184">
        <v>2</v>
      </c>
      <c r="Z1184">
        <v>1</v>
      </c>
      <c r="AA1184" t="str">
        <f t="shared" si="98"/>
        <v>Early Tenure</v>
      </c>
      <c r="AB1184" s="5">
        <v>45951</v>
      </c>
      <c r="AC1184">
        <f t="shared" si="99"/>
        <v>1</v>
      </c>
      <c r="AD1184" t="s">
        <v>38</v>
      </c>
      <c r="AE1184">
        <f>VLOOKUP(A1184,'Employee Engagement Survey'!A1143:B2612,2,FALSE)</f>
        <v>3</v>
      </c>
      <c r="AF1184">
        <f>VLOOKUP(A1184,'Employee Engagement Survey'!A1143:C2612,3,FALSE)</f>
        <v>4</v>
      </c>
      <c r="AG1184">
        <f>VLOOKUP(A1184,'Employee Engagement Survey'!A1143:D2612,4,FALSE)</f>
        <v>4</v>
      </c>
      <c r="AH1184">
        <f>VLOOKUP(A1184,'Employee Engagement Survey'!A1143:E2612,5,FALSE)</f>
        <v>3</v>
      </c>
      <c r="AI1184">
        <f t="shared" si="97"/>
        <v>3.5</v>
      </c>
    </row>
    <row r="1185" spans="1:35" hidden="1" x14ac:dyDescent="0.4">
      <c r="A1185">
        <v>1642</v>
      </c>
      <c r="B1185" t="s">
        <v>34</v>
      </c>
      <c r="C1185">
        <f t="shared" si="95"/>
        <v>1</v>
      </c>
      <c r="D1185" t="s">
        <v>106</v>
      </c>
      <c r="E1185">
        <f t="shared" si="96"/>
        <v>0</v>
      </c>
      <c r="F1185" t="s">
        <v>59</v>
      </c>
      <c r="G1185">
        <v>7</v>
      </c>
      <c r="H1185" s="1">
        <v>80916</v>
      </c>
      <c r="I1185" s="10">
        <v>0.11</v>
      </c>
      <c r="J1185">
        <v>37.5</v>
      </c>
      <c r="K1185" t="s">
        <v>26</v>
      </c>
      <c r="L1185">
        <v>44</v>
      </c>
      <c r="M1185" t="s">
        <v>29</v>
      </c>
      <c r="N1185" t="s">
        <v>42</v>
      </c>
      <c r="O1185" t="s">
        <v>44</v>
      </c>
      <c r="P1185">
        <v>1</v>
      </c>
      <c r="Q1185" t="s">
        <v>58</v>
      </c>
      <c r="R1185" t="s">
        <v>59</v>
      </c>
      <c r="S1185">
        <v>3</v>
      </c>
      <c r="T1185">
        <v>0</v>
      </c>
      <c r="U1185">
        <v>14</v>
      </c>
      <c r="V1185">
        <v>3</v>
      </c>
      <c r="W1185">
        <v>10</v>
      </c>
      <c r="X1185">
        <v>7</v>
      </c>
      <c r="Y1185">
        <v>0</v>
      </c>
      <c r="Z1185">
        <v>2</v>
      </c>
      <c r="AA1185" t="str">
        <f t="shared" si="98"/>
        <v>Long Tenure</v>
      </c>
      <c r="AB1185" s="5">
        <v>45753</v>
      </c>
      <c r="AC1185">
        <f t="shared" si="99"/>
        <v>1</v>
      </c>
      <c r="AD1185" t="s">
        <v>38</v>
      </c>
      <c r="AE1185">
        <f>VLOOKUP(A1185,'Employee Engagement Survey'!A1144:B2613,2,FALSE)</f>
        <v>1</v>
      </c>
      <c r="AF1185">
        <f>VLOOKUP(A1185,'Employee Engagement Survey'!A1144:C2613,3,FALSE)</f>
        <v>4</v>
      </c>
      <c r="AG1185">
        <f>VLOOKUP(A1185,'Employee Engagement Survey'!A1144:D2613,4,FALSE)</f>
        <v>3</v>
      </c>
      <c r="AH1185">
        <f>VLOOKUP(A1185,'Employee Engagement Survey'!A1144:E2613,5,FALSE)</f>
        <v>3</v>
      </c>
      <c r="AI1185">
        <f t="shared" si="97"/>
        <v>2.75</v>
      </c>
    </row>
    <row r="1186" spans="1:35" x14ac:dyDescent="0.4">
      <c r="A1186">
        <v>1644</v>
      </c>
      <c r="B1186" t="s">
        <v>34</v>
      </c>
      <c r="C1186">
        <f t="shared" si="95"/>
        <v>1</v>
      </c>
      <c r="D1186" t="s">
        <v>109</v>
      </c>
      <c r="E1186">
        <f t="shared" si="96"/>
        <v>1</v>
      </c>
      <c r="F1186" t="s">
        <v>28</v>
      </c>
      <c r="G1186">
        <v>4</v>
      </c>
      <c r="H1186" s="1">
        <v>194424</v>
      </c>
      <c r="I1186" s="10">
        <v>0.25</v>
      </c>
      <c r="J1186">
        <v>37.5</v>
      </c>
      <c r="K1186" t="s">
        <v>34</v>
      </c>
      <c r="L1186">
        <v>48</v>
      </c>
      <c r="M1186" t="s">
        <v>29</v>
      </c>
      <c r="N1186" t="s">
        <v>42</v>
      </c>
      <c r="O1186" t="s">
        <v>44</v>
      </c>
      <c r="P1186">
        <v>4</v>
      </c>
      <c r="Q1186" t="s">
        <v>58</v>
      </c>
      <c r="R1186" t="s">
        <v>33</v>
      </c>
      <c r="S1186">
        <v>4</v>
      </c>
      <c r="T1186">
        <v>1</v>
      </c>
      <c r="U1186">
        <v>23</v>
      </c>
      <c r="V1186">
        <v>3</v>
      </c>
      <c r="W1186">
        <v>2</v>
      </c>
      <c r="X1186">
        <v>2</v>
      </c>
      <c r="Y1186">
        <v>2</v>
      </c>
      <c r="Z1186">
        <v>2</v>
      </c>
      <c r="AA1186" t="str">
        <f t="shared" si="98"/>
        <v>Early Tenure</v>
      </c>
      <c r="AB1186" s="5">
        <v>45819</v>
      </c>
      <c r="AC1186">
        <f t="shared" si="99"/>
        <v>1</v>
      </c>
      <c r="AD1186" t="s">
        <v>38</v>
      </c>
      <c r="AE1186">
        <f>VLOOKUP(A1186,'Employee Engagement Survey'!A1145:B2614,2,FALSE)</f>
        <v>3</v>
      </c>
      <c r="AF1186">
        <f>VLOOKUP(A1186,'Employee Engagement Survey'!A1145:C2614,3,FALSE)</f>
        <v>4</v>
      </c>
      <c r="AG1186">
        <f>VLOOKUP(A1186,'Employee Engagement Survey'!A1145:D2614,4,FALSE)</f>
        <v>2</v>
      </c>
      <c r="AH1186">
        <f>VLOOKUP(A1186,'Employee Engagement Survey'!A1145:E2614,5,FALSE)</f>
        <v>3</v>
      </c>
      <c r="AI1186">
        <f t="shared" si="97"/>
        <v>3</v>
      </c>
    </row>
    <row r="1187" spans="1:35" hidden="1" x14ac:dyDescent="0.4">
      <c r="A1187">
        <v>1425</v>
      </c>
      <c r="B1187" t="s">
        <v>34</v>
      </c>
      <c r="C1187">
        <f t="shared" si="95"/>
        <v>1</v>
      </c>
      <c r="D1187" t="s">
        <v>57</v>
      </c>
      <c r="E1187">
        <f t="shared" si="96"/>
        <v>0</v>
      </c>
      <c r="F1187" t="s">
        <v>40</v>
      </c>
      <c r="G1187">
        <v>9</v>
      </c>
      <c r="H1187" s="1">
        <v>123336</v>
      </c>
      <c r="I1187" s="10">
        <v>0.16</v>
      </c>
      <c r="J1187">
        <v>37.5</v>
      </c>
      <c r="K1187" t="s">
        <v>26</v>
      </c>
      <c r="L1187">
        <v>36</v>
      </c>
      <c r="M1187" t="s">
        <v>47</v>
      </c>
      <c r="N1187" t="s">
        <v>30</v>
      </c>
      <c r="O1187" t="s">
        <v>31</v>
      </c>
      <c r="P1187">
        <v>3</v>
      </c>
      <c r="Q1187" t="s">
        <v>51</v>
      </c>
      <c r="R1187" t="s">
        <v>56</v>
      </c>
      <c r="S1187">
        <v>3</v>
      </c>
      <c r="T1187">
        <v>0</v>
      </c>
      <c r="U1187">
        <v>15</v>
      </c>
      <c r="V1187">
        <v>3</v>
      </c>
      <c r="W1187">
        <v>5</v>
      </c>
      <c r="X1187">
        <v>4</v>
      </c>
      <c r="Y1187">
        <v>0</v>
      </c>
      <c r="Z1187">
        <v>1</v>
      </c>
      <c r="AA1187" t="str">
        <f t="shared" si="98"/>
        <v>Mid Tenure</v>
      </c>
      <c r="AB1187" s="5">
        <v>45290</v>
      </c>
      <c r="AC1187">
        <f t="shared" si="99"/>
        <v>0</v>
      </c>
      <c r="AD1187" t="s">
        <v>49</v>
      </c>
      <c r="AE1187">
        <f>VLOOKUP(A1187,'Employee Engagement Survey'!A1146:B2615,2,FALSE)</f>
        <v>1</v>
      </c>
      <c r="AF1187">
        <f>VLOOKUP(A1187,'Employee Engagement Survey'!A1146:C2615,3,FALSE)</f>
        <v>2</v>
      </c>
      <c r="AG1187">
        <f>VLOOKUP(A1187,'Employee Engagement Survey'!A1146:D2615,4,FALSE)</f>
        <v>4</v>
      </c>
      <c r="AH1187">
        <f>VLOOKUP(A1187,'Employee Engagement Survey'!A1146:E2615,5,FALSE)</f>
        <v>3</v>
      </c>
      <c r="AI1187">
        <f t="shared" si="97"/>
        <v>2.5</v>
      </c>
    </row>
    <row r="1188" spans="1:35" hidden="1" x14ac:dyDescent="0.4">
      <c r="A1188">
        <v>1648</v>
      </c>
      <c r="B1188" t="s">
        <v>34</v>
      </c>
      <c r="C1188">
        <f t="shared" si="95"/>
        <v>1</v>
      </c>
      <c r="D1188" t="s">
        <v>27</v>
      </c>
      <c r="E1188">
        <f t="shared" si="96"/>
        <v>0</v>
      </c>
      <c r="F1188" t="s">
        <v>28</v>
      </c>
      <c r="G1188">
        <v>4</v>
      </c>
      <c r="H1188" s="1">
        <v>54960</v>
      </c>
      <c r="I1188" s="10">
        <v>0.13</v>
      </c>
      <c r="J1188">
        <v>37.5</v>
      </c>
      <c r="K1188" t="s">
        <v>34</v>
      </c>
      <c r="L1188">
        <v>27</v>
      </c>
      <c r="M1188" t="s">
        <v>29</v>
      </c>
      <c r="N1188" t="s">
        <v>30</v>
      </c>
      <c r="O1188" t="s">
        <v>44</v>
      </c>
      <c r="P1188">
        <v>2</v>
      </c>
      <c r="Q1188" t="s">
        <v>43</v>
      </c>
      <c r="R1188" t="s">
        <v>33</v>
      </c>
      <c r="S1188">
        <v>3</v>
      </c>
      <c r="T1188">
        <v>0</v>
      </c>
      <c r="U1188">
        <v>6</v>
      </c>
      <c r="V1188">
        <v>0</v>
      </c>
      <c r="W1188">
        <v>4</v>
      </c>
      <c r="X1188">
        <v>2</v>
      </c>
      <c r="Y1188">
        <v>1</v>
      </c>
      <c r="Z1188">
        <v>2</v>
      </c>
      <c r="AA1188" t="str">
        <f t="shared" si="98"/>
        <v>Mid Tenure</v>
      </c>
      <c r="AB1188" s="5">
        <v>44869</v>
      </c>
      <c r="AC1188">
        <f t="shared" si="99"/>
        <v>0</v>
      </c>
      <c r="AD1188" t="s">
        <v>38</v>
      </c>
      <c r="AE1188">
        <f>VLOOKUP(A1188,'Employee Engagement Survey'!A1148:B2617,2,FALSE)</f>
        <v>4</v>
      </c>
      <c r="AF1188">
        <f>VLOOKUP(A1188,'Employee Engagement Survey'!A1148:C2617,3,FALSE)</f>
        <v>4</v>
      </c>
      <c r="AG1188">
        <f>VLOOKUP(A1188,'Employee Engagement Survey'!A1148:D2617,4,FALSE)</f>
        <v>3</v>
      </c>
      <c r="AH1188">
        <f>VLOOKUP(A1188,'Employee Engagement Survey'!A1148:E2617,5,FALSE)</f>
        <v>2</v>
      </c>
      <c r="AI1188">
        <f t="shared" si="97"/>
        <v>3.25</v>
      </c>
    </row>
    <row r="1189" spans="1:35" hidden="1" x14ac:dyDescent="0.4">
      <c r="A1189">
        <v>1650</v>
      </c>
      <c r="B1189" t="s">
        <v>34</v>
      </c>
      <c r="C1189">
        <f t="shared" si="95"/>
        <v>1</v>
      </c>
      <c r="D1189" t="s">
        <v>57</v>
      </c>
      <c r="E1189">
        <f t="shared" si="96"/>
        <v>0</v>
      </c>
      <c r="F1189" t="s">
        <v>40</v>
      </c>
      <c r="G1189">
        <v>7</v>
      </c>
      <c r="H1189" s="1">
        <v>82428</v>
      </c>
      <c r="I1189" s="10">
        <v>0.11</v>
      </c>
      <c r="J1189">
        <v>37.5</v>
      </c>
      <c r="K1189" t="s">
        <v>34</v>
      </c>
      <c r="L1189">
        <v>29</v>
      </c>
      <c r="M1189" t="s">
        <v>29</v>
      </c>
      <c r="N1189" t="s">
        <v>30</v>
      </c>
      <c r="O1189" t="s">
        <v>31</v>
      </c>
      <c r="P1189">
        <v>10</v>
      </c>
      <c r="Q1189" t="s">
        <v>43</v>
      </c>
      <c r="R1189" t="s">
        <v>33</v>
      </c>
      <c r="S1189">
        <v>3</v>
      </c>
      <c r="T1189">
        <v>0</v>
      </c>
      <c r="U1189">
        <v>8</v>
      </c>
      <c r="V1189">
        <v>2</v>
      </c>
      <c r="W1189">
        <v>5</v>
      </c>
      <c r="X1189">
        <v>2</v>
      </c>
      <c r="Y1189">
        <v>1</v>
      </c>
      <c r="Z1189">
        <v>4</v>
      </c>
      <c r="AA1189" t="str">
        <f t="shared" si="98"/>
        <v>Mid Tenure</v>
      </c>
      <c r="AB1189" s="5">
        <v>45834</v>
      </c>
      <c r="AC1189">
        <f t="shared" si="99"/>
        <v>1</v>
      </c>
      <c r="AD1189" t="s">
        <v>49</v>
      </c>
      <c r="AE1189">
        <f>VLOOKUP(A1189,'Employee Engagement Survey'!A1150:B2619,2,FALSE)</f>
        <v>3</v>
      </c>
      <c r="AF1189">
        <f>VLOOKUP(A1189,'Employee Engagement Survey'!A1150:C2619,3,FALSE)</f>
        <v>3</v>
      </c>
      <c r="AG1189">
        <f>VLOOKUP(A1189,'Employee Engagement Survey'!A1150:D2619,4,FALSE)</f>
        <v>3</v>
      </c>
      <c r="AH1189">
        <f>VLOOKUP(A1189,'Employee Engagement Survey'!A1150:E2619,5,FALSE)</f>
        <v>3</v>
      </c>
      <c r="AI1189">
        <f t="shared" si="97"/>
        <v>3</v>
      </c>
    </row>
    <row r="1190" spans="1:35" hidden="1" x14ac:dyDescent="0.4">
      <c r="A1190">
        <v>228</v>
      </c>
      <c r="B1190" t="s">
        <v>34</v>
      </c>
      <c r="C1190">
        <f t="shared" si="95"/>
        <v>1</v>
      </c>
      <c r="D1190" t="s">
        <v>57</v>
      </c>
      <c r="E1190">
        <f t="shared" si="96"/>
        <v>0</v>
      </c>
      <c r="F1190" t="s">
        <v>40</v>
      </c>
      <c r="G1190">
        <v>9</v>
      </c>
      <c r="H1190" s="1">
        <v>125028</v>
      </c>
      <c r="I1190" s="10">
        <v>0.12</v>
      </c>
      <c r="J1190">
        <v>37.5</v>
      </c>
      <c r="K1190" t="s">
        <v>34</v>
      </c>
      <c r="L1190">
        <v>30</v>
      </c>
      <c r="M1190" t="s">
        <v>47</v>
      </c>
      <c r="N1190" t="s">
        <v>42</v>
      </c>
      <c r="O1190" t="s">
        <v>31</v>
      </c>
      <c r="P1190">
        <v>5</v>
      </c>
      <c r="Q1190" t="s">
        <v>43</v>
      </c>
      <c r="R1190" t="s">
        <v>37</v>
      </c>
      <c r="S1190">
        <v>3</v>
      </c>
      <c r="T1190">
        <v>1</v>
      </c>
      <c r="U1190">
        <v>12</v>
      </c>
      <c r="V1190">
        <v>2</v>
      </c>
      <c r="W1190">
        <v>10</v>
      </c>
      <c r="X1190">
        <v>9</v>
      </c>
      <c r="Y1190">
        <v>7</v>
      </c>
      <c r="Z1190">
        <v>4</v>
      </c>
      <c r="AA1190" t="str">
        <f t="shared" si="98"/>
        <v>Long Tenure</v>
      </c>
      <c r="AB1190" s="5">
        <v>45128</v>
      </c>
      <c r="AC1190">
        <f t="shared" si="99"/>
        <v>0</v>
      </c>
      <c r="AD1190" t="s">
        <v>38</v>
      </c>
      <c r="AE1190">
        <f>VLOOKUP(A1190,'Employee Engagement Survey'!A1151:B2620,2,FALSE)</f>
        <v>2</v>
      </c>
      <c r="AF1190">
        <f>VLOOKUP(A1190,'Employee Engagement Survey'!A1151:C2620,3,FALSE)</f>
        <v>4</v>
      </c>
      <c r="AG1190">
        <f>VLOOKUP(A1190,'Employee Engagement Survey'!A1151:D2620,4,FALSE)</f>
        <v>3</v>
      </c>
      <c r="AH1190">
        <f>VLOOKUP(A1190,'Employee Engagement Survey'!A1151:E2620,5,FALSE)</f>
        <v>3</v>
      </c>
      <c r="AI1190">
        <f t="shared" si="97"/>
        <v>3</v>
      </c>
    </row>
    <row r="1191" spans="1:35" hidden="1" x14ac:dyDescent="0.4">
      <c r="A1191">
        <v>1653</v>
      </c>
      <c r="B1191" t="s">
        <v>34</v>
      </c>
      <c r="C1191">
        <f t="shared" si="95"/>
        <v>1</v>
      </c>
      <c r="D1191" t="s">
        <v>54</v>
      </c>
      <c r="E1191">
        <f t="shared" si="96"/>
        <v>1</v>
      </c>
      <c r="F1191" t="s">
        <v>28</v>
      </c>
      <c r="G1191">
        <v>7</v>
      </c>
      <c r="H1191" s="1">
        <v>74472</v>
      </c>
      <c r="I1191" s="10">
        <v>0.17</v>
      </c>
      <c r="J1191">
        <v>37.5</v>
      </c>
      <c r="K1191" t="s">
        <v>34</v>
      </c>
      <c r="L1191">
        <v>25</v>
      </c>
      <c r="M1191" t="s">
        <v>29</v>
      </c>
      <c r="N1191" t="s">
        <v>48</v>
      </c>
      <c r="O1191" t="s">
        <v>44</v>
      </c>
      <c r="P1191">
        <v>2</v>
      </c>
      <c r="Q1191" t="s">
        <v>32</v>
      </c>
      <c r="R1191" t="s">
        <v>37</v>
      </c>
      <c r="S1191">
        <v>3</v>
      </c>
      <c r="T1191">
        <v>2</v>
      </c>
      <c r="U1191">
        <v>7</v>
      </c>
      <c r="V1191">
        <v>6</v>
      </c>
      <c r="W1191">
        <v>7</v>
      </c>
      <c r="X1191">
        <v>7</v>
      </c>
      <c r="Y1191">
        <v>0</v>
      </c>
      <c r="Z1191">
        <v>7</v>
      </c>
      <c r="AA1191" t="str">
        <f t="shared" si="98"/>
        <v>Mid Tenure</v>
      </c>
      <c r="AB1191" s="5">
        <v>44768</v>
      </c>
      <c r="AC1191">
        <f t="shared" si="99"/>
        <v>0</v>
      </c>
      <c r="AD1191" t="s">
        <v>49</v>
      </c>
      <c r="AE1191">
        <f>VLOOKUP(A1191,'Employee Engagement Survey'!A1152:B2621,2,FALSE)</f>
        <v>4</v>
      </c>
      <c r="AF1191">
        <f>VLOOKUP(A1191,'Employee Engagement Survey'!A1152:C2621,3,FALSE)</f>
        <v>3</v>
      </c>
      <c r="AG1191">
        <f>VLOOKUP(A1191,'Employee Engagement Survey'!A1152:D2621,4,FALSE)</f>
        <v>3</v>
      </c>
      <c r="AH1191">
        <f>VLOOKUP(A1191,'Employee Engagement Survey'!A1152:E2621,5,FALSE)</f>
        <v>3</v>
      </c>
      <c r="AI1191">
        <f t="shared" si="97"/>
        <v>3.25</v>
      </c>
    </row>
    <row r="1192" spans="1:35" hidden="1" x14ac:dyDescent="0.4">
      <c r="A1192">
        <v>1654</v>
      </c>
      <c r="B1192" t="s">
        <v>34</v>
      </c>
      <c r="C1192">
        <f t="shared" si="95"/>
        <v>1</v>
      </c>
      <c r="D1192" t="s">
        <v>54</v>
      </c>
      <c r="E1192">
        <f t="shared" si="96"/>
        <v>1</v>
      </c>
      <c r="F1192" t="s">
        <v>28</v>
      </c>
      <c r="G1192">
        <v>7</v>
      </c>
      <c r="H1192" s="1">
        <v>75540</v>
      </c>
      <c r="I1192" s="10">
        <v>0.21</v>
      </c>
      <c r="J1192">
        <v>37.5</v>
      </c>
      <c r="K1192" t="s">
        <v>34</v>
      </c>
      <c r="L1192">
        <v>39</v>
      </c>
      <c r="M1192" t="s">
        <v>29</v>
      </c>
      <c r="N1192" t="s">
        <v>42</v>
      </c>
      <c r="O1192" t="s">
        <v>31</v>
      </c>
      <c r="P1192">
        <v>12</v>
      </c>
      <c r="Q1192" t="s">
        <v>43</v>
      </c>
      <c r="R1192" t="s">
        <v>33</v>
      </c>
      <c r="S1192">
        <v>4</v>
      </c>
      <c r="T1192">
        <v>0</v>
      </c>
      <c r="U1192">
        <v>7</v>
      </c>
      <c r="V1192">
        <v>3</v>
      </c>
      <c r="W1192">
        <v>5</v>
      </c>
      <c r="X1192">
        <v>4</v>
      </c>
      <c r="Y1192">
        <v>1</v>
      </c>
      <c r="Z1192">
        <v>0</v>
      </c>
      <c r="AA1192" t="str">
        <f t="shared" si="98"/>
        <v>Mid Tenure</v>
      </c>
      <c r="AB1192" s="5">
        <v>45228</v>
      </c>
      <c r="AC1192">
        <f t="shared" si="99"/>
        <v>0</v>
      </c>
      <c r="AD1192" t="s">
        <v>38</v>
      </c>
      <c r="AE1192">
        <f>VLOOKUP(A1192,'Employee Engagement Survey'!A1153:B2622,2,FALSE)</f>
        <v>4</v>
      </c>
      <c r="AF1192">
        <f>VLOOKUP(A1192,'Employee Engagement Survey'!A1153:C2622,3,FALSE)</f>
        <v>2</v>
      </c>
      <c r="AG1192">
        <f>VLOOKUP(A1192,'Employee Engagement Survey'!A1153:D2622,4,FALSE)</f>
        <v>3</v>
      </c>
      <c r="AH1192">
        <f>VLOOKUP(A1192,'Employee Engagement Survey'!A1153:E2622,5,FALSE)</f>
        <v>3</v>
      </c>
      <c r="AI1192">
        <f t="shared" si="97"/>
        <v>3</v>
      </c>
    </row>
    <row r="1193" spans="1:35" hidden="1" x14ac:dyDescent="0.4">
      <c r="A1193">
        <v>1659</v>
      </c>
      <c r="B1193" t="s">
        <v>34</v>
      </c>
      <c r="C1193">
        <f t="shared" si="95"/>
        <v>1</v>
      </c>
      <c r="D1193" t="s">
        <v>46</v>
      </c>
      <c r="E1193">
        <f t="shared" si="96"/>
        <v>0</v>
      </c>
      <c r="F1193" t="s">
        <v>28</v>
      </c>
      <c r="G1193">
        <v>3</v>
      </c>
      <c r="H1193" s="1">
        <v>48156</v>
      </c>
      <c r="I1193" s="10">
        <v>0.11</v>
      </c>
      <c r="J1193">
        <v>37.5</v>
      </c>
      <c r="K1193" t="s">
        <v>34</v>
      </c>
      <c r="L1193">
        <v>36</v>
      </c>
      <c r="M1193" t="s">
        <v>29</v>
      </c>
      <c r="N1193" t="s">
        <v>30</v>
      </c>
      <c r="O1193" t="s">
        <v>31</v>
      </c>
      <c r="P1193">
        <v>7</v>
      </c>
      <c r="Q1193" t="s">
        <v>43</v>
      </c>
      <c r="R1193" t="s">
        <v>37</v>
      </c>
      <c r="S1193">
        <v>3</v>
      </c>
      <c r="T1193">
        <v>0</v>
      </c>
      <c r="U1193">
        <v>15</v>
      </c>
      <c r="V1193">
        <v>4</v>
      </c>
      <c r="W1193">
        <v>4</v>
      </c>
      <c r="X1193">
        <v>3</v>
      </c>
      <c r="Y1193">
        <v>1</v>
      </c>
      <c r="Z1193">
        <v>3</v>
      </c>
      <c r="AA1193" t="str">
        <f t="shared" si="98"/>
        <v>Mid Tenure</v>
      </c>
      <c r="AB1193" s="5">
        <v>45921</v>
      </c>
      <c r="AC1193">
        <f t="shared" si="99"/>
        <v>1</v>
      </c>
      <c r="AD1193" t="s">
        <v>38</v>
      </c>
      <c r="AE1193">
        <f>VLOOKUP(A1193,'Employee Engagement Survey'!A1154:B2623,2,FALSE)</f>
        <v>1</v>
      </c>
      <c r="AF1193">
        <f>VLOOKUP(A1193,'Employee Engagement Survey'!A1154:C2623,3,FALSE)</f>
        <v>2</v>
      </c>
      <c r="AG1193">
        <f>VLOOKUP(A1193,'Employee Engagement Survey'!A1154:D2623,4,FALSE)</f>
        <v>3</v>
      </c>
      <c r="AH1193">
        <f>VLOOKUP(A1193,'Employee Engagement Survey'!A1154:E2623,5,FALSE)</f>
        <v>3</v>
      </c>
      <c r="AI1193">
        <f t="shared" si="97"/>
        <v>2.25</v>
      </c>
    </row>
    <row r="1194" spans="1:35" hidden="1" x14ac:dyDescent="0.4">
      <c r="A1194">
        <v>1664</v>
      </c>
      <c r="B1194" t="s">
        <v>34</v>
      </c>
      <c r="C1194">
        <f t="shared" si="95"/>
        <v>1</v>
      </c>
      <c r="D1194" t="s">
        <v>55</v>
      </c>
      <c r="E1194">
        <f t="shared" si="96"/>
        <v>0</v>
      </c>
      <c r="F1194" t="s">
        <v>28</v>
      </c>
      <c r="G1194">
        <v>8</v>
      </c>
      <c r="H1194" s="1">
        <v>94104</v>
      </c>
      <c r="I1194" s="10">
        <v>0.2</v>
      </c>
      <c r="J1194">
        <v>37.5</v>
      </c>
      <c r="K1194" t="s">
        <v>34</v>
      </c>
      <c r="L1194">
        <v>36</v>
      </c>
      <c r="M1194" t="s">
        <v>29</v>
      </c>
      <c r="N1194" t="s">
        <v>48</v>
      </c>
      <c r="O1194" t="s">
        <v>31</v>
      </c>
      <c r="P1194">
        <v>3</v>
      </c>
      <c r="Q1194" t="s">
        <v>36</v>
      </c>
      <c r="R1194" t="s">
        <v>37</v>
      </c>
      <c r="S1194">
        <v>4</v>
      </c>
      <c r="T1194">
        <v>1</v>
      </c>
      <c r="U1194">
        <v>13</v>
      </c>
      <c r="V1194">
        <v>3</v>
      </c>
      <c r="W1194">
        <v>5</v>
      </c>
      <c r="X1194">
        <v>4</v>
      </c>
      <c r="Y1194">
        <v>0</v>
      </c>
      <c r="Z1194">
        <v>4</v>
      </c>
      <c r="AA1194" t="str">
        <f t="shared" si="98"/>
        <v>Mid Tenure</v>
      </c>
      <c r="AB1194" s="5">
        <v>44576</v>
      </c>
      <c r="AC1194">
        <f t="shared" si="99"/>
        <v>0</v>
      </c>
      <c r="AD1194" t="s">
        <v>38</v>
      </c>
      <c r="AE1194">
        <f>VLOOKUP(A1194,'Employee Engagement Survey'!A1155:B2624,2,FALSE)</f>
        <v>4</v>
      </c>
      <c r="AF1194">
        <f>VLOOKUP(A1194,'Employee Engagement Survey'!A1155:C2624,3,FALSE)</f>
        <v>1</v>
      </c>
      <c r="AG1194">
        <f>VLOOKUP(A1194,'Employee Engagement Survey'!A1155:D2624,4,FALSE)</f>
        <v>1</v>
      </c>
      <c r="AH1194">
        <f>VLOOKUP(A1194,'Employee Engagement Survey'!A1155:E2624,5,FALSE)</f>
        <v>3</v>
      </c>
      <c r="AI1194">
        <f t="shared" si="97"/>
        <v>2.25</v>
      </c>
    </row>
    <row r="1195" spans="1:35" hidden="1" x14ac:dyDescent="0.4">
      <c r="A1195">
        <v>1666</v>
      </c>
      <c r="B1195" t="s">
        <v>34</v>
      </c>
      <c r="C1195">
        <f t="shared" si="95"/>
        <v>1</v>
      </c>
      <c r="D1195" t="s">
        <v>60</v>
      </c>
      <c r="E1195">
        <f t="shared" si="96"/>
        <v>1</v>
      </c>
      <c r="F1195" t="s">
        <v>28</v>
      </c>
      <c r="G1195">
        <v>4</v>
      </c>
      <c r="H1195" s="1">
        <v>223236</v>
      </c>
      <c r="I1195" s="10">
        <v>0.24</v>
      </c>
      <c r="J1195">
        <v>37.5</v>
      </c>
      <c r="K1195" t="s">
        <v>34</v>
      </c>
      <c r="L1195">
        <v>43</v>
      </c>
      <c r="M1195" t="s">
        <v>29</v>
      </c>
      <c r="N1195" t="s">
        <v>42</v>
      </c>
      <c r="O1195" t="s">
        <v>31</v>
      </c>
      <c r="P1195">
        <v>15</v>
      </c>
      <c r="Q1195" t="s">
        <v>36</v>
      </c>
      <c r="R1195" t="s">
        <v>37</v>
      </c>
      <c r="S1195">
        <v>4</v>
      </c>
      <c r="T1195">
        <v>1</v>
      </c>
      <c r="U1195">
        <v>14</v>
      </c>
      <c r="V1195">
        <v>3</v>
      </c>
      <c r="W1195">
        <v>14</v>
      </c>
      <c r="X1195">
        <v>10</v>
      </c>
      <c r="Y1195">
        <v>6</v>
      </c>
      <c r="Z1195">
        <v>11</v>
      </c>
      <c r="AA1195" t="str">
        <f t="shared" si="98"/>
        <v>Long Tenure</v>
      </c>
      <c r="AB1195" s="5">
        <v>45055</v>
      </c>
      <c r="AC1195">
        <f t="shared" si="99"/>
        <v>0</v>
      </c>
      <c r="AD1195" t="s">
        <v>38</v>
      </c>
      <c r="AE1195">
        <f>VLOOKUP(A1195,'Employee Engagement Survey'!A1156:B2625,2,FALSE)</f>
        <v>3</v>
      </c>
      <c r="AF1195">
        <f>VLOOKUP(A1195,'Employee Engagement Survey'!A1156:C2625,3,FALSE)</f>
        <v>3</v>
      </c>
      <c r="AG1195">
        <f>VLOOKUP(A1195,'Employee Engagement Survey'!A1156:D2625,4,FALSE)</f>
        <v>1</v>
      </c>
      <c r="AH1195">
        <f>VLOOKUP(A1195,'Employee Engagement Survey'!A1156:E2625,5,FALSE)</f>
        <v>3</v>
      </c>
      <c r="AI1195">
        <f t="shared" si="97"/>
        <v>2.5</v>
      </c>
    </row>
    <row r="1196" spans="1:35" hidden="1" x14ac:dyDescent="0.4">
      <c r="A1196">
        <v>1668</v>
      </c>
      <c r="B1196" t="s">
        <v>34</v>
      </c>
      <c r="C1196">
        <f t="shared" si="95"/>
        <v>1</v>
      </c>
      <c r="D1196" t="s">
        <v>27</v>
      </c>
      <c r="E1196">
        <f t="shared" si="96"/>
        <v>0</v>
      </c>
      <c r="F1196" t="s">
        <v>28</v>
      </c>
      <c r="G1196">
        <v>6</v>
      </c>
      <c r="H1196" s="1">
        <v>68820</v>
      </c>
      <c r="I1196" s="10">
        <v>0.15</v>
      </c>
      <c r="J1196">
        <v>37.5</v>
      </c>
      <c r="K1196" t="s">
        <v>34</v>
      </c>
      <c r="L1196">
        <v>38</v>
      </c>
      <c r="M1196" t="s">
        <v>29</v>
      </c>
      <c r="N1196" t="s">
        <v>42</v>
      </c>
      <c r="O1196" t="s">
        <v>44</v>
      </c>
      <c r="P1196">
        <v>1</v>
      </c>
      <c r="Q1196" t="s">
        <v>43</v>
      </c>
      <c r="R1196" t="s">
        <v>37</v>
      </c>
      <c r="S1196">
        <v>3</v>
      </c>
      <c r="T1196">
        <v>2</v>
      </c>
      <c r="U1196">
        <v>19</v>
      </c>
      <c r="V1196">
        <v>4</v>
      </c>
      <c r="W1196">
        <v>13</v>
      </c>
      <c r="X1196">
        <v>11</v>
      </c>
      <c r="Y1196">
        <v>2</v>
      </c>
      <c r="Z1196">
        <v>9</v>
      </c>
      <c r="AA1196" t="str">
        <f t="shared" si="98"/>
        <v>Long Tenure</v>
      </c>
      <c r="AB1196" s="5">
        <v>45542</v>
      </c>
      <c r="AC1196">
        <f t="shared" si="99"/>
        <v>1</v>
      </c>
      <c r="AD1196" t="s">
        <v>49</v>
      </c>
      <c r="AE1196">
        <f>VLOOKUP(A1196,'Employee Engagement Survey'!A1158:B2627,2,FALSE)</f>
        <v>4</v>
      </c>
      <c r="AF1196">
        <f>VLOOKUP(A1196,'Employee Engagement Survey'!A1158:C2627,3,FALSE)</f>
        <v>4</v>
      </c>
      <c r="AG1196">
        <f>VLOOKUP(A1196,'Employee Engagement Survey'!A1158:D2627,4,FALSE)</f>
        <v>4</v>
      </c>
      <c r="AH1196">
        <f>VLOOKUP(A1196,'Employee Engagement Survey'!A1158:E2627,5,FALSE)</f>
        <v>4</v>
      </c>
      <c r="AI1196">
        <f t="shared" si="97"/>
        <v>4</v>
      </c>
    </row>
    <row r="1197" spans="1:35" hidden="1" x14ac:dyDescent="0.4">
      <c r="A1197">
        <v>1669</v>
      </c>
      <c r="B1197" t="s">
        <v>34</v>
      </c>
      <c r="C1197">
        <f t="shared" si="95"/>
        <v>1</v>
      </c>
      <c r="D1197" t="s">
        <v>57</v>
      </c>
      <c r="E1197">
        <f t="shared" si="96"/>
        <v>0</v>
      </c>
      <c r="F1197" t="s">
        <v>40</v>
      </c>
      <c r="G1197">
        <v>6</v>
      </c>
      <c r="H1197" s="1">
        <v>62244</v>
      </c>
      <c r="I1197" s="10">
        <v>0.13</v>
      </c>
      <c r="J1197">
        <v>37.5</v>
      </c>
      <c r="K1197" t="s">
        <v>26</v>
      </c>
      <c r="L1197">
        <v>29</v>
      </c>
      <c r="M1197" t="s">
        <v>29</v>
      </c>
      <c r="N1197" t="s">
        <v>48</v>
      </c>
      <c r="O1197" t="s">
        <v>31</v>
      </c>
      <c r="P1197">
        <v>5</v>
      </c>
      <c r="Q1197" t="s">
        <v>43</v>
      </c>
      <c r="R1197" t="s">
        <v>33</v>
      </c>
      <c r="S1197">
        <v>3</v>
      </c>
      <c r="T1197">
        <v>1</v>
      </c>
      <c r="U1197">
        <v>10</v>
      </c>
      <c r="V1197">
        <v>3</v>
      </c>
      <c r="W1197">
        <v>10</v>
      </c>
      <c r="X1197">
        <v>0</v>
      </c>
      <c r="Y1197">
        <v>0</v>
      </c>
      <c r="Z1197">
        <v>9</v>
      </c>
      <c r="AA1197" t="str">
        <f t="shared" si="98"/>
        <v>Long Tenure</v>
      </c>
      <c r="AB1197" s="5">
        <v>45007</v>
      </c>
      <c r="AC1197">
        <f t="shared" si="99"/>
        <v>0</v>
      </c>
      <c r="AD1197" t="s">
        <v>38</v>
      </c>
      <c r="AE1197">
        <f>VLOOKUP(A1197,'Employee Engagement Survey'!A1159:B2628,2,FALSE)</f>
        <v>1</v>
      </c>
      <c r="AF1197">
        <f>VLOOKUP(A1197,'Employee Engagement Survey'!A1159:C2628,3,FALSE)</f>
        <v>2</v>
      </c>
      <c r="AG1197">
        <f>VLOOKUP(A1197,'Employee Engagement Survey'!A1159:D2628,4,FALSE)</f>
        <v>2</v>
      </c>
      <c r="AH1197">
        <f>VLOOKUP(A1197,'Employee Engagement Survey'!A1159:E2628,5,FALSE)</f>
        <v>2</v>
      </c>
      <c r="AI1197">
        <f t="shared" si="97"/>
        <v>1.75</v>
      </c>
    </row>
    <row r="1198" spans="1:35" hidden="1" x14ac:dyDescent="0.4">
      <c r="A1198">
        <v>1670</v>
      </c>
      <c r="B1198" t="s">
        <v>34</v>
      </c>
      <c r="C1198">
        <f t="shared" si="95"/>
        <v>1</v>
      </c>
      <c r="D1198" t="s">
        <v>57</v>
      </c>
      <c r="E1198">
        <f t="shared" si="96"/>
        <v>0</v>
      </c>
      <c r="F1198" t="s">
        <v>40</v>
      </c>
      <c r="G1198">
        <v>7</v>
      </c>
      <c r="H1198" s="1">
        <v>78060</v>
      </c>
      <c r="I1198" s="10">
        <v>0.14000000000000001</v>
      </c>
      <c r="J1198">
        <v>37.5</v>
      </c>
      <c r="K1198" t="s">
        <v>34</v>
      </c>
      <c r="L1198">
        <v>33</v>
      </c>
      <c r="M1198" t="s">
        <v>29</v>
      </c>
      <c r="N1198" t="s">
        <v>48</v>
      </c>
      <c r="O1198" t="s">
        <v>31</v>
      </c>
      <c r="P1198">
        <v>2</v>
      </c>
      <c r="Q1198" t="s">
        <v>51</v>
      </c>
      <c r="R1198" t="s">
        <v>33</v>
      </c>
      <c r="S1198">
        <v>3</v>
      </c>
      <c r="T1198">
        <v>2</v>
      </c>
      <c r="U1198">
        <v>6</v>
      </c>
      <c r="V1198">
        <v>5</v>
      </c>
      <c r="W1198">
        <v>6</v>
      </c>
      <c r="X1198">
        <v>2</v>
      </c>
      <c r="Y1198">
        <v>0</v>
      </c>
      <c r="Z1198">
        <v>4</v>
      </c>
      <c r="AA1198" t="str">
        <f t="shared" si="98"/>
        <v>Mid Tenure</v>
      </c>
      <c r="AB1198" s="5">
        <v>44708</v>
      </c>
      <c r="AC1198">
        <f t="shared" si="99"/>
        <v>0</v>
      </c>
      <c r="AD1198" t="s">
        <v>49</v>
      </c>
      <c r="AE1198">
        <f>VLOOKUP(A1198,'Employee Engagement Survey'!A1160:B2629,2,FALSE)</f>
        <v>4</v>
      </c>
      <c r="AF1198">
        <f>VLOOKUP(A1198,'Employee Engagement Survey'!A1160:C2629,3,FALSE)</f>
        <v>4</v>
      </c>
      <c r="AG1198">
        <f>VLOOKUP(A1198,'Employee Engagement Survey'!A1160:D2629,4,FALSE)</f>
        <v>3</v>
      </c>
      <c r="AH1198">
        <f>VLOOKUP(A1198,'Employee Engagement Survey'!A1160:E2629,5,FALSE)</f>
        <v>3</v>
      </c>
      <c r="AI1198">
        <f t="shared" si="97"/>
        <v>3.5</v>
      </c>
    </row>
    <row r="1199" spans="1:35" hidden="1" x14ac:dyDescent="0.4">
      <c r="A1199">
        <v>1671</v>
      </c>
      <c r="B1199" t="s">
        <v>34</v>
      </c>
      <c r="C1199">
        <f t="shared" si="95"/>
        <v>1</v>
      </c>
      <c r="D1199" t="s">
        <v>27</v>
      </c>
      <c r="E1199">
        <f t="shared" si="96"/>
        <v>0</v>
      </c>
      <c r="F1199" t="s">
        <v>28</v>
      </c>
      <c r="G1199">
        <v>7</v>
      </c>
      <c r="H1199" s="1">
        <v>77640</v>
      </c>
      <c r="I1199" s="10">
        <v>0.13</v>
      </c>
      <c r="J1199">
        <v>37.5</v>
      </c>
      <c r="K1199" t="s">
        <v>34</v>
      </c>
      <c r="L1199">
        <v>32</v>
      </c>
      <c r="M1199" t="s">
        <v>29</v>
      </c>
      <c r="N1199" t="s">
        <v>48</v>
      </c>
      <c r="O1199" t="s">
        <v>31</v>
      </c>
      <c r="P1199">
        <v>2</v>
      </c>
      <c r="Q1199" t="s">
        <v>43</v>
      </c>
      <c r="R1199" t="s">
        <v>33</v>
      </c>
      <c r="S1199">
        <v>3</v>
      </c>
      <c r="T1199">
        <v>2</v>
      </c>
      <c r="U1199">
        <v>10</v>
      </c>
      <c r="V1199">
        <v>4</v>
      </c>
      <c r="W1199">
        <v>9</v>
      </c>
      <c r="X1199">
        <v>5</v>
      </c>
      <c r="Y1199">
        <v>1</v>
      </c>
      <c r="Z1199">
        <v>6</v>
      </c>
      <c r="AA1199" t="str">
        <f t="shared" si="98"/>
        <v>Mid Tenure</v>
      </c>
      <c r="AB1199" s="5">
        <v>45910</v>
      </c>
      <c r="AC1199">
        <f t="shared" si="99"/>
        <v>1</v>
      </c>
      <c r="AD1199" t="s">
        <v>38</v>
      </c>
      <c r="AE1199">
        <f>VLOOKUP(A1199,'Employee Engagement Survey'!A1161:B2630,2,FALSE)</f>
        <v>4</v>
      </c>
      <c r="AF1199">
        <f>VLOOKUP(A1199,'Employee Engagement Survey'!A1161:C2630,3,FALSE)</f>
        <v>2</v>
      </c>
      <c r="AG1199">
        <f>VLOOKUP(A1199,'Employee Engagement Survey'!A1161:D2630,4,FALSE)</f>
        <v>3</v>
      </c>
      <c r="AH1199">
        <f>VLOOKUP(A1199,'Employee Engagement Survey'!A1161:E2630,5,FALSE)</f>
        <v>2</v>
      </c>
      <c r="AI1199">
        <f t="shared" si="97"/>
        <v>2.75</v>
      </c>
    </row>
    <row r="1200" spans="1:35" hidden="1" x14ac:dyDescent="0.4">
      <c r="A1200">
        <v>1833</v>
      </c>
      <c r="B1200" t="s">
        <v>34</v>
      </c>
      <c r="C1200">
        <f t="shared" si="95"/>
        <v>1</v>
      </c>
      <c r="D1200" t="s">
        <v>57</v>
      </c>
      <c r="E1200">
        <f t="shared" si="96"/>
        <v>0</v>
      </c>
      <c r="F1200" t="s">
        <v>40</v>
      </c>
      <c r="G1200">
        <v>9</v>
      </c>
      <c r="H1200" s="1">
        <v>127644</v>
      </c>
      <c r="I1200" s="10">
        <v>0.14000000000000001</v>
      </c>
      <c r="J1200">
        <v>37.5</v>
      </c>
      <c r="K1200" t="s">
        <v>34</v>
      </c>
      <c r="L1200">
        <v>31</v>
      </c>
      <c r="M1200" t="s">
        <v>47</v>
      </c>
      <c r="N1200" t="s">
        <v>42</v>
      </c>
      <c r="O1200" t="s">
        <v>44</v>
      </c>
      <c r="P1200">
        <v>7</v>
      </c>
      <c r="Q1200" t="s">
        <v>51</v>
      </c>
      <c r="R1200" t="s">
        <v>56</v>
      </c>
      <c r="S1200">
        <v>3</v>
      </c>
      <c r="T1200">
        <v>2</v>
      </c>
      <c r="U1200">
        <v>9</v>
      </c>
      <c r="V1200">
        <v>3</v>
      </c>
      <c r="W1200">
        <v>3</v>
      </c>
      <c r="X1200">
        <v>2</v>
      </c>
      <c r="Y1200">
        <v>2</v>
      </c>
      <c r="Z1200">
        <v>2</v>
      </c>
      <c r="AA1200" t="str">
        <f t="shared" si="98"/>
        <v>Mid Tenure</v>
      </c>
      <c r="AB1200" s="5">
        <v>44718</v>
      </c>
      <c r="AC1200">
        <f t="shared" si="99"/>
        <v>0</v>
      </c>
      <c r="AD1200" t="s">
        <v>38</v>
      </c>
      <c r="AE1200">
        <f>VLOOKUP(A1200,'Employee Engagement Survey'!A1162:B2631,2,FALSE)</f>
        <v>1</v>
      </c>
      <c r="AF1200">
        <f>VLOOKUP(A1200,'Employee Engagement Survey'!A1162:C2631,3,FALSE)</f>
        <v>1</v>
      </c>
      <c r="AG1200">
        <f>VLOOKUP(A1200,'Employee Engagement Survey'!A1162:D2631,4,FALSE)</f>
        <v>4</v>
      </c>
      <c r="AH1200">
        <f>VLOOKUP(A1200,'Employee Engagement Survey'!A1162:E2631,5,FALSE)</f>
        <v>3</v>
      </c>
      <c r="AI1200">
        <f t="shared" si="97"/>
        <v>2.25</v>
      </c>
    </row>
    <row r="1201" spans="1:35" hidden="1" x14ac:dyDescent="0.4">
      <c r="A1201">
        <v>1816</v>
      </c>
      <c r="B1201" t="s">
        <v>34</v>
      </c>
      <c r="C1201">
        <f t="shared" si="95"/>
        <v>1</v>
      </c>
      <c r="D1201" t="s">
        <v>54</v>
      </c>
      <c r="E1201">
        <f t="shared" si="96"/>
        <v>1</v>
      </c>
      <c r="F1201" t="s">
        <v>28</v>
      </c>
      <c r="G1201">
        <v>9</v>
      </c>
      <c r="H1201" s="1">
        <v>128004</v>
      </c>
      <c r="I1201" s="10">
        <v>0.14000000000000001</v>
      </c>
      <c r="J1201">
        <v>37.5</v>
      </c>
      <c r="K1201" t="s">
        <v>34</v>
      </c>
      <c r="L1201">
        <v>30</v>
      </c>
      <c r="M1201" t="s">
        <v>47</v>
      </c>
      <c r="N1201" t="s">
        <v>30</v>
      </c>
      <c r="O1201" t="s">
        <v>31</v>
      </c>
      <c r="P1201">
        <v>10</v>
      </c>
      <c r="Q1201" t="s">
        <v>43</v>
      </c>
      <c r="R1201" t="s">
        <v>33</v>
      </c>
      <c r="S1201">
        <v>3</v>
      </c>
      <c r="T1201">
        <v>0</v>
      </c>
      <c r="U1201">
        <v>9</v>
      </c>
      <c r="V1201">
        <v>3</v>
      </c>
      <c r="W1201">
        <v>7</v>
      </c>
      <c r="X1201">
        <v>7</v>
      </c>
      <c r="Y1201">
        <v>0</v>
      </c>
      <c r="Z1201">
        <v>2</v>
      </c>
      <c r="AA1201" t="str">
        <f t="shared" si="98"/>
        <v>Mid Tenure</v>
      </c>
      <c r="AB1201" s="5">
        <v>45357</v>
      </c>
      <c r="AC1201">
        <f t="shared" si="99"/>
        <v>1</v>
      </c>
      <c r="AD1201" t="s">
        <v>38</v>
      </c>
      <c r="AE1201">
        <f>VLOOKUP(A1201,'Employee Engagement Survey'!A1163:B2632,2,FALSE)</f>
        <v>1</v>
      </c>
      <c r="AF1201">
        <f>VLOOKUP(A1201,'Employee Engagement Survey'!A1163:C2632,3,FALSE)</f>
        <v>3</v>
      </c>
      <c r="AG1201">
        <f>VLOOKUP(A1201,'Employee Engagement Survey'!A1163:D2632,4,FALSE)</f>
        <v>2</v>
      </c>
      <c r="AH1201">
        <f>VLOOKUP(A1201,'Employee Engagement Survey'!A1163:E2632,5,FALSE)</f>
        <v>3</v>
      </c>
      <c r="AI1201">
        <f t="shared" si="97"/>
        <v>2.25</v>
      </c>
    </row>
    <row r="1202" spans="1:35" hidden="1" x14ac:dyDescent="0.4">
      <c r="A1202">
        <v>1677</v>
      </c>
      <c r="B1202" t="s">
        <v>34</v>
      </c>
      <c r="C1202">
        <f t="shared" ref="C1202:C1265" si="100">IF(B1202="No",1,0)</f>
        <v>1</v>
      </c>
      <c r="D1202" t="s">
        <v>109</v>
      </c>
      <c r="E1202">
        <f t="shared" si="96"/>
        <v>1</v>
      </c>
      <c r="F1202" t="s">
        <v>28</v>
      </c>
      <c r="G1202">
        <v>4</v>
      </c>
      <c r="H1202" s="1">
        <v>196548</v>
      </c>
      <c r="I1202" s="10">
        <v>0.14000000000000001</v>
      </c>
      <c r="J1202">
        <v>37.5</v>
      </c>
      <c r="K1202" t="s">
        <v>34</v>
      </c>
      <c r="L1202">
        <v>49</v>
      </c>
      <c r="M1202" t="s">
        <v>29</v>
      </c>
      <c r="N1202" t="s">
        <v>30</v>
      </c>
      <c r="O1202" t="s">
        <v>31</v>
      </c>
      <c r="P1202">
        <v>1</v>
      </c>
      <c r="Q1202" t="s">
        <v>43</v>
      </c>
      <c r="R1202" t="s">
        <v>37</v>
      </c>
      <c r="S1202">
        <v>3</v>
      </c>
      <c r="T1202">
        <v>0</v>
      </c>
      <c r="U1202">
        <v>23</v>
      </c>
      <c r="V1202">
        <v>2</v>
      </c>
      <c r="W1202">
        <v>8</v>
      </c>
      <c r="X1202">
        <v>7</v>
      </c>
      <c r="Y1202">
        <v>0</v>
      </c>
      <c r="Z1202">
        <v>0</v>
      </c>
      <c r="AA1202" t="str">
        <f t="shared" si="98"/>
        <v>Mid Tenure</v>
      </c>
      <c r="AB1202" s="5">
        <v>44750</v>
      </c>
      <c r="AC1202">
        <f t="shared" si="99"/>
        <v>0</v>
      </c>
      <c r="AD1202" t="s">
        <v>38</v>
      </c>
      <c r="AE1202">
        <f>VLOOKUP(A1202,'Employee Engagement Survey'!A1164:B2633,2,FALSE)</f>
        <v>3</v>
      </c>
      <c r="AF1202">
        <f>VLOOKUP(A1202,'Employee Engagement Survey'!A1164:C2633,3,FALSE)</f>
        <v>3</v>
      </c>
      <c r="AG1202">
        <f>VLOOKUP(A1202,'Employee Engagement Survey'!A1164:D2633,4,FALSE)</f>
        <v>1</v>
      </c>
      <c r="AH1202">
        <f>VLOOKUP(A1202,'Employee Engagement Survey'!A1164:E2633,5,FALSE)</f>
        <v>3</v>
      </c>
      <c r="AI1202">
        <f t="shared" si="97"/>
        <v>2.5</v>
      </c>
    </row>
    <row r="1203" spans="1:35" hidden="1" x14ac:dyDescent="0.4">
      <c r="A1203">
        <v>1678</v>
      </c>
      <c r="B1203" t="s">
        <v>34</v>
      </c>
      <c r="C1203">
        <f t="shared" si="100"/>
        <v>1</v>
      </c>
      <c r="D1203" t="s">
        <v>57</v>
      </c>
      <c r="E1203">
        <f t="shared" si="96"/>
        <v>0</v>
      </c>
      <c r="F1203" t="s">
        <v>40</v>
      </c>
      <c r="G1203">
        <v>8</v>
      </c>
      <c r="H1203" s="1">
        <v>96984</v>
      </c>
      <c r="I1203" s="10">
        <v>0.16</v>
      </c>
      <c r="J1203">
        <v>37.5</v>
      </c>
      <c r="K1203" t="s">
        <v>26</v>
      </c>
      <c r="L1203">
        <v>41</v>
      </c>
      <c r="M1203" t="s">
        <v>29</v>
      </c>
      <c r="N1203" t="s">
        <v>30</v>
      </c>
      <c r="O1203" t="s">
        <v>31</v>
      </c>
      <c r="P1203">
        <v>23</v>
      </c>
      <c r="Q1203" t="s">
        <v>36</v>
      </c>
      <c r="R1203" t="s">
        <v>37</v>
      </c>
      <c r="S1203">
        <v>3</v>
      </c>
      <c r="T1203">
        <v>0</v>
      </c>
      <c r="U1203">
        <v>21</v>
      </c>
      <c r="V1203">
        <v>2</v>
      </c>
      <c r="W1203">
        <v>2</v>
      </c>
      <c r="X1203">
        <v>0</v>
      </c>
      <c r="Y1203">
        <v>0</v>
      </c>
      <c r="Z1203">
        <v>2</v>
      </c>
      <c r="AA1203" t="str">
        <f t="shared" si="98"/>
        <v>Early Tenure</v>
      </c>
      <c r="AB1203" s="5">
        <v>45206</v>
      </c>
      <c r="AC1203">
        <f t="shared" si="99"/>
        <v>0</v>
      </c>
      <c r="AD1203" t="s">
        <v>49</v>
      </c>
      <c r="AE1203">
        <f>VLOOKUP(A1203,'Employee Engagement Survey'!A1165:B2634,2,FALSE)</f>
        <v>4</v>
      </c>
      <c r="AF1203">
        <f>VLOOKUP(A1203,'Employee Engagement Survey'!A1165:C2634,3,FALSE)</f>
        <v>3</v>
      </c>
      <c r="AG1203">
        <f>VLOOKUP(A1203,'Employee Engagement Survey'!A1165:D2634,4,FALSE)</f>
        <v>4</v>
      </c>
      <c r="AH1203">
        <f>VLOOKUP(A1203,'Employee Engagement Survey'!A1165:E2634,5,FALSE)</f>
        <v>3</v>
      </c>
      <c r="AI1203">
        <f t="shared" si="97"/>
        <v>3.5</v>
      </c>
    </row>
    <row r="1204" spans="1:35" hidden="1" x14ac:dyDescent="0.4">
      <c r="A1204">
        <v>1680</v>
      </c>
      <c r="B1204" t="s">
        <v>34</v>
      </c>
      <c r="C1204">
        <f t="shared" si="100"/>
        <v>1</v>
      </c>
      <c r="D1204" t="s">
        <v>39</v>
      </c>
      <c r="E1204">
        <f t="shared" si="96"/>
        <v>0</v>
      </c>
      <c r="F1204" t="s">
        <v>40</v>
      </c>
      <c r="G1204">
        <v>5</v>
      </c>
      <c r="H1204" s="1">
        <v>56736</v>
      </c>
      <c r="I1204" s="10">
        <v>0.11</v>
      </c>
      <c r="J1204">
        <v>37.5</v>
      </c>
      <c r="K1204" t="s">
        <v>34</v>
      </c>
      <c r="L1204">
        <v>20</v>
      </c>
      <c r="M1204" t="s">
        <v>29</v>
      </c>
      <c r="N1204" t="s">
        <v>30</v>
      </c>
      <c r="O1204" t="s">
        <v>31</v>
      </c>
      <c r="P1204">
        <v>9</v>
      </c>
      <c r="Q1204" t="s">
        <v>32</v>
      </c>
      <c r="R1204" t="s">
        <v>37</v>
      </c>
      <c r="S1204">
        <v>3</v>
      </c>
      <c r="T1204">
        <v>0</v>
      </c>
      <c r="U1204">
        <v>2</v>
      </c>
      <c r="V1204">
        <v>3</v>
      </c>
      <c r="W1204">
        <v>2</v>
      </c>
      <c r="X1204">
        <v>2</v>
      </c>
      <c r="Y1204">
        <v>0</v>
      </c>
      <c r="Z1204">
        <v>2</v>
      </c>
      <c r="AA1204" t="str">
        <f t="shared" si="98"/>
        <v>Early Tenure</v>
      </c>
      <c r="AB1204" s="5">
        <v>45698</v>
      </c>
      <c r="AC1204">
        <f t="shared" si="99"/>
        <v>1</v>
      </c>
      <c r="AD1204" t="s">
        <v>38</v>
      </c>
      <c r="AE1204">
        <f>VLOOKUP(A1204,'Employee Engagement Survey'!A1166:B2635,2,FALSE)</f>
        <v>4</v>
      </c>
      <c r="AF1204">
        <f>VLOOKUP(A1204,'Employee Engagement Survey'!A1166:C2635,3,FALSE)</f>
        <v>1</v>
      </c>
      <c r="AG1204">
        <f>VLOOKUP(A1204,'Employee Engagement Survey'!A1166:D2635,4,FALSE)</f>
        <v>1</v>
      </c>
      <c r="AH1204">
        <f>VLOOKUP(A1204,'Employee Engagement Survey'!A1166:E2635,5,FALSE)</f>
        <v>3</v>
      </c>
      <c r="AI1204">
        <f t="shared" si="97"/>
        <v>2.25</v>
      </c>
    </row>
    <row r="1205" spans="1:35" hidden="1" x14ac:dyDescent="0.4">
      <c r="A1205">
        <v>1682</v>
      </c>
      <c r="B1205" t="s">
        <v>34</v>
      </c>
      <c r="C1205">
        <f t="shared" si="100"/>
        <v>1</v>
      </c>
      <c r="D1205" t="s">
        <v>55</v>
      </c>
      <c r="E1205">
        <f t="shared" si="96"/>
        <v>0</v>
      </c>
      <c r="F1205" t="s">
        <v>28</v>
      </c>
      <c r="G1205">
        <v>7</v>
      </c>
      <c r="H1205" s="1">
        <v>76164</v>
      </c>
      <c r="I1205" s="10">
        <v>0.14000000000000001</v>
      </c>
      <c r="J1205">
        <v>37.5</v>
      </c>
      <c r="K1205" t="s">
        <v>34</v>
      </c>
      <c r="L1205">
        <v>36</v>
      </c>
      <c r="M1205" t="s">
        <v>29</v>
      </c>
      <c r="N1205" t="s">
        <v>42</v>
      </c>
      <c r="O1205" t="s">
        <v>31</v>
      </c>
      <c r="P1205">
        <v>26</v>
      </c>
      <c r="Q1205" t="s">
        <v>51</v>
      </c>
      <c r="R1205" t="s">
        <v>37</v>
      </c>
      <c r="S1205">
        <v>3</v>
      </c>
      <c r="T1205">
        <v>2</v>
      </c>
      <c r="U1205">
        <v>10</v>
      </c>
      <c r="V1205">
        <v>2</v>
      </c>
      <c r="W1205">
        <v>3</v>
      </c>
      <c r="X1205">
        <v>2</v>
      </c>
      <c r="Y1205">
        <v>0</v>
      </c>
      <c r="Z1205">
        <v>2</v>
      </c>
      <c r="AA1205" t="str">
        <f t="shared" si="98"/>
        <v>Mid Tenure</v>
      </c>
      <c r="AB1205" s="5">
        <v>45752</v>
      </c>
      <c r="AC1205">
        <f t="shared" si="99"/>
        <v>1</v>
      </c>
      <c r="AD1205" t="s">
        <v>49</v>
      </c>
      <c r="AE1205">
        <f>VLOOKUP(A1205,'Employee Engagement Survey'!A1167:B2636,2,FALSE)</f>
        <v>1</v>
      </c>
      <c r="AF1205">
        <f>VLOOKUP(A1205,'Employee Engagement Survey'!A1167:C2636,3,FALSE)</f>
        <v>3</v>
      </c>
      <c r="AG1205">
        <f>VLOOKUP(A1205,'Employee Engagement Survey'!A1167:D2636,4,FALSE)</f>
        <v>2</v>
      </c>
      <c r="AH1205">
        <f>VLOOKUP(A1205,'Employee Engagement Survey'!A1167:E2636,5,FALSE)</f>
        <v>2</v>
      </c>
      <c r="AI1205">
        <f t="shared" si="97"/>
        <v>2</v>
      </c>
    </row>
    <row r="1206" spans="1:35" hidden="1" x14ac:dyDescent="0.4">
      <c r="A1206">
        <v>1544</v>
      </c>
      <c r="B1206" t="s">
        <v>34</v>
      </c>
      <c r="C1206">
        <f t="shared" si="100"/>
        <v>1</v>
      </c>
      <c r="D1206" t="s">
        <v>55</v>
      </c>
      <c r="E1206">
        <f t="shared" si="96"/>
        <v>0</v>
      </c>
      <c r="F1206" t="s">
        <v>28</v>
      </c>
      <c r="G1206">
        <v>9</v>
      </c>
      <c r="H1206" s="1">
        <v>128580</v>
      </c>
      <c r="I1206" s="10">
        <v>0.13</v>
      </c>
      <c r="J1206">
        <v>37.5</v>
      </c>
      <c r="K1206" t="s">
        <v>34</v>
      </c>
      <c r="L1206">
        <v>29</v>
      </c>
      <c r="M1206" t="s">
        <v>47</v>
      </c>
      <c r="N1206" t="s">
        <v>42</v>
      </c>
      <c r="O1206" t="s">
        <v>31</v>
      </c>
      <c r="P1206">
        <v>8</v>
      </c>
      <c r="Q1206" t="s">
        <v>32</v>
      </c>
      <c r="R1206" t="s">
        <v>53</v>
      </c>
      <c r="S1206">
        <v>3</v>
      </c>
      <c r="T1206">
        <v>1</v>
      </c>
      <c r="U1206">
        <v>9</v>
      </c>
      <c r="V1206">
        <v>3</v>
      </c>
      <c r="W1206">
        <v>7</v>
      </c>
      <c r="X1206">
        <v>7</v>
      </c>
      <c r="Y1206">
        <v>0</v>
      </c>
      <c r="Z1206">
        <v>7</v>
      </c>
      <c r="AA1206" t="str">
        <f t="shared" si="98"/>
        <v>Mid Tenure</v>
      </c>
      <c r="AB1206" s="5">
        <v>45369</v>
      </c>
      <c r="AC1206">
        <f t="shared" si="99"/>
        <v>1</v>
      </c>
      <c r="AD1206" t="s">
        <v>38</v>
      </c>
      <c r="AE1206">
        <f>VLOOKUP(A1206,'Employee Engagement Survey'!A1169:B2638,2,FALSE)</f>
        <v>3</v>
      </c>
      <c r="AF1206">
        <f>VLOOKUP(A1206,'Employee Engagement Survey'!A1169:C2638,3,FALSE)</f>
        <v>1</v>
      </c>
      <c r="AG1206">
        <f>VLOOKUP(A1206,'Employee Engagement Survey'!A1169:D2638,4,FALSE)</f>
        <v>3</v>
      </c>
      <c r="AH1206">
        <f>VLOOKUP(A1206,'Employee Engagement Survey'!A1169:E2638,5,FALSE)</f>
        <v>3</v>
      </c>
      <c r="AI1206">
        <f t="shared" si="97"/>
        <v>2.5</v>
      </c>
    </row>
    <row r="1207" spans="1:35" hidden="1" x14ac:dyDescent="0.4">
      <c r="A1207">
        <v>1689</v>
      </c>
      <c r="B1207" t="s">
        <v>34</v>
      </c>
      <c r="C1207">
        <f t="shared" si="100"/>
        <v>1</v>
      </c>
      <c r="D1207" t="s">
        <v>55</v>
      </c>
      <c r="E1207">
        <f t="shared" si="96"/>
        <v>0</v>
      </c>
      <c r="F1207" t="s">
        <v>28</v>
      </c>
      <c r="G1207">
        <v>8</v>
      </c>
      <c r="H1207" s="1">
        <v>96060</v>
      </c>
      <c r="I1207" s="10">
        <v>0.15</v>
      </c>
      <c r="J1207">
        <v>37.5</v>
      </c>
      <c r="K1207" t="s">
        <v>34</v>
      </c>
      <c r="L1207">
        <v>53</v>
      </c>
      <c r="M1207" t="s">
        <v>29</v>
      </c>
      <c r="N1207" t="s">
        <v>42</v>
      </c>
      <c r="O1207" t="s">
        <v>31</v>
      </c>
      <c r="P1207">
        <v>24</v>
      </c>
      <c r="Q1207" t="s">
        <v>51</v>
      </c>
      <c r="R1207" t="s">
        <v>33</v>
      </c>
      <c r="S1207">
        <v>3</v>
      </c>
      <c r="T1207">
        <v>0</v>
      </c>
      <c r="U1207">
        <v>11</v>
      </c>
      <c r="V1207">
        <v>2</v>
      </c>
      <c r="W1207">
        <v>4</v>
      </c>
      <c r="X1207">
        <v>3</v>
      </c>
      <c r="Y1207">
        <v>1</v>
      </c>
      <c r="Z1207">
        <v>2</v>
      </c>
      <c r="AA1207" t="str">
        <f t="shared" si="98"/>
        <v>Mid Tenure</v>
      </c>
      <c r="AB1207" s="5">
        <v>44645</v>
      </c>
      <c r="AC1207">
        <f t="shared" si="99"/>
        <v>0</v>
      </c>
      <c r="AD1207" t="s">
        <v>38</v>
      </c>
      <c r="AE1207">
        <f>VLOOKUP(A1207,'Employee Engagement Survey'!A1170:B2639,2,FALSE)</f>
        <v>2</v>
      </c>
      <c r="AF1207">
        <f>VLOOKUP(A1207,'Employee Engagement Survey'!A1170:C2639,3,FALSE)</f>
        <v>4</v>
      </c>
      <c r="AG1207">
        <f>VLOOKUP(A1207,'Employee Engagement Survey'!A1170:D2639,4,FALSE)</f>
        <v>3</v>
      </c>
      <c r="AH1207">
        <f>VLOOKUP(A1207,'Employee Engagement Survey'!A1170:E2639,5,FALSE)</f>
        <v>3</v>
      </c>
      <c r="AI1207">
        <f t="shared" si="97"/>
        <v>3</v>
      </c>
    </row>
    <row r="1208" spans="1:35" hidden="1" x14ac:dyDescent="0.4">
      <c r="A1208">
        <v>1693</v>
      </c>
      <c r="B1208" t="s">
        <v>34</v>
      </c>
      <c r="C1208">
        <f t="shared" si="100"/>
        <v>1</v>
      </c>
      <c r="D1208" t="s">
        <v>46</v>
      </c>
      <c r="E1208">
        <f t="shared" si="96"/>
        <v>0</v>
      </c>
      <c r="F1208" t="s">
        <v>28</v>
      </c>
      <c r="G1208">
        <v>4</v>
      </c>
      <c r="H1208" s="1">
        <v>54840</v>
      </c>
      <c r="I1208" s="10">
        <v>0.2</v>
      </c>
      <c r="J1208">
        <v>37.5</v>
      </c>
      <c r="K1208" t="s">
        <v>34</v>
      </c>
      <c r="L1208">
        <v>26</v>
      </c>
      <c r="M1208" t="s">
        <v>29</v>
      </c>
      <c r="N1208" t="s">
        <v>30</v>
      </c>
      <c r="O1208" t="s">
        <v>35</v>
      </c>
      <c r="P1208">
        <v>7</v>
      </c>
      <c r="Q1208" t="s">
        <v>43</v>
      </c>
      <c r="R1208" t="s">
        <v>33</v>
      </c>
      <c r="S1208">
        <v>4</v>
      </c>
      <c r="T1208">
        <v>0</v>
      </c>
      <c r="U1208">
        <v>7</v>
      </c>
      <c r="V1208">
        <v>5</v>
      </c>
      <c r="W1208">
        <v>7</v>
      </c>
      <c r="X1208">
        <v>7</v>
      </c>
      <c r="Y1208">
        <v>5</v>
      </c>
      <c r="Z1208">
        <v>7</v>
      </c>
      <c r="AA1208" t="str">
        <f t="shared" si="98"/>
        <v>Mid Tenure</v>
      </c>
      <c r="AB1208" s="5">
        <v>45991</v>
      </c>
      <c r="AC1208">
        <f t="shared" si="99"/>
        <v>1</v>
      </c>
      <c r="AD1208" t="s">
        <v>38</v>
      </c>
      <c r="AE1208">
        <f>VLOOKUP(A1208,'Employee Engagement Survey'!A1171:B2640,2,FALSE)</f>
        <v>4</v>
      </c>
      <c r="AF1208">
        <f>VLOOKUP(A1208,'Employee Engagement Survey'!A1171:C2640,3,FALSE)</f>
        <v>4</v>
      </c>
      <c r="AG1208">
        <f>VLOOKUP(A1208,'Employee Engagement Survey'!A1171:D2640,4,FALSE)</f>
        <v>3</v>
      </c>
      <c r="AH1208">
        <f>VLOOKUP(A1208,'Employee Engagement Survey'!A1171:E2640,5,FALSE)</f>
        <v>3</v>
      </c>
      <c r="AI1208">
        <f t="shared" si="97"/>
        <v>3.5</v>
      </c>
    </row>
    <row r="1209" spans="1:35" hidden="1" x14ac:dyDescent="0.4">
      <c r="A1209">
        <v>154</v>
      </c>
      <c r="B1209" t="s">
        <v>34</v>
      </c>
      <c r="C1209">
        <f t="shared" si="100"/>
        <v>1</v>
      </c>
      <c r="D1209" t="s">
        <v>57</v>
      </c>
      <c r="E1209">
        <f t="shared" si="96"/>
        <v>0</v>
      </c>
      <c r="F1209" t="s">
        <v>40</v>
      </c>
      <c r="G1209">
        <v>9</v>
      </c>
      <c r="H1209" s="1">
        <v>128856</v>
      </c>
      <c r="I1209" s="10">
        <v>0.14000000000000001</v>
      </c>
      <c r="J1209">
        <v>37.5</v>
      </c>
      <c r="K1209" t="s">
        <v>34</v>
      </c>
      <c r="L1209">
        <v>36</v>
      </c>
      <c r="M1209" t="s">
        <v>47</v>
      </c>
      <c r="N1209" t="s">
        <v>42</v>
      </c>
      <c r="O1209" t="s">
        <v>44</v>
      </c>
      <c r="P1209">
        <v>11</v>
      </c>
      <c r="Q1209" t="s">
        <v>36</v>
      </c>
      <c r="R1209" t="s">
        <v>45</v>
      </c>
      <c r="S1209">
        <v>3</v>
      </c>
      <c r="T1209">
        <v>1</v>
      </c>
      <c r="U1209">
        <v>10</v>
      </c>
      <c r="V1209">
        <v>6</v>
      </c>
      <c r="W1209">
        <v>9</v>
      </c>
      <c r="X1209">
        <v>7</v>
      </c>
      <c r="Y1209">
        <v>2</v>
      </c>
      <c r="Z1209">
        <v>8</v>
      </c>
      <c r="AA1209" t="str">
        <f t="shared" si="98"/>
        <v>Mid Tenure</v>
      </c>
      <c r="AB1209" s="5">
        <v>45286</v>
      </c>
      <c r="AC1209">
        <f t="shared" si="99"/>
        <v>0</v>
      </c>
      <c r="AD1209" t="s">
        <v>49</v>
      </c>
      <c r="AE1209">
        <f>VLOOKUP(A1209,'Employee Engagement Survey'!A1172:B2641,2,FALSE)</f>
        <v>2</v>
      </c>
      <c r="AF1209">
        <f>VLOOKUP(A1209,'Employee Engagement Survey'!A1172:C2641,3,FALSE)</f>
        <v>4</v>
      </c>
      <c r="AG1209">
        <f>VLOOKUP(A1209,'Employee Engagement Survey'!A1172:D2641,4,FALSE)</f>
        <v>3</v>
      </c>
      <c r="AH1209">
        <f>VLOOKUP(A1209,'Employee Engagement Survey'!A1172:E2641,5,FALSE)</f>
        <v>3</v>
      </c>
      <c r="AI1209">
        <f t="shared" si="97"/>
        <v>3</v>
      </c>
    </row>
    <row r="1210" spans="1:35" hidden="1" x14ac:dyDescent="0.4">
      <c r="A1210">
        <v>1744</v>
      </c>
      <c r="B1210" t="s">
        <v>34</v>
      </c>
      <c r="C1210">
        <f t="shared" si="100"/>
        <v>1</v>
      </c>
      <c r="D1210" t="s">
        <v>104</v>
      </c>
      <c r="E1210">
        <f t="shared" si="96"/>
        <v>0</v>
      </c>
      <c r="F1210" t="s">
        <v>59</v>
      </c>
      <c r="G1210">
        <v>9</v>
      </c>
      <c r="H1210" s="1">
        <v>129072</v>
      </c>
      <c r="I1210" s="10">
        <v>0.21</v>
      </c>
      <c r="J1210">
        <v>37.5</v>
      </c>
      <c r="K1210" t="s">
        <v>34</v>
      </c>
      <c r="L1210">
        <v>45</v>
      </c>
      <c r="M1210" t="s">
        <v>47</v>
      </c>
      <c r="N1210" t="s">
        <v>42</v>
      </c>
      <c r="O1210" t="s">
        <v>31</v>
      </c>
      <c r="P1210">
        <v>4</v>
      </c>
      <c r="Q1210" t="s">
        <v>43</v>
      </c>
      <c r="R1210" t="s">
        <v>37</v>
      </c>
      <c r="S1210">
        <v>4</v>
      </c>
      <c r="T1210">
        <v>2</v>
      </c>
      <c r="U1210">
        <v>9</v>
      </c>
      <c r="V1210">
        <v>2</v>
      </c>
      <c r="W1210">
        <v>5</v>
      </c>
      <c r="X1210">
        <v>0</v>
      </c>
      <c r="Y1210">
        <v>0</v>
      </c>
      <c r="Z1210">
        <v>3</v>
      </c>
      <c r="AA1210" t="str">
        <f t="shared" si="98"/>
        <v>Mid Tenure</v>
      </c>
      <c r="AB1210" s="5">
        <v>45281</v>
      </c>
      <c r="AC1210">
        <f t="shared" si="99"/>
        <v>0</v>
      </c>
      <c r="AD1210" t="s">
        <v>49</v>
      </c>
      <c r="AE1210">
        <f>VLOOKUP(A1210,'Employee Engagement Survey'!A1173:B2642,2,FALSE)</f>
        <v>3</v>
      </c>
      <c r="AF1210">
        <f>VLOOKUP(A1210,'Employee Engagement Survey'!A1173:C2642,3,FALSE)</f>
        <v>3</v>
      </c>
      <c r="AG1210">
        <f>VLOOKUP(A1210,'Employee Engagement Survey'!A1173:D2642,4,FALSE)</f>
        <v>3</v>
      </c>
      <c r="AH1210">
        <f>VLOOKUP(A1210,'Employee Engagement Survey'!A1173:E2642,5,FALSE)</f>
        <v>4</v>
      </c>
      <c r="AI1210">
        <f t="shared" si="97"/>
        <v>3.25</v>
      </c>
    </row>
    <row r="1211" spans="1:35" hidden="1" x14ac:dyDescent="0.4">
      <c r="A1211">
        <v>1694</v>
      </c>
      <c r="B1211" t="s">
        <v>34</v>
      </c>
      <c r="C1211">
        <f t="shared" si="100"/>
        <v>1</v>
      </c>
      <c r="D1211" t="s">
        <v>27</v>
      </c>
      <c r="E1211">
        <f t="shared" si="96"/>
        <v>0</v>
      </c>
      <c r="F1211" t="s">
        <v>28</v>
      </c>
      <c r="G1211">
        <v>6</v>
      </c>
      <c r="H1211" s="1">
        <v>66444</v>
      </c>
      <c r="I1211" s="10">
        <v>0.12</v>
      </c>
      <c r="J1211">
        <v>37.5</v>
      </c>
      <c r="K1211" t="s">
        <v>34</v>
      </c>
      <c r="L1211">
        <v>55</v>
      </c>
      <c r="M1211" t="s">
        <v>29</v>
      </c>
      <c r="N1211" t="s">
        <v>48</v>
      </c>
      <c r="O1211" t="s">
        <v>31</v>
      </c>
      <c r="P1211">
        <v>22</v>
      </c>
      <c r="Q1211" t="s">
        <v>43</v>
      </c>
      <c r="R1211" t="s">
        <v>45</v>
      </c>
      <c r="S1211">
        <v>3</v>
      </c>
      <c r="T1211">
        <v>1</v>
      </c>
      <c r="U1211">
        <v>8</v>
      </c>
      <c r="V1211">
        <v>1</v>
      </c>
      <c r="W1211">
        <v>4</v>
      </c>
      <c r="X1211">
        <v>2</v>
      </c>
      <c r="Y1211">
        <v>1</v>
      </c>
      <c r="Z1211">
        <v>2</v>
      </c>
      <c r="AA1211" t="str">
        <f t="shared" si="98"/>
        <v>Mid Tenure</v>
      </c>
      <c r="AB1211" s="5">
        <v>46012</v>
      </c>
      <c r="AC1211">
        <f t="shared" si="99"/>
        <v>1</v>
      </c>
      <c r="AD1211" t="s">
        <v>38</v>
      </c>
      <c r="AE1211">
        <f>VLOOKUP(A1211,'Employee Engagement Survey'!A1174:B2643,2,FALSE)</f>
        <v>1</v>
      </c>
      <c r="AF1211">
        <f>VLOOKUP(A1211,'Employee Engagement Survey'!A1174:C2643,3,FALSE)</f>
        <v>2</v>
      </c>
      <c r="AG1211">
        <f>VLOOKUP(A1211,'Employee Engagement Survey'!A1174:D2643,4,FALSE)</f>
        <v>4</v>
      </c>
      <c r="AH1211">
        <f>VLOOKUP(A1211,'Employee Engagement Survey'!A1174:E2643,5,FALSE)</f>
        <v>3</v>
      </c>
      <c r="AI1211">
        <f t="shared" si="97"/>
        <v>2.5</v>
      </c>
    </row>
    <row r="1212" spans="1:35" hidden="1" x14ac:dyDescent="0.4">
      <c r="A1212">
        <v>634</v>
      </c>
      <c r="B1212" t="s">
        <v>34</v>
      </c>
      <c r="C1212">
        <f t="shared" si="100"/>
        <v>1</v>
      </c>
      <c r="D1212" t="s">
        <v>55</v>
      </c>
      <c r="E1212">
        <f t="shared" si="96"/>
        <v>0</v>
      </c>
      <c r="F1212" t="s">
        <v>28</v>
      </c>
      <c r="G1212">
        <v>9</v>
      </c>
      <c r="H1212" s="1">
        <v>129888</v>
      </c>
      <c r="I1212" s="10">
        <v>0.19</v>
      </c>
      <c r="J1212">
        <v>37.5</v>
      </c>
      <c r="K1212" t="s">
        <v>34</v>
      </c>
      <c r="L1212">
        <v>38</v>
      </c>
      <c r="M1212" t="s">
        <v>47</v>
      </c>
      <c r="N1212" t="s">
        <v>42</v>
      </c>
      <c r="O1212" t="s">
        <v>31</v>
      </c>
      <c r="P1212">
        <v>10</v>
      </c>
      <c r="Q1212" t="s">
        <v>43</v>
      </c>
      <c r="R1212" t="s">
        <v>33</v>
      </c>
      <c r="S1212">
        <v>3</v>
      </c>
      <c r="T1212">
        <v>1</v>
      </c>
      <c r="U1212">
        <v>18</v>
      </c>
      <c r="V1212">
        <v>4</v>
      </c>
      <c r="W1212">
        <v>1</v>
      </c>
      <c r="X1212">
        <v>0</v>
      </c>
      <c r="Y1212">
        <v>0</v>
      </c>
      <c r="Z1212">
        <v>0</v>
      </c>
      <c r="AA1212" t="str">
        <f t="shared" si="98"/>
        <v>Early Tenure</v>
      </c>
      <c r="AB1212" s="5">
        <v>46008</v>
      </c>
      <c r="AC1212">
        <f t="shared" si="99"/>
        <v>1</v>
      </c>
      <c r="AD1212" t="s">
        <v>38</v>
      </c>
      <c r="AE1212">
        <f>VLOOKUP(A1212,'Employee Engagement Survey'!A1175:B2644,2,FALSE)</f>
        <v>3</v>
      </c>
      <c r="AF1212">
        <f>VLOOKUP(A1212,'Employee Engagement Survey'!A1175:C2644,3,FALSE)</f>
        <v>3</v>
      </c>
      <c r="AG1212">
        <f>VLOOKUP(A1212,'Employee Engagement Survey'!A1175:D2644,4,FALSE)</f>
        <v>3</v>
      </c>
      <c r="AH1212">
        <f>VLOOKUP(A1212,'Employee Engagement Survey'!A1175:E2644,5,FALSE)</f>
        <v>3</v>
      </c>
      <c r="AI1212">
        <f t="shared" si="97"/>
        <v>3</v>
      </c>
    </row>
    <row r="1213" spans="1:35" hidden="1" x14ac:dyDescent="0.4">
      <c r="A1213">
        <v>1324</v>
      </c>
      <c r="B1213" t="s">
        <v>34</v>
      </c>
      <c r="C1213">
        <f t="shared" si="100"/>
        <v>1</v>
      </c>
      <c r="D1213" t="s">
        <v>57</v>
      </c>
      <c r="E1213">
        <f t="shared" si="96"/>
        <v>0</v>
      </c>
      <c r="F1213" t="s">
        <v>40</v>
      </c>
      <c r="G1213">
        <v>9</v>
      </c>
      <c r="H1213" s="1">
        <v>130224</v>
      </c>
      <c r="I1213" s="10">
        <v>0.19</v>
      </c>
      <c r="J1213">
        <v>37.5</v>
      </c>
      <c r="K1213" t="s">
        <v>26</v>
      </c>
      <c r="L1213">
        <v>31</v>
      </c>
      <c r="M1213" t="s">
        <v>47</v>
      </c>
      <c r="N1213" t="s">
        <v>48</v>
      </c>
      <c r="O1213" t="s">
        <v>35</v>
      </c>
      <c r="P1213">
        <v>2</v>
      </c>
      <c r="Q1213" t="s">
        <v>51</v>
      </c>
      <c r="R1213" t="s">
        <v>37</v>
      </c>
      <c r="S1213">
        <v>3</v>
      </c>
      <c r="T1213">
        <v>1</v>
      </c>
      <c r="U1213">
        <v>10</v>
      </c>
      <c r="V1213">
        <v>5</v>
      </c>
      <c r="W1213">
        <v>10</v>
      </c>
      <c r="X1213">
        <v>8</v>
      </c>
      <c r="Y1213">
        <v>9</v>
      </c>
      <c r="Z1213">
        <v>6</v>
      </c>
      <c r="AA1213" t="str">
        <f t="shared" si="98"/>
        <v>Long Tenure</v>
      </c>
      <c r="AB1213" s="5">
        <v>44970</v>
      </c>
      <c r="AC1213">
        <f t="shared" si="99"/>
        <v>0</v>
      </c>
      <c r="AD1213" t="s">
        <v>38</v>
      </c>
      <c r="AE1213">
        <f>VLOOKUP(A1213,'Employee Engagement Survey'!A1176:B2645,2,FALSE)</f>
        <v>4</v>
      </c>
      <c r="AF1213">
        <f>VLOOKUP(A1213,'Employee Engagement Survey'!A1176:C2645,3,FALSE)</f>
        <v>3</v>
      </c>
      <c r="AG1213">
        <f>VLOOKUP(A1213,'Employee Engagement Survey'!A1176:D2645,4,FALSE)</f>
        <v>1</v>
      </c>
      <c r="AH1213">
        <f>VLOOKUP(A1213,'Employee Engagement Survey'!A1176:E2645,5,FALSE)</f>
        <v>2</v>
      </c>
      <c r="AI1213">
        <f t="shared" si="97"/>
        <v>2.5</v>
      </c>
    </row>
    <row r="1214" spans="1:35" hidden="1" x14ac:dyDescent="0.4">
      <c r="A1214">
        <v>1696</v>
      </c>
      <c r="B1214" t="s">
        <v>34</v>
      </c>
      <c r="C1214">
        <f t="shared" si="100"/>
        <v>1</v>
      </c>
      <c r="D1214" t="s">
        <v>46</v>
      </c>
      <c r="E1214">
        <f t="shared" si="96"/>
        <v>0</v>
      </c>
      <c r="F1214" t="s">
        <v>28</v>
      </c>
      <c r="G1214">
        <v>7</v>
      </c>
      <c r="H1214" s="1">
        <v>71832</v>
      </c>
      <c r="I1214" s="10">
        <v>0.14000000000000001</v>
      </c>
      <c r="J1214">
        <v>37.5</v>
      </c>
      <c r="K1214" t="s">
        <v>34</v>
      </c>
      <c r="L1214">
        <v>34</v>
      </c>
      <c r="M1214" t="s">
        <v>29</v>
      </c>
      <c r="N1214" t="s">
        <v>42</v>
      </c>
      <c r="O1214" t="s">
        <v>31</v>
      </c>
      <c r="P1214">
        <v>5</v>
      </c>
      <c r="Q1214" t="s">
        <v>36</v>
      </c>
      <c r="R1214" t="s">
        <v>33</v>
      </c>
      <c r="S1214">
        <v>3</v>
      </c>
      <c r="T1214">
        <v>1</v>
      </c>
      <c r="U1214">
        <v>15</v>
      </c>
      <c r="V1214">
        <v>3</v>
      </c>
      <c r="W1214">
        <v>15</v>
      </c>
      <c r="X1214">
        <v>10</v>
      </c>
      <c r="Y1214">
        <v>4</v>
      </c>
      <c r="Z1214">
        <v>13</v>
      </c>
      <c r="AA1214" t="str">
        <f t="shared" si="98"/>
        <v>Long Tenure</v>
      </c>
      <c r="AB1214" s="5">
        <v>44877</v>
      </c>
      <c r="AC1214">
        <f t="shared" si="99"/>
        <v>0</v>
      </c>
      <c r="AD1214" t="s">
        <v>49</v>
      </c>
      <c r="AE1214">
        <f>VLOOKUP(A1214,'Employee Engagement Survey'!A1178:B2647,2,FALSE)</f>
        <v>2</v>
      </c>
      <c r="AF1214">
        <f>VLOOKUP(A1214,'Employee Engagement Survey'!A1178:C2647,3,FALSE)</f>
        <v>4</v>
      </c>
      <c r="AG1214">
        <f>VLOOKUP(A1214,'Employee Engagement Survey'!A1178:D2647,4,FALSE)</f>
        <v>3</v>
      </c>
      <c r="AH1214">
        <f>VLOOKUP(A1214,'Employee Engagement Survey'!A1178:E2647,5,FALSE)</f>
        <v>4</v>
      </c>
      <c r="AI1214">
        <f t="shared" si="97"/>
        <v>3.25</v>
      </c>
    </row>
    <row r="1215" spans="1:35" hidden="1" x14ac:dyDescent="0.4">
      <c r="A1215">
        <v>1697</v>
      </c>
      <c r="B1215" t="s">
        <v>34</v>
      </c>
      <c r="C1215">
        <f t="shared" si="100"/>
        <v>1</v>
      </c>
      <c r="D1215" t="s">
        <v>55</v>
      </c>
      <c r="E1215">
        <f t="shared" si="96"/>
        <v>0</v>
      </c>
      <c r="F1215" t="s">
        <v>28</v>
      </c>
      <c r="G1215">
        <v>10</v>
      </c>
      <c r="H1215" s="1">
        <v>142596</v>
      </c>
      <c r="I1215" s="10">
        <v>0.2</v>
      </c>
      <c r="J1215">
        <v>37.5</v>
      </c>
      <c r="K1215" t="s">
        <v>34</v>
      </c>
      <c r="L1215">
        <v>60</v>
      </c>
      <c r="M1215" t="s">
        <v>29</v>
      </c>
      <c r="N1215" t="s">
        <v>48</v>
      </c>
      <c r="O1215" t="s">
        <v>31</v>
      </c>
      <c r="P1215">
        <v>1</v>
      </c>
      <c r="Q1215" t="s">
        <v>51</v>
      </c>
      <c r="R1215" t="s">
        <v>33</v>
      </c>
      <c r="S1215">
        <v>4</v>
      </c>
      <c r="T1215">
        <v>1</v>
      </c>
      <c r="U1215">
        <v>19</v>
      </c>
      <c r="V1215">
        <v>2</v>
      </c>
      <c r="W1215">
        <v>1</v>
      </c>
      <c r="X1215">
        <v>0</v>
      </c>
      <c r="Y1215">
        <v>0</v>
      </c>
      <c r="Z1215">
        <v>0</v>
      </c>
      <c r="AA1215" t="str">
        <f t="shared" si="98"/>
        <v>Early Tenure</v>
      </c>
      <c r="AB1215" s="5">
        <v>44995</v>
      </c>
      <c r="AC1215">
        <f t="shared" si="99"/>
        <v>0</v>
      </c>
      <c r="AD1215" t="s">
        <v>49</v>
      </c>
      <c r="AE1215">
        <f>VLOOKUP(A1215,'Employee Engagement Survey'!A1179:B2648,2,FALSE)</f>
        <v>3</v>
      </c>
      <c r="AF1215">
        <f>VLOOKUP(A1215,'Employee Engagement Survey'!A1179:C2648,3,FALSE)</f>
        <v>4</v>
      </c>
      <c r="AG1215">
        <f>VLOOKUP(A1215,'Employee Engagement Survey'!A1179:D2648,4,FALSE)</f>
        <v>3</v>
      </c>
      <c r="AH1215">
        <f>VLOOKUP(A1215,'Employee Engagement Survey'!A1179:E2648,5,FALSE)</f>
        <v>4</v>
      </c>
      <c r="AI1215">
        <f t="shared" si="97"/>
        <v>3.5</v>
      </c>
    </row>
    <row r="1216" spans="1:35" hidden="1" x14ac:dyDescent="0.4">
      <c r="A1216">
        <v>1698</v>
      </c>
      <c r="B1216" t="s">
        <v>34</v>
      </c>
      <c r="C1216">
        <f t="shared" si="100"/>
        <v>1</v>
      </c>
      <c r="D1216" t="s">
        <v>46</v>
      </c>
      <c r="E1216">
        <f t="shared" si="96"/>
        <v>0</v>
      </c>
      <c r="F1216" t="s">
        <v>28</v>
      </c>
      <c r="G1216">
        <v>3</v>
      </c>
      <c r="H1216" s="1">
        <v>48336</v>
      </c>
      <c r="I1216" s="10">
        <v>0.18</v>
      </c>
      <c r="J1216">
        <v>37.5</v>
      </c>
      <c r="K1216" t="s">
        <v>34</v>
      </c>
      <c r="L1216">
        <v>33</v>
      </c>
      <c r="M1216" t="s">
        <v>29</v>
      </c>
      <c r="N1216" t="s">
        <v>42</v>
      </c>
      <c r="O1216" t="s">
        <v>31</v>
      </c>
      <c r="P1216">
        <v>21</v>
      </c>
      <c r="Q1216" t="s">
        <v>43</v>
      </c>
      <c r="R1216" t="s">
        <v>33</v>
      </c>
      <c r="S1216">
        <v>3</v>
      </c>
      <c r="T1216">
        <v>3</v>
      </c>
      <c r="U1216">
        <v>14</v>
      </c>
      <c r="V1216">
        <v>6</v>
      </c>
      <c r="W1216">
        <v>14</v>
      </c>
      <c r="X1216">
        <v>11</v>
      </c>
      <c r="Y1216">
        <v>2</v>
      </c>
      <c r="Z1216">
        <v>13</v>
      </c>
      <c r="AA1216" t="str">
        <f t="shared" si="98"/>
        <v>Long Tenure</v>
      </c>
      <c r="AB1216" s="5">
        <v>44997</v>
      </c>
      <c r="AC1216">
        <f t="shared" si="99"/>
        <v>0</v>
      </c>
      <c r="AD1216" t="s">
        <v>49</v>
      </c>
      <c r="AE1216">
        <f>VLOOKUP(A1216,'Employee Engagement Survey'!A1180:B2649,2,FALSE)</f>
        <v>2</v>
      </c>
      <c r="AF1216">
        <f>VLOOKUP(A1216,'Employee Engagement Survey'!A1180:C2649,3,FALSE)</f>
        <v>2</v>
      </c>
      <c r="AG1216">
        <f>VLOOKUP(A1216,'Employee Engagement Survey'!A1180:D2649,4,FALSE)</f>
        <v>4</v>
      </c>
      <c r="AH1216">
        <f>VLOOKUP(A1216,'Employee Engagement Survey'!A1180:E2649,5,FALSE)</f>
        <v>3</v>
      </c>
      <c r="AI1216">
        <f t="shared" si="97"/>
        <v>2.75</v>
      </c>
    </row>
    <row r="1217" spans="1:35" hidden="1" x14ac:dyDescent="0.4">
      <c r="A1217">
        <v>1700</v>
      </c>
      <c r="B1217" t="s">
        <v>34</v>
      </c>
      <c r="C1217">
        <f t="shared" si="100"/>
        <v>1</v>
      </c>
      <c r="D1217" t="s">
        <v>57</v>
      </c>
      <c r="E1217">
        <f t="shared" si="96"/>
        <v>0</v>
      </c>
      <c r="F1217" t="s">
        <v>40</v>
      </c>
      <c r="G1217">
        <v>9</v>
      </c>
      <c r="H1217" s="1">
        <v>126300</v>
      </c>
      <c r="I1217" s="10">
        <v>0.14000000000000001</v>
      </c>
      <c r="J1217">
        <v>37.5</v>
      </c>
      <c r="K1217" t="s">
        <v>34</v>
      </c>
      <c r="L1217">
        <v>37</v>
      </c>
      <c r="M1217" t="s">
        <v>29</v>
      </c>
      <c r="N1217" t="s">
        <v>48</v>
      </c>
      <c r="O1217" t="s">
        <v>44</v>
      </c>
      <c r="P1217">
        <v>1</v>
      </c>
      <c r="Q1217" t="s">
        <v>51</v>
      </c>
      <c r="R1217" t="s">
        <v>33</v>
      </c>
      <c r="S1217">
        <v>3</v>
      </c>
      <c r="T1217">
        <v>2</v>
      </c>
      <c r="U1217">
        <v>6</v>
      </c>
      <c r="V1217">
        <v>2</v>
      </c>
      <c r="W1217">
        <v>6</v>
      </c>
      <c r="X1217">
        <v>3</v>
      </c>
      <c r="Y1217">
        <v>1</v>
      </c>
      <c r="Z1217">
        <v>3</v>
      </c>
      <c r="AA1217" t="str">
        <f t="shared" si="98"/>
        <v>Mid Tenure</v>
      </c>
      <c r="AB1217" s="5">
        <v>45992</v>
      </c>
      <c r="AC1217">
        <f t="shared" si="99"/>
        <v>1</v>
      </c>
      <c r="AD1217" t="s">
        <v>38</v>
      </c>
      <c r="AE1217">
        <f>VLOOKUP(A1217,'Employee Engagement Survey'!A1181:B2650,2,FALSE)</f>
        <v>3</v>
      </c>
      <c r="AF1217">
        <f>VLOOKUP(A1217,'Employee Engagement Survey'!A1181:C2650,3,FALSE)</f>
        <v>4</v>
      </c>
      <c r="AG1217">
        <f>VLOOKUP(A1217,'Employee Engagement Survey'!A1181:D2650,4,FALSE)</f>
        <v>3</v>
      </c>
      <c r="AH1217">
        <f>VLOOKUP(A1217,'Employee Engagement Survey'!A1181:E2650,5,FALSE)</f>
        <v>2</v>
      </c>
      <c r="AI1217">
        <f t="shared" si="97"/>
        <v>3</v>
      </c>
    </row>
    <row r="1218" spans="1:35" hidden="1" x14ac:dyDescent="0.4">
      <c r="A1218">
        <v>1704</v>
      </c>
      <c r="B1218" t="s">
        <v>34</v>
      </c>
      <c r="C1218">
        <f t="shared" si="100"/>
        <v>1</v>
      </c>
      <c r="D1218" t="s">
        <v>27</v>
      </c>
      <c r="E1218">
        <f t="shared" ref="E1218:E1281" si="101">IF(OR(D1218="Manager, HR", D1218="Manager, Sales", D1218="Manager, R&amp;D", D1218="Manufacturing Director",D1218="Research Director", D1218="VP, HR", D1218="CEO"),1,0)</f>
        <v>0</v>
      </c>
      <c r="F1218" t="s">
        <v>28</v>
      </c>
      <c r="G1218">
        <v>7</v>
      </c>
      <c r="H1218" s="1">
        <v>71160</v>
      </c>
      <c r="I1218" s="10">
        <v>0.14000000000000001</v>
      </c>
      <c r="J1218">
        <v>37.5</v>
      </c>
      <c r="K1218" t="s">
        <v>26</v>
      </c>
      <c r="L1218">
        <v>35</v>
      </c>
      <c r="M1218" t="s">
        <v>29</v>
      </c>
      <c r="N1218" t="s">
        <v>30</v>
      </c>
      <c r="O1218" t="s">
        <v>44</v>
      </c>
      <c r="P1218">
        <v>2</v>
      </c>
      <c r="Q1218" t="s">
        <v>51</v>
      </c>
      <c r="R1218" t="s">
        <v>33</v>
      </c>
      <c r="S1218">
        <v>3</v>
      </c>
      <c r="T1218">
        <v>0</v>
      </c>
      <c r="U1218">
        <v>6</v>
      </c>
      <c r="V1218">
        <v>2</v>
      </c>
      <c r="W1218">
        <v>5</v>
      </c>
      <c r="X1218">
        <v>4</v>
      </c>
      <c r="Y1218">
        <v>1</v>
      </c>
      <c r="Z1218">
        <v>4</v>
      </c>
      <c r="AA1218" t="str">
        <f t="shared" si="98"/>
        <v>Mid Tenure</v>
      </c>
      <c r="AB1218" s="5">
        <v>45307</v>
      </c>
      <c r="AC1218">
        <f t="shared" si="99"/>
        <v>1</v>
      </c>
      <c r="AD1218" t="s">
        <v>38</v>
      </c>
      <c r="AE1218">
        <f>VLOOKUP(A1218,'Employee Engagement Survey'!A1184:B2653,2,FALSE)</f>
        <v>1</v>
      </c>
      <c r="AF1218">
        <f>VLOOKUP(A1218,'Employee Engagement Survey'!A1184:C2653,3,FALSE)</f>
        <v>4</v>
      </c>
      <c r="AG1218">
        <f>VLOOKUP(A1218,'Employee Engagement Survey'!A1184:D2653,4,FALSE)</f>
        <v>3</v>
      </c>
      <c r="AH1218">
        <f>VLOOKUP(A1218,'Employee Engagement Survey'!A1184:E2653,5,FALSE)</f>
        <v>4</v>
      </c>
      <c r="AI1218">
        <f t="shared" ref="AI1218:AI1281" si="102">AVERAGE(AE1218:AH1218)</f>
        <v>3</v>
      </c>
    </row>
    <row r="1219" spans="1:35" hidden="1" x14ac:dyDescent="0.4">
      <c r="A1219">
        <v>20</v>
      </c>
      <c r="B1219" t="s">
        <v>34</v>
      </c>
      <c r="C1219">
        <f t="shared" si="100"/>
        <v>1</v>
      </c>
      <c r="D1219" t="s">
        <v>54</v>
      </c>
      <c r="E1219">
        <f t="shared" si="101"/>
        <v>1</v>
      </c>
      <c r="F1219" t="s">
        <v>28</v>
      </c>
      <c r="G1219">
        <v>9</v>
      </c>
      <c r="H1219" s="1">
        <v>131760</v>
      </c>
      <c r="I1219" s="10">
        <v>0.11</v>
      </c>
      <c r="J1219">
        <v>37.5</v>
      </c>
      <c r="K1219" t="s">
        <v>34</v>
      </c>
      <c r="L1219">
        <v>29</v>
      </c>
      <c r="M1219" t="s">
        <v>47</v>
      </c>
      <c r="N1219" t="s">
        <v>48</v>
      </c>
      <c r="O1219" t="s">
        <v>31</v>
      </c>
      <c r="P1219">
        <v>21</v>
      </c>
      <c r="Q1219" t="s">
        <v>51</v>
      </c>
      <c r="R1219" t="s">
        <v>37</v>
      </c>
      <c r="S1219">
        <v>3</v>
      </c>
      <c r="T1219">
        <v>1</v>
      </c>
      <c r="U1219">
        <v>10</v>
      </c>
      <c r="V1219">
        <v>1</v>
      </c>
      <c r="W1219">
        <v>10</v>
      </c>
      <c r="X1219">
        <v>9</v>
      </c>
      <c r="Y1219">
        <v>8</v>
      </c>
      <c r="Z1219">
        <v>8</v>
      </c>
      <c r="AA1219" t="str">
        <f t="shared" ref="AA1219:AA1282" si="103">IF(W1219&lt;=2,"Early Tenure",IF(W1219&lt;=9,"Mid Tenure","Long Tenure"))</f>
        <v>Long Tenure</v>
      </c>
      <c r="AB1219" s="5">
        <v>45660</v>
      </c>
      <c r="AC1219">
        <f t="shared" ref="AC1219:AC1282" si="104">IF(AND(AB1219&lt;&gt;"",AB1219&gt;DATE(2024,1,1)),1,0)</f>
        <v>1</v>
      </c>
      <c r="AD1219" t="s">
        <v>38</v>
      </c>
      <c r="AE1219">
        <f>VLOOKUP(A1219,'Employee Engagement Survey'!A1185:B2654,2,FALSE)</f>
        <v>2</v>
      </c>
      <c r="AF1219">
        <f>VLOOKUP(A1219,'Employee Engagement Survey'!A1185:C2654,3,FALSE)</f>
        <v>1</v>
      </c>
      <c r="AG1219">
        <f>VLOOKUP(A1219,'Employee Engagement Survey'!A1185:D2654,4,FALSE)</f>
        <v>3</v>
      </c>
      <c r="AH1219">
        <f>VLOOKUP(A1219,'Employee Engagement Survey'!A1185:E2654,5,FALSE)</f>
        <v>3</v>
      </c>
      <c r="AI1219">
        <f t="shared" si="102"/>
        <v>2.25</v>
      </c>
    </row>
    <row r="1220" spans="1:35" hidden="1" x14ac:dyDescent="0.4">
      <c r="A1220">
        <v>1706</v>
      </c>
      <c r="B1220" t="s">
        <v>34</v>
      </c>
      <c r="C1220">
        <f t="shared" si="100"/>
        <v>1</v>
      </c>
      <c r="D1220" t="s">
        <v>57</v>
      </c>
      <c r="E1220">
        <f t="shared" si="101"/>
        <v>0</v>
      </c>
      <c r="F1220" t="s">
        <v>40</v>
      </c>
      <c r="G1220">
        <v>9</v>
      </c>
      <c r="H1220" s="1">
        <v>106164</v>
      </c>
      <c r="I1220" s="10">
        <v>0.17</v>
      </c>
      <c r="J1220">
        <v>37.5</v>
      </c>
      <c r="K1220" t="s">
        <v>26</v>
      </c>
      <c r="L1220">
        <v>43</v>
      </c>
      <c r="M1220" t="s">
        <v>29</v>
      </c>
      <c r="N1220" t="s">
        <v>42</v>
      </c>
      <c r="O1220" t="s">
        <v>31</v>
      </c>
      <c r="P1220">
        <v>2</v>
      </c>
      <c r="Q1220" t="s">
        <v>43</v>
      </c>
      <c r="R1220" t="s">
        <v>33</v>
      </c>
      <c r="S1220">
        <v>3</v>
      </c>
      <c r="T1220">
        <v>1</v>
      </c>
      <c r="U1220">
        <v>10</v>
      </c>
      <c r="V1220">
        <v>3</v>
      </c>
      <c r="W1220">
        <v>10</v>
      </c>
      <c r="X1220">
        <v>9</v>
      </c>
      <c r="Y1220">
        <v>8</v>
      </c>
      <c r="Z1220">
        <v>8</v>
      </c>
      <c r="AA1220" t="str">
        <f t="shared" si="103"/>
        <v>Long Tenure</v>
      </c>
      <c r="AB1220" s="5">
        <v>45866</v>
      </c>
      <c r="AC1220">
        <f t="shared" si="104"/>
        <v>1</v>
      </c>
      <c r="AD1220" t="s">
        <v>38</v>
      </c>
      <c r="AE1220">
        <f>VLOOKUP(A1220,'Employee Engagement Survey'!A1186:B2655,2,FALSE)</f>
        <v>4</v>
      </c>
      <c r="AF1220">
        <f>VLOOKUP(A1220,'Employee Engagement Survey'!A1186:C2655,3,FALSE)</f>
        <v>4</v>
      </c>
      <c r="AG1220">
        <f>VLOOKUP(A1220,'Employee Engagement Survey'!A1186:D2655,4,FALSE)</f>
        <v>1</v>
      </c>
      <c r="AH1220">
        <f>VLOOKUP(A1220,'Employee Engagement Survey'!A1186:E2655,5,FALSE)</f>
        <v>3</v>
      </c>
      <c r="AI1220">
        <f t="shared" si="102"/>
        <v>3</v>
      </c>
    </row>
    <row r="1221" spans="1:35" hidden="1" x14ac:dyDescent="0.4">
      <c r="A1221">
        <v>293</v>
      </c>
      <c r="B1221" t="s">
        <v>34</v>
      </c>
      <c r="C1221">
        <f t="shared" si="100"/>
        <v>1</v>
      </c>
      <c r="D1221" t="s">
        <v>57</v>
      </c>
      <c r="E1221">
        <f t="shared" si="101"/>
        <v>0</v>
      </c>
      <c r="F1221" t="s">
        <v>40</v>
      </c>
      <c r="G1221">
        <v>9</v>
      </c>
      <c r="H1221" s="1">
        <v>131772</v>
      </c>
      <c r="I1221" s="10">
        <v>0.14000000000000001</v>
      </c>
      <c r="J1221">
        <v>37.5</v>
      </c>
      <c r="K1221" t="s">
        <v>34</v>
      </c>
      <c r="L1221">
        <v>27</v>
      </c>
      <c r="M1221" t="s">
        <v>47</v>
      </c>
      <c r="N1221" t="s">
        <v>30</v>
      </c>
      <c r="O1221" t="s">
        <v>44</v>
      </c>
      <c r="P1221">
        <v>20</v>
      </c>
      <c r="Q1221" t="s">
        <v>43</v>
      </c>
      <c r="R1221" t="s">
        <v>37</v>
      </c>
      <c r="S1221">
        <v>3</v>
      </c>
      <c r="T1221">
        <v>0</v>
      </c>
      <c r="U1221">
        <v>7</v>
      </c>
      <c r="V1221">
        <v>2</v>
      </c>
      <c r="W1221">
        <v>7</v>
      </c>
      <c r="X1221">
        <v>7</v>
      </c>
      <c r="Y1221">
        <v>0</v>
      </c>
      <c r="Z1221">
        <v>7</v>
      </c>
      <c r="AA1221" t="str">
        <f t="shared" si="103"/>
        <v>Mid Tenure</v>
      </c>
      <c r="AB1221" s="5">
        <v>45095</v>
      </c>
      <c r="AC1221">
        <f t="shared" si="104"/>
        <v>0</v>
      </c>
      <c r="AD1221" t="s">
        <v>38</v>
      </c>
      <c r="AE1221">
        <f>VLOOKUP(A1221,'Employee Engagement Survey'!A1187:B2656,2,FALSE)</f>
        <v>4</v>
      </c>
      <c r="AF1221">
        <f>VLOOKUP(A1221,'Employee Engagement Survey'!A1187:C2656,3,FALSE)</f>
        <v>3</v>
      </c>
      <c r="AG1221">
        <f>VLOOKUP(A1221,'Employee Engagement Survey'!A1187:D2656,4,FALSE)</f>
        <v>4</v>
      </c>
      <c r="AH1221">
        <f>VLOOKUP(A1221,'Employee Engagement Survey'!A1187:E2656,5,FALSE)</f>
        <v>3</v>
      </c>
      <c r="AI1221">
        <f t="shared" si="102"/>
        <v>3.5</v>
      </c>
    </row>
    <row r="1222" spans="1:35" hidden="1" x14ac:dyDescent="0.4">
      <c r="A1222">
        <v>451</v>
      </c>
      <c r="B1222" t="s">
        <v>34</v>
      </c>
      <c r="C1222">
        <f t="shared" si="100"/>
        <v>1</v>
      </c>
      <c r="D1222" t="s">
        <v>55</v>
      </c>
      <c r="E1222">
        <f t="shared" si="101"/>
        <v>0</v>
      </c>
      <c r="F1222" t="s">
        <v>28</v>
      </c>
      <c r="G1222">
        <v>9</v>
      </c>
      <c r="H1222" s="1">
        <v>131820</v>
      </c>
      <c r="I1222" s="10">
        <v>0.16</v>
      </c>
      <c r="J1222">
        <v>37.5</v>
      </c>
      <c r="K1222" t="s">
        <v>34</v>
      </c>
      <c r="L1222">
        <v>43</v>
      </c>
      <c r="M1222" t="s">
        <v>47</v>
      </c>
      <c r="N1222" t="s">
        <v>42</v>
      </c>
      <c r="O1222" t="s">
        <v>31</v>
      </c>
      <c r="P1222">
        <v>7</v>
      </c>
      <c r="Q1222" t="s">
        <v>43</v>
      </c>
      <c r="R1222" t="s">
        <v>37</v>
      </c>
      <c r="S1222">
        <v>3</v>
      </c>
      <c r="T1222">
        <v>1</v>
      </c>
      <c r="U1222">
        <v>10</v>
      </c>
      <c r="V1222">
        <v>1</v>
      </c>
      <c r="W1222">
        <v>1</v>
      </c>
      <c r="X1222">
        <v>0</v>
      </c>
      <c r="Y1222">
        <v>0</v>
      </c>
      <c r="Z1222">
        <v>0</v>
      </c>
      <c r="AA1222" t="str">
        <f t="shared" si="103"/>
        <v>Early Tenure</v>
      </c>
      <c r="AB1222" s="5">
        <v>45793</v>
      </c>
      <c r="AC1222">
        <f t="shared" si="104"/>
        <v>1</v>
      </c>
      <c r="AD1222" t="s">
        <v>38</v>
      </c>
      <c r="AE1222">
        <f>VLOOKUP(A1222,'Employee Engagement Survey'!A1188:B2657,2,FALSE)</f>
        <v>3</v>
      </c>
      <c r="AF1222">
        <f>VLOOKUP(A1222,'Employee Engagement Survey'!A1188:C2657,3,FALSE)</f>
        <v>1</v>
      </c>
      <c r="AG1222">
        <f>VLOOKUP(A1222,'Employee Engagement Survey'!A1188:D2657,4,FALSE)</f>
        <v>1</v>
      </c>
      <c r="AH1222">
        <f>VLOOKUP(A1222,'Employee Engagement Survey'!A1188:E2657,5,FALSE)</f>
        <v>2</v>
      </c>
      <c r="AI1222">
        <f t="shared" si="102"/>
        <v>1.75</v>
      </c>
    </row>
    <row r="1223" spans="1:35" hidden="1" x14ac:dyDescent="0.4">
      <c r="A1223">
        <v>1707</v>
      </c>
      <c r="B1223" t="s">
        <v>34</v>
      </c>
      <c r="C1223">
        <f t="shared" si="100"/>
        <v>1</v>
      </c>
      <c r="D1223" t="s">
        <v>27</v>
      </c>
      <c r="E1223">
        <f t="shared" si="101"/>
        <v>0</v>
      </c>
      <c r="F1223" t="s">
        <v>28</v>
      </c>
      <c r="G1223">
        <v>6</v>
      </c>
      <c r="H1223" s="1">
        <v>64812</v>
      </c>
      <c r="I1223" s="10">
        <v>0.16</v>
      </c>
      <c r="J1223">
        <v>37.5</v>
      </c>
      <c r="K1223" t="s">
        <v>34</v>
      </c>
      <c r="L1223">
        <v>24</v>
      </c>
      <c r="M1223" t="s">
        <v>29</v>
      </c>
      <c r="N1223" t="s">
        <v>42</v>
      </c>
      <c r="O1223" t="s">
        <v>31</v>
      </c>
      <c r="P1223">
        <v>9</v>
      </c>
      <c r="Q1223" t="s">
        <v>43</v>
      </c>
      <c r="R1223" t="s">
        <v>33</v>
      </c>
      <c r="S1223">
        <v>3</v>
      </c>
      <c r="T1223">
        <v>1</v>
      </c>
      <c r="U1223">
        <v>5</v>
      </c>
      <c r="V1223">
        <v>1</v>
      </c>
      <c r="W1223">
        <v>5</v>
      </c>
      <c r="X1223">
        <v>3</v>
      </c>
      <c r="Y1223">
        <v>0</v>
      </c>
      <c r="Z1223">
        <v>4</v>
      </c>
      <c r="AA1223" t="str">
        <f t="shared" si="103"/>
        <v>Mid Tenure</v>
      </c>
      <c r="AB1223" s="5">
        <v>46014</v>
      </c>
      <c r="AC1223">
        <f t="shared" si="104"/>
        <v>1</v>
      </c>
      <c r="AD1223" t="s">
        <v>49</v>
      </c>
      <c r="AE1223">
        <f>VLOOKUP(A1223,'Employee Engagement Survey'!A1189:B2658,2,FALSE)</f>
        <v>3</v>
      </c>
      <c r="AF1223">
        <f>VLOOKUP(A1223,'Employee Engagement Survey'!A1189:C2658,3,FALSE)</f>
        <v>3</v>
      </c>
      <c r="AG1223">
        <f>VLOOKUP(A1223,'Employee Engagement Survey'!A1189:D2658,4,FALSE)</f>
        <v>4</v>
      </c>
      <c r="AH1223">
        <f>VLOOKUP(A1223,'Employee Engagement Survey'!A1189:E2658,5,FALSE)</f>
        <v>3</v>
      </c>
      <c r="AI1223">
        <f t="shared" si="102"/>
        <v>3.25</v>
      </c>
    </row>
    <row r="1224" spans="1:35" hidden="1" x14ac:dyDescent="0.4">
      <c r="A1224">
        <v>1708</v>
      </c>
      <c r="B1224" t="s">
        <v>34</v>
      </c>
      <c r="C1224">
        <f t="shared" si="100"/>
        <v>1</v>
      </c>
      <c r="D1224" t="s">
        <v>57</v>
      </c>
      <c r="E1224">
        <f t="shared" si="101"/>
        <v>0</v>
      </c>
      <c r="F1224" t="s">
        <v>40</v>
      </c>
      <c r="G1224">
        <v>9</v>
      </c>
      <c r="H1224" s="1">
        <v>122892</v>
      </c>
      <c r="I1224" s="10">
        <v>0.12</v>
      </c>
      <c r="J1224">
        <v>37.5</v>
      </c>
      <c r="K1224" t="s">
        <v>34</v>
      </c>
      <c r="L1224">
        <v>41</v>
      </c>
      <c r="M1224" t="s">
        <v>29</v>
      </c>
      <c r="N1224" t="s">
        <v>30</v>
      </c>
      <c r="O1224" t="s">
        <v>31</v>
      </c>
      <c r="P1224">
        <v>6</v>
      </c>
      <c r="Q1224" t="s">
        <v>43</v>
      </c>
      <c r="R1224" t="s">
        <v>56</v>
      </c>
      <c r="S1224">
        <v>3</v>
      </c>
      <c r="T1224">
        <v>0</v>
      </c>
      <c r="U1224">
        <v>10</v>
      </c>
      <c r="V1224">
        <v>3</v>
      </c>
      <c r="W1224">
        <v>10</v>
      </c>
      <c r="X1224">
        <v>8</v>
      </c>
      <c r="Y1224">
        <v>8</v>
      </c>
      <c r="Z1224">
        <v>7</v>
      </c>
      <c r="AA1224" t="str">
        <f t="shared" si="103"/>
        <v>Long Tenure</v>
      </c>
      <c r="AB1224" s="5">
        <v>45808</v>
      </c>
      <c r="AC1224">
        <f t="shared" si="104"/>
        <v>1</v>
      </c>
      <c r="AD1224" t="s">
        <v>38</v>
      </c>
      <c r="AE1224">
        <f>VLOOKUP(A1224,'Employee Engagement Survey'!A1190:B2659,2,FALSE)</f>
        <v>4</v>
      </c>
      <c r="AF1224">
        <f>VLOOKUP(A1224,'Employee Engagement Survey'!A1190:C2659,3,FALSE)</f>
        <v>3</v>
      </c>
      <c r="AG1224">
        <f>VLOOKUP(A1224,'Employee Engagement Survey'!A1190:D2659,4,FALSE)</f>
        <v>2</v>
      </c>
      <c r="AH1224">
        <f>VLOOKUP(A1224,'Employee Engagement Survey'!A1190:E2659,5,FALSE)</f>
        <v>3</v>
      </c>
      <c r="AI1224">
        <f t="shared" si="102"/>
        <v>3</v>
      </c>
    </row>
    <row r="1225" spans="1:35" hidden="1" x14ac:dyDescent="0.4">
      <c r="A1225">
        <v>1712</v>
      </c>
      <c r="B1225" t="s">
        <v>34</v>
      </c>
      <c r="C1225">
        <f t="shared" si="100"/>
        <v>1</v>
      </c>
      <c r="D1225" t="s">
        <v>55</v>
      </c>
      <c r="E1225">
        <f t="shared" si="101"/>
        <v>0</v>
      </c>
      <c r="F1225" t="s">
        <v>28</v>
      </c>
      <c r="G1225">
        <v>10</v>
      </c>
      <c r="H1225" s="1">
        <v>140976</v>
      </c>
      <c r="I1225" s="10">
        <v>0.23</v>
      </c>
      <c r="J1225">
        <v>37.5</v>
      </c>
      <c r="K1225" t="s">
        <v>34</v>
      </c>
      <c r="L1225">
        <v>45</v>
      </c>
      <c r="M1225" t="s">
        <v>29</v>
      </c>
      <c r="N1225" t="s">
        <v>42</v>
      </c>
      <c r="O1225" t="s">
        <v>35</v>
      </c>
      <c r="P1225">
        <v>1</v>
      </c>
      <c r="Q1225" t="s">
        <v>32</v>
      </c>
      <c r="R1225" t="s">
        <v>37</v>
      </c>
      <c r="S1225">
        <v>4</v>
      </c>
      <c r="T1225">
        <v>1</v>
      </c>
      <c r="U1225">
        <v>25</v>
      </c>
      <c r="V1225">
        <v>3</v>
      </c>
      <c r="W1225">
        <v>23</v>
      </c>
      <c r="X1225">
        <v>15</v>
      </c>
      <c r="Y1225">
        <v>14</v>
      </c>
      <c r="Z1225">
        <v>4</v>
      </c>
      <c r="AA1225" t="str">
        <f t="shared" si="103"/>
        <v>Long Tenure</v>
      </c>
      <c r="AB1225" s="5">
        <v>45143</v>
      </c>
      <c r="AC1225">
        <f t="shared" si="104"/>
        <v>0</v>
      </c>
      <c r="AD1225" t="s">
        <v>38</v>
      </c>
      <c r="AE1225">
        <f>VLOOKUP(A1225,'Employee Engagement Survey'!A1192:B2661,2,FALSE)</f>
        <v>3</v>
      </c>
      <c r="AF1225">
        <f>VLOOKUP(A1225,'Employee Engagement Survey'!A1192:C2661,3,FALSE)</f>
        <v>3</v>
      </c>
      <c r="AG1225">
        <f>VLOOKUP(A1225,'Employee Engagement Survey'!A1192:D2661,4,FALSE)</f>
        <v>4</v>
      </c>
      <c r="AH1225">
        <f>VLOOKUP(A1225,'Employee Engagement Survey'!A1192:E2661,5,FALSE)</f>
        <v>2</v>
      </c>
      <c r="AI1225">
        <f t="shared" si="102"/>
        <v>3</v>
      </c>
    </row>
    <row r="1226" spans="1:35" hidden="1" x14ac:dyDescent="0.4">
      <c r="A1226">
        <v>83</v>
      </c>
      <c r="B1226" t="s">
        <v>34</v>
      </c>
      <c r="C1226">
        <f t="shared" si="100"/>
        <v>1</v>
      </c>
      <c r="D1226" t="s">
        <v>55</v>
      </c>
      <c r="E1226">
        <f t="shared" si="101"/>
        <v>0</v>
      </c>
      <c r="F1226" t="s">
        <v>28</v>
      </c>
      <c r="G1226">
        <v>9</v>
      </c>
      <c r="H1226" s="1">
        <v>133152</v>
      </c>
      <c r="I1226" s="10">
        <v>0.13</v>
      </c>
      <c r="J1226">
        <v>37.5</v>
      </c>
      <c r="K1226" t="s">
        <v>34</v>
      </c>
      <c r="L1226">
        <v>36</v>
      </c>
      <c r="M1226" t="s">
        <v>47</v>
      </c>
      <c r="N1226" t="s">
        <v>48</v>
      </c>
      <c r="O1226" t="s">
        <v>31</v>
      </c>
      <c r="P1226">
        <v>8</v>
      </c>
      <c r="Q1226" t="s">
        <v>43</v>
      </c>
      <c r="R1226" t="s">
        <v>45</v>
      </c>
      <c r="S1226">
        <v>3</v>
      </c>
      <c r="T1226">
        <v>3</v>
      </c>
      <c r="U1226">
        <v>17</v>
      </c>
      <c r="V1226">
        <v>2</v>
      </c>
      <c r="W1226">
        <v>17</v>
      </c>
      <c r="X1226">
        <v>14</v>
      </c>
      <c r="Y1226">
        <v>12</v>
      </c>
      <c r="Z1226">
        <v>8</v>
      </c>
      <c r="AA1226" t="str">
        <f t="shared" si="103"/>
        <v>Long Tenure</v>
      </c>
      <c r="AB1226" s="5">
        <v>44809</v>
      </c>
      <c r="AC1226">
        <f t="shared" si="104"/>
        <v>0</v>
      </c>
      <c r="AD1226" t="s">
        <v>49</v>
      </c>
      <c r="AE1226">
        <f>VLOOKUP(A1226,'Employee Engagement Survey'!A1193:B2662,2,FALSE)</f>
        <v>3</v>
      </c>
      <c r="AF1226">
        <f>VLOOKUP(A1226,'Employee Engagement Survey'!A1193:C2662,3,FALSE)</f>
        <v>3</v>
      </c>
      <c r="AG1226">
        <f>VLOOKUP(A1226,'Employee Engagement Survey'!A1193:D2662,4,FALSE)</f>
        <v>2</v>
      </c>
      <c r="AH1226">
        <f>VLOOKUP(A1226,'Employee Engagement Survey'!A1193:E2662,5,FALSE)</f>
        <v>3</v>
      </c>
      <c r="AI1226">
        <f t="shared" si="102"/>
        <v>2.75</v>
      </c>
    </row>
    <row r="1227" spans="1:35" hidden="1" x14ac:dyDescent="0.4">
      <c r="A1227">
        <v>1718</v>
      </c>
      <c r="B1227" t="s">
        <v>34</v>
      </c>
      <c r="C1227">
        <f t="shared" si="100"/>
        <v>1</v>
      </c>
      <c r="D1227" t="s">
        <v>46</v>
      </c>
      <c r="E1227">
        <f t="shared" si="101"/>
        <v>0</v>
      </c>
      <c r="F1227" t="s">
        <v>28</v>
      </c>
      <c r="G1227">
        <v>4</v>
      </c>
      <c r="H1227" s="1">
        <v>51660</v>
      </c>
      <c r="I1227" s="10">
        <v>0.15</v>
      </c>
      <c r="J1227">
        <v>37.5</v>
      </c>
      <c r="K1227" t="s">
        <v>34</v>
      </c>
      <c r="L1227">
        <v>26</v>
      </c>
      <c r="M1227" t="s">
        <v>29</v>
      </c>
      <c r="N1227" t="s">
        <v>42</v>
      </c>
      <c r="O1227" t="s">
        <v>31</v>
      </c>
      <c r="P1227">
        <v>17</v>
      </c>
      <c r="Q1227" t="s">
        <v>51</v>
      </c>
      <c r="R1227" t="s">
        <v>33</v>
      </c>
      <c r="S1227">
        <v>3</v>
      </c>
      <c r="T1227">
        <v>3</v>
      </c>
      <c r="U1227">
        <v>3</v>
      </c>
      <c r="V1227">
        <v>3</v>
      </c>
      <c r="W1227">
        <v>3</v>
      </c>
      <c r="X1227">
        <v>2</v>
      </c>
      <c r="Y1227">
        <v>0</v>
      </c>
      <c r="Z1227">
        <v>2</v>
      </c>
      <c r="AA1227" t="str">
        <f t="shared" si="103"/>
        <v>Mid Tenure</v>
      </c>
      <c r="AB1227" s="5">
        <v>44671</v>
      </c>
      <c r="AC1227">
        <f t="shared" si="104"/>
        <v>0</v>
      </c>
      <c r="AD1227" t="s">
        <v>38</v>
      </c>
      <c r="AE1227">
        <f>VLOOKUP(A1227,'Employee Engagement Survey'!A1197:B2666,2,FALSE)</f>
        <v>4</v>
      </c>
      <c r="AF1227">
        <f>VLOOKUP(A1227,'Employee Engagement Survey'!A1197:C2666,3,FALSE)</f>
        <v>3</v>
      </c>
      <c r="AG1227">
        <f>VLOOKUP(A1227,'Employee Engagement Survey'!A1197:D2666,4,FALSE)</f>
        <v>3</v>
      </c>
      <c r="AH1227">
        <f>VLOOKUP(A1227,'Employee Engagement Survey'!A1197:E2666,5,FALSE)</f>
        <v>4</v>
      </c>
      <c r="AI1227">
        <f t="shared" si="102"/>
        <v>3.5</v>
      </c>
    </row>
    <row r="1228" spans="1:35" hidden="1" x14ac:dyDescent="0.4">
      <c r="A1228">
        <v>1720</v>
      </c>
      <c r="B1228" t="s">
        <v>34</v>
      </c>
      <c r="C1228">
        <f t="shared" si="100"/>
        <v>1</v>
      </c>
      <c r="D1228" t="s">
        <v>27</v>
      </c>
      <c r="E1228">
        <f t="shared" si="101"/>
        <v>0</v>
      </c>
      <c r="F1228" t="s">
        <v>28</v>
      </c>
      <c r="G1228">
        <v>6</v>
      </c>
      <c r="H1228" s="1">
        <v>65196</v>
      </c>
      <c r="I1228" s="10">
        <v>0.13</v>
      </c>
      <c r="J1228">
        <v>37.5</v>
      </c>
      <c r="K1228" t="s">
        <v>34</v>
      </c>
      <c r="L1228">
        <v>32</v>
      </c>
      <c r="M1228" t="s">
        <v>29</v>
      </c>
      <c r="N1228" t="s">
        <v>42</v>
      </c>
      <c r="O1228" t="s">
        <v>44</v>
      </c>
      <c r="P1228">
        <v>10</v>
      </c>
      <c r="Q1228" t="s">
        <v>43</v>
      </c>
      <c r="R1228" t="s">
        <v>37</v>
      </c>
      <c r="S1228">
        <v>3</v>
      </c>
      <c r="T1228">
        <v>1</v>
      </c>
      <c r="U1228">
        <v>10</v>
      </c>
      <c r="V1228">
        <v>3</v>
      </c>
      <c r="W1228">
        <v>5</v>
      </c>
      <c r="X1228">
        <v>2</v>
      </c>
      <c r="Y1228">
        <v>1</v>
      </c>
      <c r="Z1228">
        <v>3</v>
      </c>
      <c r="AA1228" t="str">
        <f t="shared" si="103"/>
        <v>Mid Tenure</v>
      </c>
      <c r="AB1228" s="5">
        <v>46005</v>
      </c>
      <c r="AC1228">
        <f t="shared" si="104"/>
        <v>1</v>
      </c>
      <c r="AD1228" t="s">
        <v>38</v>
      </c>
      <c r="AE1228">
        <f>VLOOKUP(A1228,'Employee Engagement Survey'!A1198:B2667,2,FALSE)</f>
        <v>1</v>
      </c>
      <c r="AF1228">
        <f>VLOOKUP(A1228,'Employee Engagement Survey'!A1198:C2667,3,FALSE)</f>
        <v>3</v>
      </c>
      <c r="AG1228">
        <f>VLOOKUP(A1228,'Employee Engagement Survey'!A1198:D2667,4,FALSE)</f>
        <v>1</v>
      </c>
      <c r="AH1228">
        <f>VLOOKUP(A1228,'Employee Engagement Survey'!A1198:E2667,5,FALSE)</f>
        <v>2</v>
      </c>
      <c r="AI1228">
        <f t="shared" si="102"/>
        <v>1.75</v>
      </c>
    </row>
    <row r="1229" spans="1:35" hidden="1" x14ac:dyDescent="0.4">
      <c r="A1229">
        <v>1293</v>
      </c>
      <c r="B1229" t="s">
        <v>34</v>
      </c>
      <c r="C1229">
        <f t="shared" si="100"/>
        <v>1</v>
      </c>
      <c r="D1229" t="s">
        <v>57</v>
      </c>
      <c r="E1229">
        <f t="shared" si="101"/>
        <v>0</v>
      </c>
      <c r="F1229" t="s">
        <v>40</v>
      </c>
      <c r="G1229">
        <v>9</v>
      </c>
      <c r="H1229" s="1">
        <v>134772</v>
      </c>
      <c r="I1229" s="10">
        <v>0.14000000000000001</v>
      </c>
      <c r="J1229">
        <v>37.5</v>
      </c>
      <c r="K1229" t="s">
        <v>34</v>
      </c>
      <c r="L1229">
        <v>43</v>
      </c>
      <c r="M1229" t="s">
        <v>47</v>
      </c>
      <c r="N1229" t="s">
        <v>30</v>
      </c>
      <c r="O1229" t="s">
        <v>31</v>
      </c>
      <c r="P1229">
        <v>4</v>
      </c>
      <c r="Q1229" t="s">
        <v>51</v>
      </c>
      <c r="R1229" t="s">
        <v>56</v>
      </c>
      <c r="S1229">
        <v>3</v>
      </c>
      <c r="T1229">
        <v>0</v>
      </c>
      <c r="U1229">
        <v>23</v>
      </c>
      <c r="V1229">
        <v>3</v>
      </c>
      <c r="W1229">
        <v>21</v>
      </c>
      <c r="X1229">
        <v>7</v>
      </c>
      <c r="Y1229">
        <v>15</v>
      </c>
      <c r="Z1229">
        <v>17</v>
      </c>
      <c r="AA1229" t="str">
        <f t="shared" si="103"/>
        <v>Long Tenure</v>
      </c>
      <c r="AB1229" s="5">
        <v>45029</v>
      </c>
      <c r="AC1229">
        <f t="shared" si="104"/>
        <v>0</v>
      </c>
      <c r="AD1229" t="s">
        <v>49</v>
      </c>
      <c r="AE1229">
        <f>VLOOKUP(A1229,'Employee Engagement Survey'!A1199:B2668,2,FALSE)</f>
        <v>4</v>
      </c>
      <c r="AF1229">
        <f>VLOOKUP(A1229,'Employee Engagement Survey'!A1199:C2668,3,FALSE)</f>
        <v>4</v>
      </c>
      <c r="AG1229">
        <f>VLOOKUP(A1229,'Employee Engagement Survey'!A1199:D2668,4,FALSE)</f>
        <v>4</v>
      </c>
      <c r="AH1229">
        <f>VLOOKUP(A1229,'Employee Engagement Survey'!A1199:E2668,5,FALSE)</f>
        <v>4</v>
      </c>
      <c r="AI1229">
        <f t="shared" si="102"/>
        <v>4</v>
      </c>
    </row>
    <row r="1230" spans="1:35" hidden="1" x14ac:dyDescent="0.4">
      <c r="A1230">
        <v>1721</v>
      </c>
      <c r="B1230" t="s">
        <v>34</v>
      </c>
      <c r="C1230">
        <f t="shared" si="100"/>
        <v>1</v>
      </c>
      <c r="D1230" t="s">
        <v>46</v>
      </c>
      <c r="E1230">
        <f t="shared" si="101"/>
        <v>0</v>
      </c>
      <c r="F1230" t="s">
        <v>28</v>
      </c>
      <c r="G1230">
        <v>6</v>
      </c>
      <c r="H1230" s="1">
        <v>65724</v>
      </c>
      <c r="I1230" s="10">
        <v>0.14000000000000001</v>
      </c>
      <c r="J1230">
        <v>37.5</v>
      </c>
      <c r="K1230" t="s">
        <v>34</v>
      </c>
      <c r="L1230">
        <v>31</v>
      </c>
      <c r="M1230" t="s">
        <v>29</v>
      </c>
      <c r="N1230" t="s">
        <v>42</v>
      </c>
      <c r="O1230" t="s">
        <v>31</v>
      </c>
      <c r="P1230">
        <v>2</v>
      </c>
      <c r="Q1230" t="s">
        <v>51</v>
      </c>
      <c r="R1230" t="s">
        <v>37</v>
      </c>
      <c r="S1230">
        <v>3</v>
      </c>
      <c r="T1230">
        <v>1</v>
      </c>
      <c r="U1230">
        <v>6</v>
      </c>
      <c r="V1230">
        <v>2</v>
      </c>
      <c r="W1230">
        <v>5</v>
      </c>
      <c r="X1230">
        <v>2</v>
      </c>
      <c r="Y1230">
        <v>0</v>
      </c>
      <c r="Z1230">
        <v>3</v>
      </c>
      <c r="AA1230" t="str">
        <f t="shared" si="103"/>
        <v>Mid Tenure</v>
      </c>
      <c r="AB1230" s="5">
        <v>45782</v>
      </c>
      <c r="AC1230">
        <f t="shared" si="104"/>
        <v>1</v>
      </c>
      <c r="AD1230" t="s">
        <v>49</v>
      </c>
      <c r="AE1230">
        <f>VLOOKUP(A1230,'Employee Engagement Survey'!A1200:B2669,2,FALSE)</f>
        <v>2</v>
      </c>
      <c r="AF1230">
        <f>VLOOKUP(A1230,'Employee Engagement Survey'!A1200:C2669,3,FALSE)</f>
        <v>3</v>
      </c>
      <c r="AG1230">
        <f>VLOOKUP(A1230,'Employee Engagement Survey'!A1200:D2669,4,FALSE)</f>
        <v>4</v>
      </c>
      <c r="AH1230">
        <f>VLOOKUP(A1230,'Employee Engagement Survey'!A1200:E2669,5,FALSE)</f>
        <v>4</v>
      </c>
      <c r="AI1230">
        <f t="shared" si="102"/>
        <v>3.25</v>
      </c>
    </row>
    <row r="1231" spans="1:35" hidden="1" x14ac:dyDescent="0.4">
      <c r="A1231">
        <v>36</v>
      </c>
      <c r="B1231" t="s">
        <v>34</v>
      </c>
      <c r="C1231">
        <f t="shared" si="100"/>
        <v>1</v>
      </c>
      <c r="D1231" t="s">
        <v>55</v>
      </c>
      <c r="E1231">
        <f t="shared" si="101"/>
        <v>0</v>
      </c>
      <c r="F1231" t="s">
        <v>28</v>
      </c>
      <c r="G1231">
        <v>9</v>
      </c>
      <c r="H1231" s="1">
        <v>134976</v>
      </c>
      <c r="I1231" s="10">
        <v>0.14000000000000001</v>
      </c>
      <c r="J1231">
        <v>37.5</v>
      </c>
      <c r="K1231" t="s">
        <v>34</v>
      </c>
      <c r="L1231">
        <v>44</v>
      </c>
      <c r="M1231" t="s">
        <v>47</v>
      </c>
      <c r="N1231" t="s">
        <v>42</v>
      </c>
      <c r="O1231" t="s">
        <v>31</v>
      </c>
      <c r="P1231">
        <v>7</v>
      </c>
      <c r="Q1231" t="s">
        <v>51</v>
      </c>
      <c r="R1231" t="s">
        <v>33</v>
      </c>
      <c r="S1231">
        <v>3</v>
      </c>
      <c r="T1231">
        <v>1</v>
      </c>
      <c r="U1231">
        <v>24</v>
      </c>
      <c r="V1231">
        <v>4</v>
      </c>
      <c r="W1231">
        <v>22</v>
      </c>
      <c r="X1231">
        <v>6</v>
      </c>
      <c r="Y1231">
        <v>5</v>
      </c>
      <c r="Z1231">
        <v>17</v>
      </c>
      <c r="AA1231" t="str">
        <f t="shared" si="103"/>
        <v>Long Tenure</v>
      </c>
      <c r="AB1231" s="5">
        <v>45563</v>
      </c>
      <c r="AC1231">
        <f t="shared" si="104"/>
        <v>1</v>
      </c>
      <c r="AD1231" t="s">
        <v>38</v>
      </c>
      <c r="AE1231">
        <f>VLOOKUP(A1231,'Employee Engagement Survey'!A1201:B2670,2,FALSE)</f>
        <v>1</v>
      </c>
      <c r="AF1231">
        <f>VLOOKUP(A1231,'Employee Engagement Survey'!A1201:C2670,3,FALSE)</f>
        <v>4</v>
      </c>
      <c r="AG1231">
        <f>VLOOKUP(A1231,'Employee Engagement Survey'!A1201:D2670,4,FALSE)</f>
        <v>4</v>
      </c>
      <c r="AH1231">
        <f>VLOOKUP(A1231,'Employee Engagement Survey'!A1201:E2670,5,FALSE)</f>
        <v>3</v>
      </c>
      <c r="AI1231">
        <f t="shared" si="102"/>
        <v>3</v>
      </c>
    </row>
    <row r="1232" spans="1:35" hidden="1" x14ac:dyDescent="0.4">
      <c r="A1232">
        <v>1237</v>
      </c>
      <c r="B1232" t="s">
        <v>34</v>
      </c>
      <c r="C1232">
        <f t="shared" si="100"/>
        <v>1</v>
      </c>
      <c r="D1232" t="s">
        <v>54</v>
      </c>
      <c r="E1232">
        <f t="shared" si="101"/>
        <v>1</v>
      </c>
      <c r="F1232" t="s">
        <v>28</v>
      </c>
      <c r="G1232">
        <v>9</v>
      </c>
      <c r="H1232" s="1">
        <v>135024</v>
      </c>
      <c r="I1232" s="10">
        <v>0.21</v>
      </c>
      <c r="J1232">
        <v>37.5</v>
      </c>
      <c r="K1232" t="s">
        <v>26</v>
      </c>
      <c r="L1232">
        <v>36</v>
      </c>
      <c r="M1232" t="s">
        <v>47</v>
      </c>
      <c r="N1232" t="s">
        <v>48</v>
      </c>
      <c r="O1232" t="s">
        <v>31</v>
      </c>
      <c r="P1232">
        <v>1</v>
      </c>
      <c r="Q1232" t="s">
        <v>43</v>
      </c>
      <c r="R1232" t="s">
        <v>45</v>
      </c>
      <c r="S1232">
        <v>4</v>
      </c>
      <c r="T1232">
        <v>1</v>
      </c>
      <c r="U1232">
        <v>17</v>
      </c>
      <c r="V1232">
        <v>2</v>
      </c>
      <c r="W1232">
        <v>7</v>
      </c>
      <c r="X1232">
        <v>7</v>
      </c>
      <c r="Y1232">
        <v>7</v>
      </c>
      <c r="Z1232">
        <v>7</v>
      </c>
      <c r="AA1232" t="str">
        <f t="shared" si="103"/>
        <v>Mid Tenure</v>
      </c>
      <c r="AB1232" s="5">
        <v>45102</v>
      </c>
      <c r="AC1232">
        <f t="shared" si="104"/>
        <v>0</v>
      </c>
      <c r="AD1232" t="s">
        <v>49</v>
      </c>
      <c r="AE1232">
        <f>VLOOKUP(A1232,'Employee Engagement Survey'!A1202:B2671,2,FALSE)</f>
        <v>3</v>
      </c>
      <c r="AF1232">
        <f>VLOOKUP(A1232,'Employee Engagement Survey'!A1202:C2671,3,FALSE)</f>
        <v>1</v>
      </c>
      <c r="AG1232">
        <f>VLOOKUP(A1232,'Employee Engagement Survey'!A1202:D2671,4,FALSE)</f>
        <v>3</v>
      </c>
      <c r="AH1232">
        <f>VLOOKUP(A1232,'Employee Engagement Survey'!A1202:E2671,5,FALSE)</f>
        <v>3</v>
      </c>
      <c r="AI1232">
        <f t="shared" si="102"/>
        <v>2.5</v>
      </c>
    </row>
    <row r="1233" spans="1:35" hidden="1" x14ac:dyDescent="0.4">
      <c r="A1233">
        <v>573</v>
      </c>
      <c r="B1233" t="s">
        <v>34</v>
      </c>
      <c r="C1233">
        <f t="shared" si="100"/>
        <v>1</v>
      </c>
      <c r="D1233" t="s">
        <v>57</v>
      </c>
      <c r="E1233">
        <f t="shared" si="101"/>
        <v>0</v>
      </c>
      <c r="F1233" t="s">
        <v>40</v>
      </c>
      <c r="G1233">
        <v>9</v>
      </c>
      <c r="H1233" s="1">
        <v>135192</v>
      </c>
      <c r="I1233" s="10">
        <v>0.19</v>
      </c>
      <c r="J1233">
        <v>37.5</v>
      </c>
      <c r="K1233" t="s">
        <v>34</v>
      </c>
      <c r="L1233">
        <v>60</v>
      </c>
      <c r="M1233" t="s">
        <v>47</v>
      </c>
      <c r="N1233" t="s">
        <v>42</v>
      </c>
      <c r="O1233" t="s">
        <v>44</v>
      </c>
      <c r="P1233">
        <v>28</v>
      </c>
      <c r="Q1233" t="s">
        <v>43</v>
      </c>
      <c r="R1233" t="s">
        <v>56</v>
      </c>
      <c r="S1233">
        <v>3</v>
      </c>
      <c r="T1233">
        <v>0</v>
      </c>
      <c r="U1233">
        <v>22</v>
      </c>
      <c r="V1233">
        <v>5</v>
      </c>
      <c r="W1233">
        <v>18</v>
      </c>
      <c r="X1233">
        <v>13</v>
      </c>
      <c r="Y1233">
        <v>13</v>
      </c>
      <c r="Z1233">
        <v>11</v>
      </c>
      <c r="AA1233" t="str">
        <f t="shared" si="103"/>
        <v>Long Tenure</v>
      </c>
      <c r="AB1233" s="5">
        <v>45315</v>
      </c>
      <c r="AC1233">
        <f t="shared" si="104"/>
        <v>1</v>
      </c>
      <c r="AD1233" t="s">
        <v>38</v>
      </c>
      <c r="AE1233">
        <f>VLOOKUP(A1233,'Employee Engagement Survey'!A1203:B2672,2,FALSE)</f>
        <v>3</v>
      </c>
      <c r="AF1233">
        <f>VLOOKUP(A1233,'Employee Engagement Survey'!A1203:C2672,3,FALSE)</f>
        <v>1</v>
      </c>
      <c r="AG1233">
        <f>VLOOKUP(A1233,'Employee Engagement Survey'!A1203:D2672,4,FALSE)</f>
        <v>4</v>
      </c>
      <c r="AH1233">
        <f>VLOOKUP(A1233,'Employee Engagement Survey'!A1203:E2672,5,FALSE)</f>
        <v>4</v>
      </c>
      <c r="AI1233">
        <f t="shared" si="102"/>
        <v>3</v>
      </c>
    </row>
    <row r="1234" spans="1:35" hidden="1" x14ac:dyDescent="0.4">
      <c r="A1234">
        <v>1722</v>
      </c>
      <c r="B1234" t="s">
        <v>34</v>
      </c>
      <c r="C1234">
        <f t="shared" si="100"/>
        <v>1</v>
      </c>
      <c r="D1234" t="s">
        <v>105</v>
      </c>
      <c r="E1234">
        <f t="shared" si="101"/>
        <v>0</v>
      </c>
      <c r="F1234" t="s">
        <v>59</v>
      </c>
      <c r="G1234">
        <v>8</v>
      </c>
      <c r="H1234" s="1">
        <v>89160</v>
      </c>
      <c r="I1234" s="10">
        <v>0.19</v>
      </c>
      <c r="J1234">
        <v>37.5</v>
      </c>
      <c r="K1234" t="s">
        <v>34</v>
      </c>
      <c r="L1234">
        <v>41</v>
      </c>
      <c r="M1234" t="s">
        <v>29</v>
      </c>
      <c r="N1234" t="s">
        <v>42</v>
      </c>
      <c r="O1234" t="s">
        <v>35</v>
      </c>
      <c r="P1234">
        <v>4</v>
      </c>
      <c r="Q1234" t="s">
        <v>43</v>
      </c>
      <c r="R1234" t="s">
        <v>59</v>
      </c>
      <c r="S1234">
        <v>3</v>
      </c>
      <c r="T1234">
        <v>1</v>
      </c>
      <c r="U1234">
        <v>10</v>
      </c>
      <c r="V1234">
        <v>4</v>
      </c>
      <c r="W1234">
        <v>3</v>
      </c>
      <c r="X1234">
        <v>2</v>
      </c>
      <c r="Y1234">
        <v>1</v>
      </c>
      <c r="Z1234">
        <v>2</v>
      </c>
      <c r="AA1234" t="str">
        <f t="shared" si="103"/>
        <v>Mid Tenure</v>
      </c>
      <c r="AB1234" s="5">
        <v>45883</v>
      </c>
      <c r="AC1234">
        <f t="shared" si="104"/>
        <v>1</v>
      </c>
      <c r="AD1234" t="s">
        <v>49</v>
      </c>
      <c r="AE1234">
        <f>VLOOKUP(A1234,'Employee Engagement Survey'!A1204:B2673,2,FALSE)</f>
        <v>3</v>
      </c>
      <c r="AF1234">
        <f>VLOOKUP(A1234,'Employee Engagement Survey'!A1204:C2673,3,FALSE)</f>
        <v>2</v>
      </c>
      <c r="AG1234">
        <f>VLOOKUP(A1234,'Employee Engagement Survey'!A1204:D2673,4,FALSE)</f>
        <v>2</v>
      </c>
      <c r="AH1234">
        <f>VLOOKUP(A1234,'Employee Engagement Survey'!A1204:E2673,5,FALSE)</f>
        <v>3</v>
      </c>
      <c r="AI1234">
        <f t="shared" si="102"/>
        <v>2.5</v>
      </c>
    </row>
    <row r="1235" spans="1:35" hidden="1" x14ac:dyDescent="0.4">
      <c r="A1235">
        <v>1725</v>
      </c>
      <c r="B1235" t="s">
        <v>34</v>
      </c>
      <c r="C1235">
        <f t="shared" si="100"/>
        <v>1</v>
      </c>
      <c r="D1235" t="s">
        <v>46</v>
      </c>
      <c r="E1235">
        <f t="shared" si="101"/>
        <v>0</v>
      </c>
      <c r="F1235" t="s">
        <v>28</v>
      </c>
      <c r="G1235">
        <v>7</v>
      </c>
      <c r="H1235" s="1">
        <v>70884</v>
      </c>
      <c r="I1235" s="10">
        <v>0.13</v>
      </c>
      <c r="J1235">
        <v>37.5</v>
      </c>
      <c r="K1235" t="s">
        <v>34</v>
      </c>
      <c r="L1235">
        <v>24</v>
      </c>
      <c r="M1235" t="s">
        <v>29</v>
      </c>
      <c r="N1235" t="s">
        <v>48</v>
      </c>
      <c r="O1235" t="s">
        <v>31</v>
      </c>
      <c r="P1235">
        <v>29</v>
      </c>
      <c r="Q1235" t="s">
        <v>32</v>
      </c>
      <c r="R1235" t="s">
        <v>33</v>
      </c>
      <c r="S1235">
        <v>3</v>
      </c>
      <c r="T1235">
        <v>3</v>
      </c>
      <c r="U1235">
        <v>6</v>
      </c>
      <c r="V1235">
        <v>2</v>
      </c>
      <c r="W1235">
        <v>6</v>
      </c>
      <c r="X1235">
        <v>2</v>
      </c>
      <c r="Y1235">
        <v>1</v>
      </c>
      <c r="Z1235">
        <v>2</v>
      </c>
      <c r="AA1235" t="str">
        <f t="shared" si="103"/>
        <v>Mid Tenure</v>
      </c>
      <c r="AB1235" s="5">
        <v>45868</v>
      </c>
      <c r="AC1235">
        <f t="shared" si="104"/>
        <v>1</v>
      </c>
      <c r="AD1235" t="s">
        <v>49</v>
      </c>
      <c r="AE1235">
        <f>VLOOKUP(A1235,'Employee Engagement Survey'!A1205:B2674,2,FALSE)</f>
        <v>2</v>
      </c>
      <c r="AF1235">
        <f>VLOOKUP(A1235,'Employee Engagement Survey'!A1205:C2674,3,FALSE)</f>
        <v>1</v>
      </c>
      <c r="AG1235">
        <f>VLOOKUP(A1235,'Employee Engagement Survey'!A1205:D2674,4,FALSE)</f>
        <v>2</v>
      </c>
      <c r="AH1235">
        <f>VLOOKUP(A1235,'Employee Engagement Survey'!A1205:E2674,5,FALSE)</f>
        <v>4</v>
      </c>
      <c r="AI1235">
        <f t="shared" si="102"/>
        <v>2.25</v>
      </c>
    </row>
    <row r="1236" spans="1:35" hidden="1" x14ac:dyDescent="0.4">
      <c r="A1236">
        <v>1727</v>
      </c>
      <c r="B1236" t="s">
        <v>34</v>
      </c>
      <c r="C1236">
        <f t="shared" si="100"/>
        <v>1</v>
      </c>
      <c r="D1236" t="s">
        <v>55</v>
      </c>
      <c r="E1236">
        <f t="shared" si="101"/>
        <v>0</v>
      </c>
      <c r="F1236" t="s">
        <v>28</v>
      </c>
      <c r="G1236">
        <v>7</v>
      </c>
      <c r="H1236" s="1">
        <v>78744</v>
      </c>
      <c r="I1236" s="10">
        <v>0.14000000000000001</v>
      </c>
      <c r="J1236">
        <v>37.5</v>
      </c>
      <c r="K1236" t="s">
        <v>34</v>
      </c>
      <c r="L1236">
        <v>46</v>
      </c>
      <c r="M1236" t="s">
        <v>29</v>
      </c>
      <c r="N1236" t="s">
        <v>30</v>
      </c>
      <c r="O1236" t="s">
        <v>31</v>
      </c>
      <c r="P1236">
        <v>13</v>
      </c>
      <c r="Q1236" t="s">
        <v>51</v>
      </c>
      <c r="R1236" t="s">
        <v>37</v>
      </c>
      <c r="S1236">
        <v>3</v>
      </c>
      <c r="T1236">
        <v>0</v>
      </c>
      <c r="U1236">
        <v>19</v>
      </c>
      <c r="V1236">
        <v>3</v>
      </c>
      <c r="W1236">
        <v>10</v>
      </c>
      <c r="X1236">
        <v>7</v>
      </c>
      <c r="Y1236">
        <v>0</v>
      </c>
      <c r="Z1236">
        <v>9</v>
      </c>
      <c r="AA1236" t="str">
        <f t="shared" si="103"/>
        <v>Long Tenure</v>
      </c>
      <c r="AB1236" s="5">
        <v>45597</v>
      </c>
      <c r="AC1236">
        <f t="shared" si="104"/>
        <v>1</v>
      </c>
      <c r="AD1236" t="s">
        <v>49</v>
      </c>
      <c r="AE1236">
        <f>VLOOKUP(A1236,'Employee Engagement Survey'!A1207:B2676,2,FALSE)</f>
        <v>3</v>
      </c>
      <c r="AF1236">
        <f>VLOOKUP(A1236,'Employee Engagement Survey'!A1207:C2676,3,FALSE)</f>
        <v>2</v>
      </c>
      <c r="AG1236">
        <f>VLOOKUP(A1236,'Employee Engagement Survey'!A1207:D2676,4,FALSE)</f>
        <v>4</v>
      </c>
      <c r="AH1236">
        <f>VLOOKUP(A1236,'Employee Engagement Survey'!A1207:E2676,5,FALSE)</f>
        <v>3</v>
      </c>
      <c r="AI1236">
        <f t="shared" si="102"/>
        <v>3</v>
      </c>
    </row>
    <row r="1237" spans="1:35" hidden="1" x14ac:dyDescent="0.4">
      <c r="A1237">
        <v>1728</v>
      </c>
      <c r="B1237" t="s">
        <v>34</v>
      </c>
      <c r="C1237">
        <f t="shared" si="100"/>
        <v>1</v>
      </c>
      <c r="D1237" t="s">
        <v>54</v>
      </c>
      <c r="E1237">
        <f t="shared" si="101"/>
        <v>1</v>
      </c>
      <c r="F1237" t="s">
        <v>28</v>
      </c>
      <c r="G1237">
        <v>8</v>
      </c>
      <c r="H1237" s="1">
        <v>94596</v>
      </c>
      <c r="I1237" s="10">
        <v>0.16</v>
      </c>
      <c r="J1237">
        <v>37.5</v>
      </c>
      <c r="K1237" t="s">
        <v>34</v>
      </c>
      <c r="L1237">
        <v>35</v>
      </c>
      <c r="M1237" t="s">
        <v>29</v>
      </c>
      <c r="N1237" t="s">
        <v>42</v>
      </c>
      <c r="O1237" t="s">
        <v>31</v>
      </c>
      <c r="P1237">
        <v>27</v>
      </c>
      <c r="Q1237" t="s">
        <v>51</v>
      </c>
      <c r="R1237" t="s">
        <v>37</v>
      </c>
      <c r="S1237">
        <v>3</v>
      </c>
      <c r="T1237">
        <v>1</v>
      </c>
      <c r="U1237">
        <v>17</v>
      </c>
      <c r="V1237">
        <v>3</v>
      </c>
      <c r="W1237">
        <v>7</v>
      </c>
      <c r="X1237">
        <v>7</v>
      </c>
      <c r="Y1237">
        <v>0</v>
      </c>
      <c r="Z1237">
        <v>7</v>
      </c>
      <c r="AA1237" t="str">
        <f t="shared" si="103"/>
        <v>Mid Tenure</v>
      </c>
      <c r="AB1237" s="5">
        <v>45381</v>
      </c>
      <c r="AC1237">
        <f t="shared" si="104"/>
        <v>1</v>
      </c>
      <c r="AD1237" t="s">
        <v>38</v>
      </c>
      <c r="AE1237">
        <f>VLOOKUP(A1237,'Employee Engagement Survey'!A1208:B2677,2,FALSE)</f>
        <v>4</v>
      </c>
      <c r="AF1237">
        <f>VLOOKUP(A1237,'Employee Engagement Survey'!A1208:C2677,3,FALSE)</f>
        <v>3</v>
      </c>
      <c r="AG1237">
        <f>VLOOKUP(A1237,'Employee Engagement Survey'!A1208:D2677,4,FALSE)</f>
        <v>2</v>
      </c>
      <c r="AH1237">
        <f>VLOOKUP(A1237,'Employee Engagement Survey'!A1208:E2677,5,FALSE)</f>
        <v>3</v>
      </c>
      <c r="AI1237">
        <f t="shared" si="102"/>
        <v>3</v>
      </c>
    </row>
    <row r="1238" spans="1:35" hidden="1" x14ac:dyDescent="0.4">
      <c r="A1238">
        <v>1827</v>
      </c>
      <c r="B1238" t="s">
        <v>34</v>
      </c>
      <c r="C1238">
        <f t="shared" si="100"/>
        <v>1</v>
      </c>
      <c r="D1238" t="s">
        <v>54</v>
      </c>
      <c r="E1238">
        <f t="shared" si="101"/>
        <v>1</v>
      </c>
      <c r="F1238" t="s">
        <v>28</v>
      </c>
      <c r="G1238">
        <v>9</v>
      </c>
      <c r="H1238" s="1">
        <v>135996</v>
      </c>
      <c r="I1238" s="10">
        <v>0.12</v>
      </c>
      <c r="J1238">
        <v>37.5</v>
      </c>
      <c r="K1238" t="s">
        <v>26</v>
      </c>
      <c r="L1238">
        <v>47</v>
      </c>
      <c r="M1238" t="s">
        <v>47</v>
      </c>
      <c r="N1238" t="s">
        <v>48</v>
      </c>
      <c r="O1238" t="s">
        <v>31</v>
      </c>
      <c r="P1238">
        <v>4</v>
      </c>
      <c r="Q1238" t="s">
        <v>43</v>
      </c>
      <c r="R1238" t="s">
        <v>37</v>
      </c>
      <c r="S1238">
        <v>3</v>
      </c>
      <c r="T1238">
        <v>1</v>
      </c>
      <c r="U1238">
        <v>28</v>
      </c>
      <c r="V1238">
        <v>4</v>
      </c>
      <c r="W1238">
        <v>22</v>
      </c>
      <c r="X1238">
        <v>11</v>
      </c>
      <c r="Y1238">
        <v>14</v>
      </c>
      <c r="Z1238">
        <v>10</v>
      </c>
      <c r="AA1238" t="str">
        <f t="shared" si="103"/>
        <v>Long Tenure</v>
      </c>
      <c r="AB1238" s="5">
        <v>45812</v>
      </c>
      <c r="AC1238">
        <f t="shared" si="104"/>
        <v>1</v>
      </c>
      <c r="AD1238" t="s">
        <v>49</v>
      </c>
      <c r="AE1238">
        <f>VLOOKUP(A1238,'Employee Engagement Survey'!A1209:B2678,2,FALSE)</f>
        <v>3</v>
      </c>
      <c r="AF1238">
        <f>VLOOKUP(A1238,'Employee Engagement Survey'!A1209:C2678,3,FALSE)</f>
        <v>2</v>
      </c>
      <c r="AG1238">
        <f>VLOOKUP(A1238,'Employee Engagement Survey'!A1209:D2678,4,FALSE)</f>
        <v>3</v>
      </c>
      <c r="AH1238">
        <f>VLOOKUP(A1238,'Employee Engagement Survey'!A1209:E2678,5,FALSE)</f>
        <v>3</v>
      </c>
      <c r="AI1238">
        <f t="shared" si="102"/>
        <v>2.75</v>
      </c>
    </row>
    <row r="1239" spans="1:35" hidden="1" x14ac:dyDescent="0.4">
      <c r="A1239">
        <v>1729</v>
      </c>
      <c r="B1239" t="s">
        <v>34</v>
      </c>
      <c r="C1239">
        <f t="shared" si="100"/>
        <v>1</v>
      </c>
      <c r="D1239" t="s">
        <v>27</v>
      </c>
      <c r="E1239">
        <f t="shared" si="101"/>
        <v>0</v>
      </c>
      <c r="F1239" t="s">
        <v>28</v>
      </c>
      <c r="G1239">
        <v>5</v>
      </c>
      <c r="H1239" s="1">
        <v>58344</v>
      </c>
      <c r="I1239" s="10">
        <v>0.12</v>
      </c>
      <c r="J1239">
        <v>37.5</v>
      </c>
      <c r="K1239" t="s">
        <v>34</v>
      </c>
      <c r="L1239">
        <v>30</v>
      </c>
      <c r="M1239" t="s">
        <v>29</v>
      </c>
      <c r="N1239" t="s">
        <v>42</v>
      </c>
      <c r="O1239" t="s">
        <v>31</v>
      </c>
      <c r="P1239">
        <v>16</v>
      </c>
      <c r="Q1239" t="s">
        <v>32</v>
      </c>
      <c r="R1239" t="s">
        <v>37</v>
      </c>
      <c r="S1239">
        <v>3</v>
      </c>
      <c r="T1239">
        <v>1</v>
      </c>
      <c r="U1239">
        <v>10</v>
      </c>
      <c r="V1239">
        <v>2</v>
      </c>
      <c r="W1239">
        <v>10</v>
      </c>
      <c r="X1239">
        <v>0</v>
      </c>
      <c r="Y1239">
        <v>0</v>
      </c>
      <c r="Z1239">
        <v>8</v>
      </c>
      <c r="AA1239" t="str">
        <f t="shared" si="103"/>
        <v>Long Tenure</v>
      </c>
      <c r="AB1239" s="5">
        <v>45447</v>
      </c>
      <c r="AC1239">
        <f t="shared" si="104"/>
        <v>1</v>
      </c>
      <c r="AD1239" t="s">
        <v>38</v>
      </c>
      <c r="AE1239">
        <f>VLOOKUP(A1239,'Employee Engagement Survey'!A1210:B2679,2,FALSE)</f>
        <v>2</v>
      </c>
      <c r="AF1239">
        <f>VLOOKUP(A1239,'Employee Engagement Survey'!A1210:C2679,3,FALSE)</f>
        <v>4</v>
      </c>
      <c r="AG1239">
        <f>VLOOKUP(A1239,'Employee Engagement Survey'!A1210:D2679,4,FALSE)</f>
        <v>2</v>
      </c>
      <c r="AH1239">
        <f>VLOOKUP(A1239,'Employee Engagement Survey'!A1210:E2679,5,FALSE)</f>
        <v>2</v>
      </c>
      <c r="AI1239">
        <f t="shared" si="102"/>
        <v>2.5</v>
      </c>
    </row>
    <row r="1240" spans="1:35" hidden="1" x14ac:dyDescent="0.4">
      <c r="A1240">
        <v>1243</v>
      </c>
      <c r="B1240" t="s">
        <v>34</v>
      </c>
      <c r="C1240">
        <f t="shared" si="100"/>
        <v>1</v>
      </c>
      <c r="D1240" t="s">
        <v>57</v>
      </c>
      <c r="E1240">
        <f t="shared" si="101"/>
        <v>0</v>
      </c>
      <c r="F1240" t="s">
        <v>40</v>
      </c>
      <c r="G1240">
        <v>9</v>
      </c>
      <c r="H1240" s="1">
        <v>136524</v>
      </c>
      <c r="I1240" s="10">
        <v>0.11</v>
      </c>
      <c r="J1240">
        <v>37.5</v>
      </c>
      <c r="K1240" t="s">
        <v>26</v>
      </c>
      <c r="L1240">
        <v>35</v>
      </c>
      <c r="M1240" t="s">
        <v>47</v>
      </c>
      <c r="N1240" t="s">
        <v>42</v>
      </c>
      <c r="O1240" t="s">
        <v>35</v>
      </c>
      <c r="P1240">
        <v>8</v>
      </c>
      <c r="Q1240" t="s">
        <v>36</v>
      </c>
      <c r="R1240" t="s">
        <v>56</v>
      </c>
      <c r="S1240">
        <v>3</v>
      </c>
      <c r="T1240">
        <v>1</v>
      </c>
      <c r="U1240">
        <v>16</v>
      </c>
      <c r="V1240">
        <v>6</v>
      </c>
      <c r="W1240">
        <v>13</v>
      </c>
      <c r="X1240">
        <v>2</v>
      </c>
      <c r="Y1240">
        <v>4</v>
      </c>
      <c r="Z1240">
        <v>12</v>
      </c>
      <c r="AA1240" t="str">
        <f t="shared" si="103"/>
        <v>Long Tenure</v>
      </c>
      <c r="AB1240" s="5">
        <v>45380</v>
      </c>
      <c r="AC1240">
        <f t="shared" si="104"/>
        <v>1</v>
      </c>
      <c r="AD1240" t="s">
        <v>49</v>
      </c>
      <c r="AE1240">
        <f>VLOOKUP(A1240,'Employee Engagement Survey'!A1211:B2680,2,FALSE)</f>
        <v>3</v>
      </c>
      <c r="AF1240">
        <f>VLOOKUP(A1240,'Employee Engagement Survey'!A1211:C2680,3,FALSE)</f>
        <v>4</v>
      </c>
      <c r="AG1240">
        <f>VLOOKUP(A1240,'Employee Engagement Survey'!A1211:D2680,4,FALSE)</f>
        <v>2</v>
      </c>
      <c r="AH1240">
        <f>VLOOKUP(A1240,'Employee Engagement Survey'!A1211:E2680,5,FALSE)</f>
        <v>2</v>
      </c>
      <c r="AI1240">
        <f t="shared" si="102"/>
        <v>2.75</v>
      </c>
    </row>
    <row r="1241" spans="1:35" hidden="1" x14ac:dyDescent="0.4">
      <c r="A1241">
        <v>1014</v>
      </c>
      <c r="B1241" t="s">
        <v>34</v>
      </c>
      <c r="C1241">
        <f t="shared" si="100"/>
        <v>1</v>
      </c>
      <c r="D1241" t="s">
        <v>55</v>
      </c>
      <c r="E1241">
        <f t="shared" si="101"/>
        <v>0</v>
      </c>
      <c r="F1241" t="s">
        <v>28</v>
      </c>
      <c r="G1241">
        <v>9</v>
      </c>
      <c r="H1241" s="1">
        <v>136656</v>
      </c>
      <c r="I1241" s="10">
        <v>0.11</v>
      </c>
      <c r="J1241">
        <v>37.5</v>
      </c>
      <c r="K1241" t="s">
        <v>26</v>
      </c>
      <c r="L1241">
        <v>35</v>
      </c>
      <c r="M1241" t="s">
        <v>47</v>
      </c>
      <c r="N1241" t="s">
        <v>48</v>
      </c>
      <c r="O1241" t="s">
        <v>31</v>
      </c>
      <c r="P1241">
        <v>25</v>
      </c>
      <c r="Q1241" t="s">
        <v>51</v>
      </c>
      <c r="R1241" t="s">
        <v>33</v>
      </c>
      <c r="S1241">
        <v>3</v>
      </c>
      <c r="T1241">
        <v>1</v>
      </c>
      <c r="U1241">
        <v>16</v>
      </c>
      <c r="V1241">
        <v>3</v>
      </c>
      <c r="W1241">
        <v>16</v>
      </c>
      <c r="X1241">
        <v>10</v>
      </c>
      <c r="Y1241">
        <v>10</v>
      </c>
      <c r="Z1241">
        <v>1</v>
      </c>
      <c r="AA1241" t="str">
        <f t="shared" si="103"/>
        <v>Long Tenure</v>
      </c>
      <c r="AB1241" s="5">
        <v>44670</v>
      </c>
      <c r="AC1241">
        <f t="shared" si="104"/>
        <v>0</v>
      </c>
      <c r="AD1241" t="s">
        <v>49</v>
      </c>
      <c r="AE1241">
        <f>VLOOKUP(A1241,'Employee Engagement Survey'!A1212:B2681,2,FALSE)</f>
        <v>3</v>
      </c>
      <c r="AF1241">
        <f>VLOOKUP(A1241,'Employee Engagement Survey'!A1212:C2681,3,FALSE)</f>
        <v>3</v>
      </c>
      <c r="AG1241">
        <f>VLOOKUP(A1241,'Employee Engagement Survey'!A1212:D2681,4,FALSE)</f>
        <v>3</v>
      </c>
      <c r="AH1241">
        <f>VLOOKUP(A1241,'Employee Engagement Survey'!A1212:E2681,5,FALSE)</f>
        <v>2</v>
      </c>
      <c r="AI1241">
        <f t="shared" si="102"/>
        <v>2.75</v>
      </c>
    </row>
    <row r="1242" spans="1:35" hidden="1" x14ac:dyDescent="0.4">
      <c r="A1242">
        <v>1731</v>
      </c>
      <c r="B1242" t="s">
        <v>34</v>
      </c>
      <c r="C1242">
        <f t="shared" si="100"/>
        <v>1</v>
      </c>
      <c r="D1242" t="s">
        <v>57</v>
      </c>
      <c r="E1242">
        <f t="shared" si="101"/>
        <v>0</v>
      </c>
      <c r="F1242" t="s">
        <v>40</v>
      </c>
      <c r="G1242">
        <v>7</v>
      </c>
      <c r="H1242" s="1">
        <v>71736</v>
      </c>
      <c r="I1242" s="10">
        <v>0.11</v>
      </c>
      <c r="J1242">
        <v>37.5</v>
      </c>
      <c r="K1242" t="s">
        <v>34</v>
      </c>
      <c r="L1242">
        <v>47</v>
      </c>
      <c r="M1242" t="s">
        <v>29</v>
      </c>
      <c r="N1242" t="s">
        <v>42</v>
      </c>
      <c r="O1242" t="s">
        <v>35</v>
      </c>
      <c r="P1242">
        <v>2</v>
      </c>
      <c r="Q1242" t="s">
        <v>51</v>
      </c>
      <c r="R1242" t="s">
        <v>56</v>
      </c>
      <c r="S1242">
        <v>3</v>
      </c>
      <c r="T1242">
        <v>1</v>
      </c>
      <c r="U1242">
        <v>4</v>
      </c>
      <c r="V1242">
        <v>3</v>
      </c>
      <c r="W1242">
        <v>1</v>
      </c>
      <c r="X1242">
        <v>0</v>
      </c>
      <c r="Y1242">
        <v>0</v>
      </c>
      <c r="Z1242">
        <v>0</v>
      </c>
      <c r="AA1242" t="str">
        <f t="shared" si="103"/>
        <v>Early Tenure</v>
      </c>
      <c r="AB1242" s="5">
        <v>45967</v>
      </c>
      <c r="AC1242">
        <f t="shared" si="104"/>
        <v>1</v>
      </c>
      <c r="AD1242" t="s">
        <v>49</v>
      </c>
      <c r="AE1242">
        <f>VLOOKUP(A1242,'Employee Engagement Survey'!A1213:B2682,2,FALSE)</f>
        <v>3</v>
      </c>
      <c r="AF1242">
        <f>VLOOKUP(A1242,'Employee Engagement Survey'!A1213:C2682,3,FALSE)</f>
        <v>2</v>
      </c>
      <c r="AG1242">
        <f>VLOOKUP(A1242,'Employee Engagement Survey'!A1213:D2682,4,FALSE)</f>
        <v>4</v>
      </c>
      <c r="AH1242">
        <f>VLOOKUP(A1242,'Employee Engagement Survey'!A1213:E2682,5,FALSE)</f>
        <v>1</v>
      </c>
      <c r="AI1242">
        <f t="shared" si="102"/>
        <v>2.5</v>
      </c>
    </row>
    <row r="1243" spans="1:35" hidden="1" x14ac:dyDescent="0.4">
      <c r="A1243">
        <v>2016</v>
      </c>
      <c r="B1243" t="s">
        <v>34</v>
      </c>
      <c r="C1243">
        <f t="shared" si="100"/>
        <v>1</v>
      </c>
      <c r="D1243" t="s">
        <v>57</v>
      </c>
      <c r="E1243">
        <f t="shared" si="101"/>
        <v>0</v>
      </c>
      <c r="F1243" t="s">
        <v>40</v>
      </c>
      <c r="G1243">
        <v>9</v>
      </c>
      <c r="H1243" s="1">
        <v>137064</v>
      </c>
      <c r="I1243" s="10">
        <v>0.19</v>
      </c>
      <c r="J1243">
        <v>37.5</v>
      </c>
      <c r="K1243" t="s">
        <v>34</v>
      </c>
      <c r="L1243">
        <v>32</v>
      </c>
      <c r="M1243" t="s">
        <v>47</v>
      </c>
      <c r="N1243" t="s">
        <v>42</v>
      </c>
      <c r="O1243" t="s">
        <v>31</v>
      </c>
      <c r="P1243">
        <v>1</v>
      </c>
      <c r="Q1243" t="s">
        <v>51</v>
      </c>
      <c r="R1243" t="s">
        <v>56</v>
      </c>
      <c r="S1243">
        <v>3</v>
      </c>
      <c r="T1243">
        <v>2</v>
      </c>
      <c r="U1243">
        <v>14</v>
      </c>
      <c r="V1243">
        <v>3</v>
      </c>
      <c r="W1243">
        <v>14</v>
      </c>
      <c r="X1243">
        <v>10</v>
      </c>
      <c r="Y1243">
        <v>5</v>
      </c>
      <c r="Z1243">
        <v>7</v>
      </c>
      <c r="AA1243" t="str">
        <f t="shared" si="103"/>
        <v>Long Tenure</v>
      </c>
      <c r="AB1243" s="5">
        <v>45136</v>
      </c>
      <c r="AC1243">
        <f t="shared" si="104"/>
        <v>0</v>
      </c>
      <c r="AD1243" t="s">
        <v>49</v>
      </c>
      <c r="AE1243">
        <f>VLOOKUP(A1243,'Employee Engagement Survey'!A1214:B2683,2,FALSE)</f>
        <v>3</v>
      </c>
      <c r="AF1243">
        <f>VLOOKUP(A1243,'Employee Engagement Survey'!A1214:C2683,3,FALSE)</f>
        <v>4</v>
      </c>
      <c r="AG1243">
        <f>VLOOKUP(A1243,'Employee Engagement Survey'!A1214:D2683,4,FALSE)</f>
        <v>3</v>
      </c>
      <c r="AH1243">
        <f>VLOOKUP(A1243,'Employee Engagement Survey'!A1214:E2683,5,FALSE)</f>
        <v>3</v>
      </c>
      <c r="AI1243">
        <f t="shared" si="102"/>
        <v>3.25</v>
      </c>
    </row>
    <row r="1244" spans="1:35" hidden="1" x14ac:dyDescent="0.4">
      <c r="A1244">
        <v>1628</v>
      </c>
      <c r="B1244" t="s">
        <v>34</v>
      </c>
      <c r="C1244">
        <f t="shared" si="100"/>
        <v>1</v>
      </c>
      <c r="D1244" t="s">
        <v>54</v>
      </c>
      <c r="E1244">
        <f t="shared" si="101"/>
        <v>1</v>
      </c>
      <c r="F1244" t="s">
        <v>28</v>
      </c>
      <c r="G1244">
        <v>9</v>
      </c>
      <c r="H1244" s="1">
        <v>137220</v>
      </c>
      <c r="I1244" s="10">
        <v>0.13</v>
      </c>
      <c r="J1244">
        <v>37.5</v>
      </c>
      <c r="K1244" t="s">
        <v>34</v>
      </c>
      <c r="L1244">
        <v>40</v>
      </c>
      <c r="M1244" t="s">
        <v>47</v>
      </c>
      <c r="N1244" t="s">
        <v>42</v>
      </c>
      <c r="O1244" t="s">
        <v>31</v>
      </c>
      <c r="P1244">
        <v>15</v>
      </c>
      <c r="Q1244" t="s">
        <v>43</v>
      </c>
      <c r="R1244" t="s">
        <v>37</v>
      </c>
      <c r="S1244">
        <v>3</v>
      </c>
      <c r="T1244">
        <v>2</v>
      </c>
      <c r="U1244">
        <v>18</v>
      </c>
      <c r="V1244">
        <v>2</v>
      </c>
      <c r="W1244">
        <v>18</v>
      </c>
      <c r="X1244">
        <v>15</v>
      </c>
      <c r="Y1244">
        <v>14</v>
      </c>
      <c r="Z1244">
        <v>12</v>
      </c>
      <c r="AA1244" t="str">
        <f t="shared" si="103"/>
        <v>Long Tenure</v>
      </c>
      <c r="AB1244" s="5">
        <v>46016</v>
      </c>
      <c r="AC1244">
        <f t="shared" si="104"/>
        <v>1</v>
      </c>
      <c r="AD1244" t="s">
        <v>38</v>
      </c>
      <c r="AE1244">
        <f>VLOOKUP(A1244,'Employee Engagement Survey'!A1215:B2684,2,FALSE)</f>
        <v>1</v>
      </c>
      <c r="AF1244">
        <f>VLOOKUP(A1244,'Employee Engagement Survey'!A1215:C2684,3,FALSE)</f>
        <v>3</v>
      </c>
      <c r="AG1244">
        <f>VLOOKUP(A1244,'Employee Engagement Survey'!A1215:D2684,4,FALSE)</f>
        <v>4</v>
      </c>
      <c r="AH1244">
        <f>VLOOKUP(A1244,'Employee Engagement Survey'!A1215:E2684,5,FALSE)</f>
        <v>3</v>
      </c>
      <c r="AI1244">
        <f t="shared" si="102"/>
        <v>2.75</v>
      </c>
    </row>
    <row r="1245" spans="1:35" hidden="1" x14ac:dyDescent="0.4">
      <c r="A1245">
        <v>1732</v>
      </c>
      <c r="B1245" t="s">
        <v>34</v>
      </c>
      <c r="C1245">
        <f t="shared" si="100"/>
        <v>1</v>
      </c>
      <c r="D1245" t="s">
        <v>57</v>
      </c>
      <c r="E1245">
        <f t="shared" si="101"/>
        <v>0</v>
      </c>
      <c r="F1245" t="s">
        <v>40</v>
      </c>
      <c r="G1245">
        <v>9</v>
      </c>
      <c r="H1245" s="1">
        <v>136416</v>
      </c>
      <c r="I1245" s="10">
        <v>0.12</v>
      </c>
      <c r="J1245">
        <v>37.5</v>
      </c>
      <c r="K1245" t="s">
        <v>26</v>
      </c>
      <c r="L1245">
        <v>46</v>
      </c>
      <c r="M1245" t="s">
        <v>29</v>
      </c>
      <c r="N1245" t="s">
        <v>48</v>
      </c>
      <c r="O1245" t="s">
        <v>31</v>
      </c>
      <c r="P1245">
        <v>2</v>
      </c>
      <c r="Q1245" t="s">
        <v>43</v>
      </c>
      <c r="R1245" t="s">
        <v>37</v>
      </c>
      <c r="S1245">
        <v>3</v>
      </c>
      <c r="T1245">
        <v>1</v>
      </c>
      <c r="U1245">
        <v>13</v>
      </c>
      <c r="V1245">
        <v>5</v>
      </c>
      <c r="W1245">
        <v>10</v>
      </c>
      <c r="X1245">
        <v>6</v>
      </c>
      <c r="Y1245">
        <v>0</v>
      </c>
      <c r="Z1245">
        <v>3</v>
      </c>
      <c r="AA1245" t="str">
        <f t="shared" si="103"/>
        <v>Long Tenure</v>
      </c>
      <c r="AB1245" s="5">
        <v>45172</v>
      </c>
      <c r="AC1245">
        <f t="shared" si="104"/>
        <v>0</v>
      </c>
      <c r="AD1245" t="s">
        <v>49</v>
      </c>
      <c r="AE1245">
        <f>VLOOKUP(A1245,'Employee Engagement Survey'!A1216:B2685,2,FALSE)</f>
        <v>3</v>
      </c>
      <c r="AF1245">
        <f>VLOOKUP(A1245,'Employee Engagement Survey'!A1216:C2685,3,FALSE)</f>
        <v>4</v>
      </c>
      <c r="AG1245">
        <f>VLOOKUP(A1245,'Employee Engagement Survey'!A1216:D2685,4,FALSE)</f>
        <v>2</v>
      </c>
      <c r="AH1245">
        <f>VLOOKUP(A1245,'Employee Engagement Survey'!A1216:E2685,5,FALSE)</f>
        <v>2</v>
      </c>
      <c r="AI1245">
        <f t="shared" si="102"/>
        <v>2.75</v>
      </c>
    </row>
    <row r="1246" spans="1:35" hidden="1" x14ac:dyDescent="0.4">
      <c r="A1246">
        <v>1815</v>
      </c>
      <c r="B1246" t="s">
        <v>34</v>
      </c>
      <c r="C1246">
        <f t="shared" si="100"/>
        <v>1</v>
      </c>
      <c r="D1246" t="s">
        <v>57</v>
      </c>
      <c r="E1246">
        <f t="shared" si="101"/>
        <v>0</v>
      </c>
      <c r="F1246" t="s">
        <v>40</v>
      </c>
      <c r="G1246">
        <v>9</v>
      </c>
      <c r="H1246" s="1">
        <v>137364</v>
      </c>
      <c r="I1246" s="10">
        <v>0.13</v>
      </c>
      <c r="J1246">
        <v>37.5</v>
      </c>
      <c r="K1246" t="s">
        <v>26</v>
      </c>
      <c r="L1246">
        <v>41</v>
      </c>
      <c r="M1246" t="s">
        <v>47</v>
      </c>
      <c r="N1246" t="s">
        <v>48</v>
      </c>
      <c r="O1246" t="s">
        <v>31</v>
      </c>
      <c r="P1246">
        <v>4</v>
      </c>
      <c r="Q1246" t="s">
        <v>32</v>
      </c>
      <c r="R1246" t="s">
        <v>56</v>
      </c>
      <c r="S1246">
        <v>3</v>
      </c>
      <c r="T1246">
        <v>1</v>
      </c>
      <c r="U1246">
        <v>23</v>
      </c>
      <c r="V1246">
        <v>3</v>
      </c>
      <c r="W1246">
        <v>22</v>
      </c>
      <c r="X1246">
        <v>14</v>
      </c>
      <c r="Y1246">
        <v>13</v>
      </c>
      <c r="Z1246">
        <v>5</v>
      </c>
      <c r="AA1246" t="str">
        <f t="shared" si="103"/>
        <v>Long Tenure</v>
      </c>
      <c r="AB1246" s="5">
        <v>45957</v>
      </c>
      <c r="AC1246">
        <f t="shared" si="104"/>
        <v>1</v>
      </c>
      <c r="AD1246" t="s">
        <v>49</v>
      </c>
      <c r="AE1246">
        <f>VLOOKUP(A1246,'Employee Engagement Survey'!A1217:B2686,2,FALSE)</f>
        <v>3</v>
      </c>
      <c r="AF1246">
        <f>VLOOKUP(A1246,'Employee Engagement Survey'!A1217:C2686,3,FALSE)</f>
        <v>3</v>
      </c>
      <c r="AG1246">
        <f>VLOOKUP(A1246,'Employee Engagement Survey'!A1217:D2686,4,FALSE)</f>
        <v>4</v>
      </c>
      <c r="AH1246">
        <f>VLOOKUP(A1246,'Employee Engagement Survey'!A1217:E2686,5,FALSE)</f>
        <v>4</v>
      </c>
      <c r="AI1246">
        <f t="shared" si="102"/>
        <v>3.5</v>
      </c>
    </row>
    <row r="1247" spans="1:35" hidden="1" x14ac:dyDescent="0.4">
      <c r="A1247">
        <v>244</v>
      </c>
      <c r="B1247" t="s">
        <v>34</v>
      </c>
      <c r="C1247">
        <f t="shared" si="100"/>
        <v>1</v>
      </c>
      <c r="D1247" t="s">
        <v>57</v>
      </c>
      <c r="E1247">
        <f t="shared" si="101"/>
        <v>0</v>
      </c>
      <c r="F1247" t="s">
        <v>40</v>
      </c>
      <c r="G1247">
        <v>9</v>
      </c>
      <c r="H1247" s="1">
        <v>137436</v>
      </c>
      <c r="I1247" s="10">
        <v>0.25</v>
      </c>
      <c r="J1247">
        <v>37.5</v>
      </c>
      <c r="K1247" t="s">
        <v>34</v>
      </c>
      <c r="L1247">
        <v>46</v>
      </c>
      <c r="M1247" t="s">
        <v>47</v>
      </c>
      <c r="N1247" t="s">
        <v>48</v>
      </c>
      <c r="O1247" t="s">
        <v>31</v>
      </c>
      <c r="P1247">
        <v>1</v>
      </c>
      <c r="Q1247" t="s">
        <v>36</v>
      </c>
      <c r="R1247" t="s">
        <v>56</v>
      </c>
      <c r="S1247">
        <v>4</v>
      </c>
      <c r="T1247">
        <v>3</v>
      </c>
      <c r="U1247">
        <v>24</v>
      </c>
      <c r="V1247">
        <v>2</v>
      </c>
      <c r="W1247">
        <v>24</v>
      </c>
      <c r="X1247">
        <v>13</v>
      </c>
      <c r="Y1247">
        <v>15</v>
      </c>
      <c r="Z1247">
        <v>7</v>
      </c>
      <c r="AA1247" t="str">
        <f t="shared" si="103"/>
        <v>Long Tenure</v>
      </c>
      <c r="AB1247" s="5">
        <v>45977</v>
      </c>
      <c r="AC1247">
        <f t="shared" si="104"/>
        <v>1</v>
      </c>
      <c r="AD1247" t="s">
        <v>49</v>
      </c>
      <c r="AE1247">
        <f>VLOOKUP(A1247,'Employee Engagement Survey'!A1219:B2688,2,FALSE)</f>
        <v>2</v>
      </c>
      <c r="AF1247">
        <f>VLOOKUP(A1247,'Employee Engagement Survey'!A1219:C2688,3,FALSE)</f>
        <v>1</v>
      </c>
      <c r="AG1247">
        <f>VLOOKUP(A1247,'Employee Engagement Survey'!A1219:D2688,4,FALSE)</f>
        <v>3</v>
      </c>
      <c r="AH1247">
        <f>VLOOKUP(A1247,'Employee Engagement Survey'!A1219:E2688,5,FALSE)</f>
        <v>3</v>
      </c>
      <c r="AI1247">
        <f t="shared" si="102"/>
        <v>2.25</v>
      </c>
    </row>
    <row r="1248" spans="1:35" hidden="1" x14ac:dyDescent="0.4">
      <c r="A1248">
        <v>1737</v>
      </c>
      <c r="B1248" t="s">
        <v>34</v>
      </c>
      <c r="C1248">
        <f t="shared" si="100"/>
        <v>1</v>
      </c>
      <c r="D1248" t="s">
        <v>46</v>
      </c>
      <c r="E1248">
        <f t="shared" si="101"/>
        <v>0</v>
      </c>
      <c r="F1248" t="s">
        <v>28</v>
      </c>
      <c r="G1248">
        <v>8</v>
      </c>
      <c r="H1248" s="1">
        <v>89664</v>
      </c>
      <c r="I1248" s="10">
        <v>0.15</v>
      </c>
      <c r="J1248">
        <v>37.5</v>
      </c>
      <c r="K1248" t="s">
        <v>26</v>
      </c>
      <c r="L1248">
        <v>39</v>
      </c>
      <c r="M1248" t="s">
        <v>29</v>
      </c>
      <c r="N1248" t="s">
        <v>42</v>
      </c>
      <c r="O1248" t="s">
        <v>35</v>
      </c>
      <c r="P1248">
        <v>1</v>
      </c>
      <c r="Q1248" t="s">
        <v>43</v>
      </c>
      <c r="R1248" t="s">
        <v>37</v>
      </c>
      <c r="S1248">
        <v>3</v>
      </c>
      <c r="T1248">
        <v>1</v>
      </c>
      <c r="U1248">
        <v>9</v>
      </c>
      <c r="V1248">
        <v>2</v>
      </c>
      <c r="W1248">
        <v>9</v>
      </c>
      <c r="X1248">
        <v>8</v>
      </c>
      <c r="Y1248">
        <v>5</v>
      </c>
      <c r="Z1248">
        <v>8</v>
      </c>
      <c r="AA1248" t="str">
        <f t="shared" si="103"/>
        <v>Mid Tenure</v>
      </c>
      <c r="AB1248" s="5">
        <v>44633</v>
      </c>
      <c r="AC1248">
        <f t="shared" si="104"/>
        <v>0</v>
      </c>
      <c r="AD1248" t="s">
        <v>38</v>
      </c>
      <c r="AE1248">
        <f>VLOOKUP(A1248,'Employee Engagement Survey'!A1221:B2690,2,FALSE)</f>
        <v>4</v>
      </c>
      <c r="AF1248">
        <f>VLOOKUP(A1248,'Employee Engagement Survey'!A1221:C2690,3,FALSE)</f>
        <v>4</v>
      </c>
      <c r="AG1248">
        <f>VLOOKUP(A1248,'Employee Engagement Survey'!A1221:D2690,4,FALSE)</f>
        <v>4</v>
      </c>
      <c r="AH1248">
        <f>VLOOKUP(A1248,'Employee Engagement Survey'!A1221:E2690,5,FALSE)</f>
        <v>3</v>
      </c>
      <c r="AI1248">
        <f t="shared" si="102"/>
        <v>3.75</v>
      </c>
    </row>
    <row r="1249" spans="1:35" hidden="1" x14ac:dyDescent="0.4">
      <c r="A1249">
        <v>1739</v>
      </c>
      <c r="B1249" t="s">
        <v>34</v>
      </c>
      <c r="C1249">
        <f t="shared" si="100"/>
        <v>1</v>
      </c>
      <c r="D1249" t="s">
        <v>57</v>
      </c>
      <c r="E1249">
        <f t="shared" si="101"/>
        <v>0</v>
      </c>
      <c r="F1249" t="s">
        <v>40</v>
      </c>
      <c r="G1249">
        <v>9</v>
      </c>
      <c r="H1249" s="1">
        <v>127320</v>
      </c>
      <c r="I1249" s="10">
        <v>0.13</v>
      </c>
      <c r="J1249">
        <v>37.5</v>
      </c>
      <c r="K1249" t="s">
        <v>34</v>
      </c>
      <c r="L1249">
        <v>32</v>
      </c>
      <c r="M1249" t="s">
        <v>29</v>
      </c>
      <c r="N1249" t="s">
        <v>42</v>
      </c>
      <c r="O1249" t="s">
        <v>31</v>
      </c>
      <c r="P1249">
        <v>19</v>
      </c>
      <c r="Q1249" t="s">
        <v>43</v>
      </c>
      <c r="R1249" t="s">
        <v>37</v>
      </c>
      <c r="S1249">
        <v>3</v>
      </c>
      <c r="T1249">
        <v>1</v>
      </c>
      <c r="U1249">
        <v>10</v>
      </c>
      <c r="V1249">
        <v>2</v>
      </c>
      <c r="W1249">
        <v>4</v>
      </c>
      <c r="X1249">
        <v>3</v>
      </c>
      <c r="Y1249">
        <v>0</v>
      </c>
      <c r="Z1249">
        <v>2</v>
      </c>
      <c r="AA1249" t="str">
        <f t="shared" si="103"/>
        <v>Mid Tenure</v>
      </c>
      <c r="AB1249" s="5">
        <v>44831</v>
      </c>
      <c r="AC1249">
        <f t="shared" si="104"/>
        <v>0</v>
      </c>
      <c r="AD1249" t="s">
        <v>49</v>
      </c>
      <c r="AE1249">
        <f>VLOOKUP(A1249,'Employee Engagement Survey'!A1222:B2691,2,FALSE)</f>
        <v>4</v>
      </c>
      <c r="AF1249">
        <f>VLOOKUP(A1249,'Employee Engagement Survey'!A1222:C2691,3,FALSE)</f>
        <v>3</v>
      </c>
      <c r="AG1249">
        <f>VLOOKUP(A1249,'Employee Engagement Survey'!A1222:D2691,4,FALSE)</f>
        <v>3</v>
      </c>
      <c r="AH1249">
        <f>VLOOKUP(A1249,'Employee Engagement Survey'!A1222:E2691,5,FALSE)</f>
        <v>1</v>
      </c>
      <c r="AI1249">
        <f t="shared" si="102"/>
        <v>2.75</v>
      </c>
    </row>
    <row r="1250" spans="1:35" hidden="1" x14ac:dyDescent="0.4">
      <c r="A1250">
        <v>1740</v>
      </c>
      <c r="B1250" t="s">
        <v>34</v>
      </c>
      <c r="C1250">
        <f t="shared" si="100"/>
        <v>1</v>
      </c>
      <c r="D1250" t="s">
        <v>110</v>
      </c>
      <c r="E1250">
        <f t="shared" si="101"/>
        <v>1</v>
      </c>
      <c r="F1250" t="s">
        <v>40</v>
      </c>
      <c r="G1250">
        <v>5</v>
      </c>
      <c r="H1250" s="1">
        <v>249996</v>
      </c>
      <c r="I1250" s="10">
        <v>0.14000000000000001</v>
      </c>
      <c r="J1250">
        <v>37.5</v>
      </c>
      <c r="K1250" t="s">
        <v>34</v>
      </c>
      <c r="L1250">
        <v>40</v>
      </c>
      <c r="M1250" t="s">
        <v>29</v>
      </c>
      <c r="N1250" t="s">
        <v>30</v>
      </c>
      <c r="O1250" t="s">
        <v>31</v>
      </c>
      <c r="P1250">
        <v>7</v>
      </c>
      <c r="Q1250" t="s">
        <v>51</v>
      </c>
      <c r="R1250" t="s">
        <v>33</v>
      </c>
      <c r="S1250">
        <v>3</v>
      </c>
      <c r="T1250">
        <v>0</v>
      </c>
      <c r="U1250">
        <v>21</v>
      </c>
      <c r="V1250">
        <v>3</v>
      </c>
      <c r="W1250">
        <v>21</v>
      </c>
      <c r="X1250">
        <v>8</v>
      </c>
      <c r="Y1250">
        <v>12</v>
      </c>
      <c r="Z1250">
        <v>8</v>
      </c>
      <c r="AA1250" t="str">
        <f t="shared" si="103"/>
        <v>Long Tenure</v>
      </c>
      <c r="AB1250" s="5">
        <v>45588</v>
      </c>
      <c r="AC1250">
        <f t="shared" si="104"/>
        <v>1</v>
      </c>
      <c r="AD1250" t="s">
        <v>38</v>
      </c>
      <c r="AE1250">
        <f>VLOOKUP(A1250,'Employee Engagement Survey'!A1223:B2692,2,FALSE)</f>
        <v>2</v>
      </c>
      <c r="AF1250">
        <f>VLOOKUP(A1250,'Employee Engagement Survey'!A1223:C2692,3,FALSE)</f>
        <v>2</v>
      </c>
      <c r="AG1250">
        <f>VLOOKUP(A1250,'Employee Engagement Survey'!A1223:D2692,4,FALSE)</f>
        <v>2</v>
      </c>
      <c r="AH1250">
        <f>VLOOKUP(A1250,'Employee Engagement Survey'!A1223:E2692,5,FALSE)</f>
        <v>2</v>
      </c>
      <c r="AI1250">
        <f t="shared" si="102"/>
        <v>2</v>
      </c>
    </row>
    <row r="1251" spans="1:35" hidden="1" x14ac:dyDescent="0.4">
      <c r="A1251">
        <v>1245</v>
      </c>
      <c r="B1251" t="s">
        <v>34</v>
      </c>
      <c r="C1251">
        <f t="shared" si="100"/>
        <v>1</v>
      </c>
      <c r="D1251" t="s">
        <v>54</v>
      </c>
      <c r="E1251">
        <f t="shared" si="101"/>
        <v>1</v>
      </c>
      <c r="F1251" t="s">
        <v>28</v>
      </c>
      <c r="G1251">
        <v>9</v>
      </c>
      <c r="H1251" s="1">
        <v>138024</v>
      </c>
      <c r="I1251" s="10">
        <v>0.17</v>
      </c>
      <c r="J1251">
        <v>37.5</v>
      </c>
      <c r="K1251" t="s">
        <v>34</v>
      </c>
      <c r="L1251">
        <v>54</v>
      </c>
      <c r="M1251" t="s">
        <v>47</v>
      </c>
      <c r="N1251" t="s">
        <v>48</v>
      </c>
      <c r="O1251" t="s">
        <v>44</v>
      </c>
      <c r="P1251">
        <v>1</v>
      </c>
      <c r="Q1251" t="s">
        <v>51</v>
      </c>
      <c r="R1251" t="s">
        <v>37</v>
      </c>
      <c r="S1251">
        <v>3</v>
      </c>
      <c r="T1251">
        <v>1</v>
      </c>
      <c r="U1251">
        <v>33</v>
      </c>
      <c r="V1251">
        <v>2</v>
      </c>
      <c r="W1251">
        <v>5</v>
      </c>
      <c r="X1251">
        <v>4</v>
      </c>
      <c r="Y1251">
        <v>1</v>
      </c>
      <c r="Z1251">
        <v>4</v>
      </c>
      <c r="AA1251" t="str">
        <f t="shared" si="103"/>
        <v>Mid Tenure</v>
      </c>
      <c r="AB1251" s="5">
        <v>45185</v>
      </c>
      <c r="AC1251">
        <f t="shared" si="104"/>
        <v>0</v>
      </c>
      <c r="AD1251" t="s">
        <v>38</v>
      </c>
      <c r="AE1251">
        <f>VLOOKUP(A1251,'Employee Engagement Survey'!A1224:B2693,2,FALSE)</f>
        <v>4</v>
      </c>
      <c r="AF1251">
        <f>VLOOKUP(A1251,'Employee Engagement Survey'!A1224:C2693,3,FALSE)</f>
        <v>3</v>
      </c>
      <c r="AG1251">
        <f>VLOOKUP(A1251,'Employee Engagement Survey'!A1224:D2693,4,FALSE)</f>
        <v>1</v>
      </c>
      <c r="AH1251">
        <f>VLOOKUP(A1251,'Employee Engagement Survey'!A1224:E2693,5,FALSE)</f>
        <v>1</v>
      </c>
      <c r="AI1251">
        <f t="shared" si="102"/>
        <v>2.25</v>
      </c>
    </row>
    <row r="1252" spans="1:35" hidden="1" x14ac:dyDescent="0.4">
      <c r="A1252">
        <v>1746</v>
      </c>
      <c r="B1252" t="s">
        <v>34</v>
      </c>
      <c r="C1252">
        <f t="shared" si="100"/>
        <v>1</v>
      </c>
      <c r="D1252" t="s">
        <v>105</v>
      </c>
      <c r="E1252">
        <f t="shared" si="101"/>
        <v>0</v>
      </c>
      <c r="F1252" t="s">
        <v>59</v>
      </c>
      <c r="G1252">
        <v>3</v>
      </c>
      <c r="H1252" s="1">
        <v>49740</v>
      </c>
      <c r="I1252" s="10">
        <v>0.14000000000000001</v>
      </c>
      <c r="J1252">
        <v>37.5</v>
      </c>
      <c r="K1252" t="s">
        <v>34</v>
      </c>
      <c r="L1252">
        <v>24</v>
      </c>
      <c r="M1252" t="s">
        <v>29</v>
      </c>
      <c r="N1252" t="s">
        <v>42</v>
      </c>
      <c r="O1252" t="s">
        <v>44</v>
      </c>
      <c r="P1252">
        <v>10</v>
      </c>
      <c r="Q1252" t="s">
        <v>43</v>
      </c>
      <c r="R1252" t="s">
        <v>33</v>
      </c>
      <c r="S1252">
        <v>3</v>
      </c>
      <c r="T1252">
        <v>1</v>
      </c>
      <c r="U1252">
        <v>3</v>
      </c>
      <c r="V1252">
        <v>2</v>
      </c>
      <c r="W1252">
        <v>2</v>
      </c>
      <c r="X1252">
        <v>2</v>
      </c>
      <c r="Y1252">
        <v>2</v>
      </c>
      <c r="Z1252">
        <v>1</v>
      </c>
      <c r="AA1252" t="str">
        <f t="shared" si="103"/>
        <v>Early Tenure</v>
      </c>
      <c r="AB1252" s="5">
        <v>45881</v>
      </c>
      <c r="AC1252">
        <f t="shared" si="104"/>
        <v>1</v>
      </c>
      <c r="AD1252" t="s">
        <v>49</v>
      </c>
      <c r="AE1252">
        <f>VLOOKUP(A1252,'Employee Engagement Survey'!A1225:B2694,2,FALSE)</f>
        <v>1</v>
      </c>
      <c r="AF1252">
        <f>VLOOKUP(A1252,'Employee Engagement Survey'!A1225:C2694,3,FALSE)</f>
        <v>4</v>
      </c>
      <c r="AG1252">
        <f>VLOOKUP(A1252,'Employee Engagement Survey'!A1225:D2694,4,FALSE)</f>
        <v>4</v>
      </c>
      <c r="AH1252">
        <f>VLOOKUP(A1252,'Employee Engagement Survey'!A1225:E2694,5,FALSE)</f>
        <v>3</v>
      </c>
      <c r="AI1252">
        <f t="shared" si="102"/>
        <v>3</v>
      </c>
    </row>
    <row r="1253" spans="1:35" hidden="1" x14ac:dyDescent="0.4">
      <c r="A1253">
        <v>624</v>
      </c>
      <c r="B1253" t="s">
        <v>34</v>
      </c>
      <c r="C1253">
        <f t="shared" si="100"/>
        <v>1</v>
      </c>
      <c r="D1253" t="s">
        <v>55</v>
      </c>
      <c r="E1253">
        <f t="shared" si="101"/>
        <v>0</v>
      </c>
      <c r="F1253" t="s">
        <v>28</v>
      </c>
      <c r="G1253">
        <v>9</v>
      </c>
      <c r="H1253" s="1">
        <v>138324</v>
      </c>
      <c r="I1253" s="10">
        <v>0.11</v>
      </c>
      <c r="J1253">
        <v>37.5</v>
      </c>
      <c r="K1253" t="s">
        <v>34</v>
      </c>
      <c r="L1253">
        <v>46</v>
      </c>
      <c r="M1253" t="s">
        <v>47</v>
      </c>
      <c r="N1253" t="s">
        <v>42</v>
      </c>
      <c r="O1253" t="s">
        <v>44</v>
      </c>
      <c r="P1253">
        <v>18</v>
      </c>
      <c r="Q1253" t="s">
        <v>32</v>
      </c>
      <c r="R1253" t="s">
        <v>33</v>
      </c>
      <c r="S1253">
        <v>3</v>
      </c>
      <c r="T1253">
        <v>0</v>
      </c>
      <c r="U1253">
        <v>28</v>
      </c>
      <c r="V1253">
        <v>3</v>
      </c>
      <c r="W1253">
        <v>2</v>
      </c>
      <c r="X1253">
        <v>2</v>
      </c>
      <c r="Y1253">
        <v>1</v>
      </c>
      <c r="Z1253">
        <v>2</v>
      </c>
      <c r="AA1253" t="str">
        <f t="shared" si="103"/>
        <v>Early Tenure</v>
      </c>
      <c r="AB1253" s="5">
        <v>44787</v>
      </c>
      <c r="AC1253">
        <f t="shared" si="104"/>
        <v>0</v>
      </c>
      <c r="AD1253" t="s">
        <v>38</v>
      </c>
      <c r="AE1253">
        <f>VLOOKUP(A1253,'Employee Engagement Survey'!A1226:B2695,2,FALSE)</f>
        <v>1</v>
      </c>
      <c r="AF1253">
        <f>VLOOKUP(A1253,'Employee Engagement Survey'!A1226:C2695,3,FALSE)</f>
        <v>3</v>
      </c>
      <c r="AG1253">
        <f>VLOOKUP(A1253,'Employee Engagement Survey'!A1226:D2695,4,FALSE)</f>
        <v>4</v>
      </c>
      <c r="AH1253">
        <f>VLOOKUP(A1253,'Employee Engagement Survey'!A1226:E2695,5,FALSE)</f>
        <v>2</v>
      </c>
      <c r="AI1253">
        <f t="shared" si="102"/>
        <v>2.5</v>
      </c>
    </row>
    <row r="1254" spans="1:35" hidden="1" x14ac:dyDescent="0.4">
      <c r="A1254">
        <v>940</v>
      </c>
      <c r="B1254" t="s">
        <v>34</v>
      </c>
      <c r="C1254">
        <f t="shared" si="100"/>
        <v>1</v>
      </c>
      <c r="D1254" t="s">
        <v>55</v>
      </c>
      <c r="E1254">
        <f t="shared" si="101"/>
        <v>0</v>
      </c>
      <c r="F1254" t="s">
        <v>28</v>
      </c>
      <c r="G1254">
        <v>9</v>
      </c>
      <c r="H1254" s="1">
        <v>138624</v>
      </c>
      <c r="I1254" s="10">
        <v>0.13</v>
      </c>
      <c r="J1254">
        <v>37.5</v>
      </c>
      <c r="K1254" t="s">
        <v>26</v>
      </c>
      <c r="L1254">
        <v>58</v>
      </c>
      <c r="M1254" t="s">
        <v>47</v>
      </c>
      <c r="N1254" t="s">
        <v>48</v>
      </c>
      <c r="O1254" t="s">
        <v>31</v>
      </c>
      <c r="P1254">
        <v>5</v>
      </c>
      <c r="Q1254" t="s">
        <v>43</v>
      </c>
      <c r="R1254" t="s">
        <v>45</v>
      </c>
      <c r="S1254">
        <v>3</v>
      </c>
      <c r="T1254">
        <v>1</v>
      </c>
      <c r="U1254">
        <v>24</v>
      </c>
      <c r="V1254">
        <v>3</v>
      </c>
      <c r="W1254">
        <v>6</v>
      </c>
      <c r="X1254">
        <v>0</v>
      </c>
      <c r="Y1254">
        <v>0</v>
      </c>
      <c r="Z1254">
        <v>4</v>
      </c>
      <c r="AA1254" t="str">
        <f t="shared" si="103"/>
        <v>Mid Tenure</v>
      </c>
      <c r="AB1254" s="5">
        <v>45761</v>
      </c>
      <c r="AC1254">
        <f t="shared" si="104"/>
        <v>1</v>
      </c>
      <c r="AD1254" t="s">
        <v>38</v>
      </c>
      <c r="AE1254">
        <f>VLOOKUP(A1254,'Employee Engagement Survey'!A1227:B2696,2,FALSE)</f>
        <v>3</v>
      </c>
      <c r="AF1254">
        <f>VLOOKUP(A1254,'Employee Engagement Survey'!A1227:C2696,3,FALSE)</f>
        <v>2</v>
      </c>
      <c r="AG1254">
        <f>VLOOKUP(A1254,'Employee Engagement Survey'!A1227:D2696,4,FALSE)</f>
        <v>4</v>
      </c>
      <c r="AH1254">
        <f>VLOOKUP(A1254,'Employee Engagement Survey'!A1227:E2696,5,FALSE)</f>
        <v>3</v>
      </c>
      <c r="AI1254">
        <f t="shared" si="102"/>
        <v>3</v>
      </c>
    </row>
    <row r="1255" spans="1:35" hidden="1" x14ac:dyDescent="0.4">
      <c r="A1255">
        <v>1749</v>
      </c>
      <c r="B1255" t="s">
        <v>34</v>
      </c>
      <c r="C1255">
        <f t="shared" si="100"/>
        <v>1</v>
      </c>
      <c r="D1255" t="s">
        <v>57</v>
      </c>
      <c r="E1255">
        <f t="shared" si="101"/>
        <v>0</v>
      </c>
      <c r="F1255" t="s">
        <v>40</v>
      </c>
      <c r="G1255">
        <v>9</v>
      </c>
      <c r="H1255" s="1">
        <v>112152</v>
      </c>
      <c r="I1255" s="10">
        <v>0.19</v>
      </c>
      <c r="J1255">
        <v>37.5</v>
      </c>
      <c r="K1255" t="s">
        <v>34</v>
      </c>
      <c r="L1255">
        <v>31</v>
      </c>
      <c r="M1255" t="s">
        <v>29</v>
      </c>
      <c r="N1255" t="s">
        <v>42</v>
      </c>
      <c r="O1255" t="s">
        <v>31</v>
      </c>
      <c r="P1255">
        <v>5</v>
      </c>
      <c r="Q1255" t="s">
        <v>43</v>
      </c>
      <c r="R1255" t="s">
        <v>45</v>
      </c>
      <c r="S1255">
        <v>3</v>
      </c>
      <c r="T1255">
        <v>1</v>
      </c>
      <c r="U1255">
        <v>6</v>
      </c>
      <c r="V1255">
        <v>3</v>
      </c>
      <c r="W1255">
        <v>5</v>
      </c>
      <c r="X1255">
        <v>2</v>
      </c>
      <c r="Y1255">
        <v>0</v>
      </c>
      <c r="Z1255">
        <v>2</v>
      </c>
      <c r="AA1255" t="str">
        <f t="shared" si="103"/>
        <v>Mid Tenure</v>
      </c>
      <c r="AB1255" s="5">
        <v>45969</v>
      </c>
      <c r="AC1255">
        <f t="shared" si="104"/>
        <v>1</v>
      </c>
      <c r="AD1255" t="s">
        <v>38</v>
      </c>
      <c r="AE1255">
        <f>VLOOKUP(A1255,'Employee Engagement Survey'!A1228:B2697,2,FALSE)</f>
        <v>1</v>
      </c>
      <c r="AF1255">
        <f>VLOOKUP(A1255,'Employee Engagement Survey'!A1228:C2697,3,FALSE)</f>
        <v>3</v>
      </c>
      <c r="AG1255">
        <f>VLOOKUP(A1255,'Employee Engagement Survey'!A1228:D2697,4,FALSE)</f>
        <v>3</v>
      </c>
      <c r="AH1255">
        <f>VLOOKUP(A1255,'Employee Engagement Survey'!A1228:E2697,5,FALSE)</f>
        <v>3</v>
      </c>
      <c r="AI1255">
        <f t="shared" si="102"/>
        <v>2.5</v>
      </c>
    </row>
    <row r="1256" spans="1:35" hidden="1" x14ac:dyDescent="0.4">
      <c r="A1256">
        <v>1753</v>
      </c>
      <c r="B1256" t="s">
        <v>34</v>
      </c>
      <c r="C1256">
        <f t="shared" si="100"/>
        <v>1</v>
      </c>
      <c r="D1256" t="s">
        <v>55</v>
      </c>
      <c r="E1256">
        <f t="shared" si="101"/>
        <v>0</v>
      </c>
      <c r="F1256" t="s">
        <v>28</v>
      </c>
      <c r="G1256">
        <v>8</v>
      </c>
      <c r="H1256" s="1">
        <v>87528</v>
      </c>
      <c r="I1256" s="10">
        <v>0.12</v>
      </c>
      <c r="J1256">
        <v>37.5</v>
      </c>
      <c r="K1256" t="s">
        <v>26</v>
      </c>
      <c r="L1256">
        <v>29</v>
      </c>
      <c r="M1256" t="s">
        <v>29</v>
      </c>
      <c r="N1256" t="s">
        <v>30</v>
      </c>
      <c r="O1256" t="s">
        <v>44</v>
      </c>
      <c r="P1256">
        <v>1</v>
      </c>
      <c r="Q1256" t="s">
        <v>43</v>
      </c>
      <c r="R1256" t="s">
        <v>37</v>
      </c>
      <c r="S1256">
        <v>3</v>
      </c>
      <c r="T1256">
        <v>0</v>
      </c>
      <c r="U1256">
        <v>10</v>
      </c>
      <c r="V1256">
        <v>5</v>
      </c>
      <c r="W1256">
        <v>3</v>
      </c>
      <c r="X1256">
        <v>2</v>
      </c>
      <c r="Y1256">
        <v>0</v>
      </c>
      <c r="Z1256">
        <v>2</v>
      </c>
      <c r="AA1256" t="str">
        <f t="shared" si="103"/>
        <v>Mid Tenure</v>
      </c>
      <c r="AB1256" s="5">
        <v>44653</v>
      </c>
      <c r="AC1256">
        <f t="shared" si="104"/>
        <v>0</v>
      </c>
      <c r="AD1256" t="s">
        <v>49</v>
      </c>
      <c r="AE1256">
        <f>VLOOKUP(A1256,'Employee Engagement Survey'!A1229:B2698,2,FALSE)</f>
        <v>4</v>
      </c>
      <c r="AF1256">
        <f>VLOOKUP(A1256,'Employee Engagement Survey'!A1229:C2698,3,FALSE)</f>
        <v>3</v>
      </c>
      <c r="AG1256">
        <f>VLOOKUP(A1256,'Employee Engagement Survey'!A1229:D2698,4,FALSE)</f>
        <v>4</v>
      </c>
      <c r="AH1256">
        <f>VLOOKUP(A1256,'Employee Engagement Survey'!A1229:E2698,5,FALSE)</f>
        <v>4</v>
      </c>
      <c r="AI1256">
        <f t="shared" si="102"/>
        <v>3.75</v>
      </c>
    </row>
    <row r="1257" spans="1:35" hidden="1" x14ac:dyDescent="0.4">
      <c r="A1257">
        <v>1754</v>
      </c>
      <c r="B1257" t="s">
        <v>34</v>
      </c>
      <c r="C1257">
        <f t="shared" si="100"/>
        <v>1</v>
      </c>
      <c r="D1257" t="s">
        <v>57</v>
      </c>
      <c r="E1257">
        <f t="shared" si="101"/>
        <v>0</v>
      </c>
      <c r="F1257" t="s">
        <v>40</v>
      </c>
      <c r="G1257">
        <v>8</v>
      </c>
      <c r="H1257" s="1">
        <v>97680</v>
      </c>
      <c r="I1257" s="10">
        <v>0.11</v>
      </c>
      <c r="J1257">
        <v>37.5</v>
      </c>
      <c r="K1257" t="s">
        <v>34</v>
      </c>
      <c r="L1257">
        <v>30</v>
      </c>
      <c r="M1257" t="s">
        <v>29</v>
      </c>
      <c r="N1257" t="s">
        <v>48</v>
      </c>
      <c r="O1257" t="s">
        <v>31</v>
      </c>
      <c r="P1257">
        <v>15</v>
      </c>
      <c r="Q1257" t="s">
        <v>36</v>
      </c>
      <c r="R1257" t="s">
        <v>56</v>
      </c>
      <c r="S1257">
        <v>3</v>
      </c>
      <c r="T1257">
        <v>1</v>
      </c>
      <c r="U1257">
        <v>12</v>
      </c>
      <c r="V1257">
        <v>2</v>
      </c>
      <c r="W1257">
        <v>7</v>
      </c>
      <c r="X1257">
        <v>7</v>
      </c>
      <c r="Y1257">
        <v>1</v>
      </c>
      <c r="Z1257">
        <v>7</v>
      </c>
      <c r="AA1257" t="str">
        <f t="shared" si="103"/>
        <v>Mid Tenure</v>
      </c>
      <c r="AB1257" s="5">
        <v>45254</v>
      </c>
      <c r="AC1257">
        <f t="shared" si="104"/>
        <v>0</v>
      </c>
      <c r="AD1257" t="s">
        <v>49</v>
      </c>
      <c r="AE1257">
        <f>VLOOKUP(A1257,'Employee Engagement Survey'!A1230:B2699,2,FALSE)</f>
        <v>3</v>
      </c>
      <c r="AF1257">
        <f>VLOOKUP(A1257,'Employee Engagement Survey'!A1230:C2699,3,FALSE)</f>
        <v>1</v>
      </c>
      <c r="AG1257">
        <f>VLOOKUP(A1257,'Employee Engagement Survey'!A1230:D2699,4,FALSE)</f>
        <v>1</v>
      </c>
      <c r="AH1257">
        <f>VLOOKUP(A1257,'Employee Engagement Survey'!A1230:E2699,5,FALSE)</f>
        <v>3</v>
      </c>
      <c r="AI1257">
        <f t="shared" si="102"/>
        <v>2</v>
      </c>
    </row>
    <row r="1258" spans="1:35" hidden="1" x14ac:dyDescent="0.4">
      <c r="A1258">
        <v>1755</v>
      </c>
      <c r="B1258" t="s">
        <v>34</v>
      </c>
      <c r="C1258">
        <f t="shared" si="100"/>
        <v>1</v>
      </c>
      <c r="D1258" t="s">
        <v>27</v>
      </c>
      <c r="E1258">
        <f t="shared" si="101"/>
        <v>0</v>
      </c>
      <c r="F1258" t="s">
        <v>28</v>
      </c>
      <c r="G1258">
        <v>5</v>
      </c>
      <c r="H1258" s="1">
        <v>59184</v>
      </c>
      <c r="I1258" s="10">
        <v>0.14000000000000001</v>
      </c>
      <c r="J1258">
        <v>37.5</v>
      </c>
      <c r="K1258" t="s">
        <v>26</v>
      </c>
      <c r="L1258">
        <v>34</v>
      </c>
      <c r="M1258" t="s">
        <v>29</v>
      </c>
      <c r="N1258" t="s">
        <v>42</v>
      </c>
      <c r="O1258" t="s">
        <v>31</v>
      </c>
      <c r="P1258">
        <v>2</v>
      </c>
      <c r="Q1258" t="s">
        <v>51</v>
      </c>
      <c r="R1258" t="s">
        <v>33</v>
      </c>
      <c r="S1258">
        <v>3</v>
      </c>
      <c r="T1258">
        <v>3</v>
      </c>
      <c r="U1258">
        <v>6</v>
      </c>
      <c r="V1258">
        <v>3</v>
      </c>
      <c r="W1258">
        <v>5</v>
      </c>
      <c r="X1258">
        <v>0</v>
      </c>
      <c r="Y1258">
        <v>1</v>
      </c>
      <c r="Z1258">
        <v>2</v>
      </c>
      <c r="AA1258" t="str">
        <f t="shared" si="103"/>
        <v>Mid Tenure</v>
      </c>
      <c r="AB1258" s="5">
        <v>44747</v>
      </c>
      <c r="AC1258">
        <f t="shared" si="104"/>
        <v>0</v>
      </c>
      <c r="AD1258" t="s">
        <v>38</v>
      </c>
      <c r="AE1258">
        <f>VLOOKUP(A1258,'Employee Engagement Survey'!A1231:B2700,2,FALSE)</f>
        <v>4</v>
      </c>
      <c r="AF1258">
        <f>VLOOKUP(A1258,'Employee Engagement Survey'!A1231:C2700,3,FALSE)</f>
        <v>4</v>
      </c>
      <c r="AG1258">
        <f>VLOOKUP(A1258,'Employee Engagement Survey'!A1231:D2700,4,FALSE)</f>
        <v>1</v>
      </c>
      <c r="AH1258">
        <f>VLOOKUP(A1258,'Employee Engagement Survey'!A1231:E2700,5,FALSE)</f>
        <v>3</v>
      </c>
      <c r="AI1258">
        <f t="shared" si="102"/>
        <v>3</v>
      </c>
    </row>
    <row r="1259" spans="1:35" hidden="1" x14ac:dyDescent="0.4">
      <c r="A1259">
        <v>1763</v>
      </c>
      <c r="B1259" t="s">
        <v>34</v>
      </c>
      <c r="C1259">
        <f t="shared" si="100"/>
        <v>1</v>
      </c>
      <c r="D1259" t="s">
        <v>55</v>
      </c>
      <c r="E1259">
        <f t="shared" si="101"/>
        <v>0</v>
      </c>
      <c r="F1259" t="s">
        <v>28</v>
      </c>
      <c r="G1259">
        <v>7</v>
      </c>
      <c r="H1259" s="1">
        <v>75528</v>
      </c>
      <c r="I1259" s="10">
        <v>0.16</v>
      </c>
      <c r="J1259">
        <v>37.5</v>
      </c>
      <c r="K1259" t="s">
        <v>34</v>
      </c>
      <c r="L1259">
        <v>30</v>
      </c>
      <c r="M1259" t="s">
        <v>29</v>
      </c>
      <c r="N1259" t="s">
        <v>42</v>
      </c>
      <c r="O1259" t="s">
        <v>31</v>
      </c>
      <c r="P1259">
        <v>16</v>
      </c>
      <c r="Q1259" t="s">
        <v>43</v>
      </c>
      <c r="R1259" t="s">
        <v>37</v>
      </c>
      <c r="S1259">
        <v>3</v>
      </c>
      <c r="T1259">
        <v>1</v>
      </c>
      <c r="U1259">
        <v>10</v>
      </c>
      <c r="V1259">
        <v>3</v>
      </c>
      <c r="W1259">
        <v>7</v>
      </c>
      <c r="X1259">
        <v>0</v>
      </c>
      <c r="Y1259">
        <v>1</v>
      </c>
      <c r="Z1259">
        <v>7</v>
      </c>
      <c r="AA1259" t="str">
        <f t="shared" si="103"/>
        <v>Mid Tenure</v>
      </c>
      <c r="AB1259" s="5">
        <v>45263</v>
      </c>
      <c r="AC1259">
        <f t="shared" si="104"/>
        <v>0</v>
      </c>
      <c r="AD1259" t="s">
        <v>38</v>
      </c>
      <c r="AE1259">
        <f>VLOOKUP(A1259,'Employee Engagement Survey'!A1233:B2702,2,FALSE)</f>
        <v>3</v>
      </c>
      <c r="AF1259">
        <f>VLOOKUP(A1259,'Employee Engagement Survey'!A1233:C2702,3,FALSE)</f>
        <v>3</v>
      </c>
      <c r="AG1259">
        <f>VLOOKUP(A1259,'Employee Engagement Survey'!A1233:D2702,4,FALSE)</f>
        <v>3</v>
      </c>
      <c r="AH1259">
        <f>VLOOKUP(A1259,'Employee Engagement Survey'!A1233:E2702,5,FALSE)</f>
        <v>3</v>
      </c>
      <c r="AI1259">
        <f t="shared" si="102"/>
        <v>3</v>
      </c>
    </row>
    <row r="1260" spans="1:35" hidden="1" x14ac:dyDescent="0.4">
      <c r="A1260">
        <v>880</v>
      </c>
      <c r="B1260" t="s">
        <v>34</v>
      </c>
      <c r="C1260">
        <f t="shared" si="100"/>
        <v>1</v>
      </c>
      <c r="D1260" t="s">
        <v>54</v>
      </c>
      <c r="E1260">
        <f t="shared" si="101"/>
        <v>1</v>
      </c>
      <c r="F1260" t="s">
        <v>28</v>
      </c>
      <c r="G1260">
        <v>10</v>
      </c>
      <c r="H1260" s="1">
        <v>140220</v>
      </c>
      <c r="I1260" s="10">
        <v>0.2</v>
      </c>
      <c r="J1260">
        <v>37.5</v>
      </c>
      <c r="K1260" t="s">
        <v>26</v>
      </c>
      <c r="L1260">
        <v>35</v>
      </c>
      <c r="M1260" t="s">
        <v>47</v>
      </c>
      <c r="N1260" t="s">
        <v>42</v>
      </c>
      <c r="O1260" t="s">
        <v>31</v>
      </c>
      <c r="P1260">
        <v>9</v>
      </c>
      <c r="Q1260" t="s">
        <v>43</v>
      </c>
      <c r="R1260" t="s">
        <v>37</v>
      </c>
      <c r="S1260">
        <v>4</v>
      </c>
      <c r="T1260">
        <v>1</v>
      </c>
      <c r="U1260">
        <v>17</v>
      </c>
      <c r="V1260">
        <v>2</v>
      </c>
      <c r="W1260">
        <v>17</v>
      </c>
      <c r="X1260">
        <v>14</v>
      </c>
      <c r="Y1260">
        <v>5</v>
      </c>
      <c r="Z1260">
        <v>15</v>
      </c>
      <c r="AA1260" t="str">
        <f t="shared" si="103"/>
        <v>Long Tenure</v>
      </c>
      <c r="AB1260" s="5">
        <v>44763</v>
      </c>
      <c r="AC1260">
        <f t="shared" si="104"/>
        <v>0</v>
      </c>
      <c r="AD1260" t="s">
        <v>38</v>
      </c>
      <c r="AE1260">
        <f>VLOOKUP(A1260,'Employee Engagement Survey'!A1234:B2703,2,FALSE)</f>
        <v>4</v>
      </c>
      <c r="AF1260">
        <f>VLOOKUP(A1260,'Employee Engagement Survey'!A1234:C2703,3,FALSE)</f>
        <v>3</v>
      </c>
      <c r="AG1260">
        <f>VLOOKUP(A1260,'Employee Engagement Survey'!A1234:D2703,4,FALSE)</f>
        <v>2</v>
      </c>
      <c r="AH1260">
        <f>VLOOKUP(A1260,'Employee Engagement Survey'!A1234:E2703,5,FALSE)</f>
        <v>3</v>
      </c>
      <c r="AI1260">
        <f t="shared" si="102"/>
        <v>3</v>
      </c>
    </row>
    <row r="1261" spans="1:35" hidden="1" x14ac:dyDescent="0.4">
      <c r="A1261">
        <v>1070</v>
      </c>
      <c r="B1261" t="s">
        <v>34</v>
      </c>
      <c r="C1261">
        <f t="shared" si="100"/>
        <v>1</v>
      </c>
      <c r="D1261" t="s">
        <v>57</v>
      </c>
      <c r="E1261">
        <f t="shared" si="101"/>
        <v>0</v>
      </c>
      <c r="F1261" t="s">
        <v>40</v>
      </c>
      <c r="G1261">
        <v>10</v>
      </c>
      <c r="H1261" s="1">
        <v>140232</v>
      </c>
      <c r="I1261" s="10">
        <v>0.11</v>
      </c>
      <c r="J1261">
        <v>37.5</v>
      </c>
      <c r="K1261" t="s">
        <v>34</v>
      </c>
      <c r="L1261">
        <v>54</v>
      </c>
      <c r="M1261" t="s">
        <v>47</v>
      </c>
      <c r="N1261" t="s">
        <v>42</v>
      </c>
      <c r="O1261" t="s">
        <v>31</v>
      </c>
      <c r="P1261">
        <v>2</v>
      </c>
      <c r="Q1261" t="s">
        <v>51</v>
      </c>
      <c r="R1261" t="s">
        <v>37</v>
      </c>
      <c r="S1261">
        <v>3</v>
      </c>
      <c r="T1261">
        <v>1</v>
      </c>
      <c r="U1261">
        <v>13</v>
      </c>
      <c r="V1261">
        <v>4</v>
      </c>
      <c r="W1261">
        <v>9</v>
      </c>
      <c r="X1261">
        <v>4</v>
      </c>
      <c r="Y1261">
        <v>7</v>
      </c>
      <c r="Z1261">
        <v>0</v>
      </c>
      <c r="AA1261" t="str">
        <f t="shared" si="103"/>
        <v>Mid Tenure</v>
      </c>
      <c r="AB1261" s="5">
        <v>45092</v>
      </c>
      <c r="AC1261">
        <f t="shared" si="104"/>
        <v>0</v>
      </c>
      <c r="AD1261" t="s">
        <v>38</v>
      </c>
      <c r="AE1261">
        <f>VLOOKUP(A1261,'Employee Engagement Survey'!A1235:B2704,2,FALSE)</f>
        <v>3</v>
      </c>
      <c r="AF1261">
        <f>VLOOKUP(A1261,'Employee Engagement Survey'!A1235:C2704,3,FALSE)</f>
        <v>3</v>
      </c>
      <c r="AG1261">
        <f>VLOOKUP(A1261,'Employee Engagement Survey'!A1235:D2704,4,FALSE)</f>
        <v>2</v>
      </c>
      <c r="AH1261">
        <f>VLOOKUP(A1261,'Employee Engagement Survey'!A1235:E2704,5,FALSE)</f>
        <v>3</v>
      </c>
      <c r="AI1261">
        <f t="shared" si="102"/>
        <v>2.75</v>
      </c>
    </row>
    <row r="1262" spans="1:35" hidden="1" x14ac:dyDescent="0.4">
      <c r="A1262">
        <v>1764</v>
      </c>
      <c r="B1262" t="s">
        <v>34</v>
      </c>
      <c r="C1262">
        <f t="shared" si="100"/>
        <v>1</v>
      </c>
      <c r="D1262" t="s">
        <v>27</v>
      </c>
      <c r="E1262">
        <f t="shared" si="101"/>
        <v>0</v>
      </c>
      <c r="F1262" t="s">
        <v>28</v>
      </c>
      <c r="G1262">
        <v>5</v>
      </c>
      <c r="H1262" s="1">
        <v>56616</v>
      </c>
      <c r="I1262" s="10">
        <v>0.14000000000000001</v>
      </c>
      <c r="J1262">
        <v>37.5</v>
      </c>
      <c r="K1262" t="s">
        <v>34</v>
      </c>
      <c r="L1262">
        <v>32</v>
      </c>
      <c r="M1262" t="s">
        <v>29</v>
      </c>
      <c r="N1262" t="s">
        <v>30</v>
      </c>
      <c r="O1262" t="s">
        <v>35</v>
      </c>
      <c r="P1262">
        <v>5</v>
      </c>
      <c r="Q1262" t="s">
        <v>51</v>
      </c>
      <c r="R1262" t="s">
        <v>45</v>
      </c>
      <c r="S1262">
        <v>3</v>
      </c>
      <c r="T1262">
        <v>0</v>
      </c>
      <c r="U1262">
        <v>12</v>
      </c>
      <c r="V1262">
        <v>3</v>
      </c>
      <c r="W1262">
        <v>7</v>
      </c>
      <c r="X1262">
        <v>7</v>
      </c>
      <c r="Y1262">
        <v>0</v>
      </c>
      <c r="Z1262">
        <v>7</v>
      </c>
      <c r="AA1262" t="str">
        <f t="shared" si="103"/>
        <v>Mid Tenure</v>
      </c>
      <c r="AB1262" s="5">
        <v>44619</v>
      </c>
      <c r="AC1262">
        <f t="shared" si="104"/>
        <v>0</v>
      </c>
      <c r="AD1262" t="s">
        <v>49</v>
      </c>
      <c r="AE1262">
        <f>VLOOKUP(A1262,'Employee Engagement Survey'!A1236:B2705,2,FALSE)</f>
        <v>2</v>
      </c>
      <c r="AF1262">
        <f>VLOOKUP(A1262,'Employee Engagement Survey'!A1236:C2705,3,FALSE)</f>
        <v>2</v>
      </c>
      <c r="AG1262">
        <f>VLOOKUP(A1262,'Employee Engagement Survey'!A1236:D2705,4,FALSE)</f>
        <v>2</v>
      </c>
      <c r="AH1262">
        <f>VLOOKUP(A1262,'Employee Engagement Survey'!A1236:E2705,5,FALSE)</f>
        <v>3</v>
      </c>
      <c r="AI1262">
        <f t="shared" si="102"/>
        <v>2.25</v>
      </c>
    </row>
    <row r="1263" spans="1:35" hidden="1" x14ac:dyDescent="0.4">
      <c r="A1263">
        <v>1013</v>
      </c>
      <c r="B1263" t="s">
        <v>34</v>
      </c>
      <c r="C1263">
        <f t="shared" si="100"/>
        <v>1</v>
      </c>
      <c r="D1263" t="s">
        <v>54</v>
      </c>
      <c r="E1263">
        <f t="shared" si="101"/>
        <v>1</v>
      </c>
      <c r="F1263" t="s">
        <v>28</v>
      </c>
      <c r="G1263">
        <v>10</v>
      </c>
      <c r="H1263" s="1">
        <v>140868</v>
      </c>
      <c r="I1263" s="10">
        <v>0.11</v>
      </c>
      <c r="J1263">
        <v>37.5</v>
      </c>
      <c r="K1263" t="s">
        <v>34</v>
      </c>
      <c r="L1263">
        <v>54</v>
      </c>
      <c r="M1263" t="s">
        <v>47</v>
      </c>
      <c r="N1263" t="s">
        <v>42</v>
      </c>
      <c r="O1263" t="s">
        <v>31</v>
      </c>
      <c r="P1263">
        <v>17</v>
      </c>
      <c r="Q1263" t="s">
        <v>43</v>
      </c>
      <c r="R1263" t="s">
        <v>45</v>
      </c>
      <c r="S1263">
        <v>3</v>
      </c>
      <c r="T1263">
        <v>1</v>
      </c>
      <c r="U1263">
        <v>22</v>
      </c>
      <c r="V1263">
        <v>2</v>
      </c>
      <c r="W1263">
        <v>10</v>
      </c>
      <c r="X1263">
        <v>7</v>
      </c>
      <c r="Y1263">
        <v>0</v>
      </c>
      <c r="Z1263">
        <v>8</v>
      </c>
      <c r="AA1263" t="str">
        <f t="shared" si="103"/>
        <v>Long Tenure</v>
      </c>
      <c r="AB1263" s="5">
        <v>44866</v>
      </c>
      <c r="AC1263">
        <f t="shared" si="104"/>
        <v>0</v>
      </c>
      <c r="AD1263" t="s">
        <v>49</v>
      </c>
      <c r="AE1263">
        <f>VLOOKUP(A1263,'Employee Engagement Survey'!A1237:B2706,2,FALSE)</f>
        <v>3</v>
      </c>
      <c r="AF1263">
        <f>VLOOKUP(A1263,'Employee Engagement Survey'!A1237:C2706,3,FALSE)</f>
        <v>3</v>
      </c>
      <c r="AG1263">
        <f>VLOOKUP(A1263,'Employee Engagement Survey'!A1237:D2706,4,FALSE)</f>
        <v>3</v>
      </c>
      <c r="AH1263">
        <f>VLOOKUP(A1263,'Employee Engagement Survey'!A1237:E2706,5,FALSE)</f>
        <v>3</v>
      </c>
      <c r="AI1263">
        <f t="shared" si="102"/>
        <v>3</v>
      </c>
    </row>
    <row r="1264" spans="1:35" hidden="1" x14ac:dyDescent="0.4">
      <c r="A1264">
        <v>1766</v>
      </c>
      <c r="B1264" t="s">
        <v>34</v>
      </c>
      <c r="C1264">
        <f t="shared" si="100"/>
        <v>1</v>
      </c>
      <c r="D1264" t="s">
        <v>55</v>
      </c>
      <c r="E1264">
        <f t="shared" si="101"/>
        <v>0</v>
      </c>
      <c r="F1264" t="s">
        <v>28</v>
      </c>
      <c r="G1264">
        <v>7</v>
      </c>
      <c r="H1264" s="1">
        <v>81732</v>
      </c>
      <c r="I1264" s="10">
        <v>0.16</v>
      </c>
      <c r="J1264">
        <v>37.5</v>
      </c>
      <c r="K1264" t="s">
        <v>26</v>
      </c>
      <c r="L1264">
        <v>38</v>
      </c>
      <c r="M1264" t="s">
        <v>29</v>
      </c>
      <c r="N1264" t="s">
        <v>42</v>
      </c>
      <c r="O1264" t="s">
        <v>31</v>
      </c>
      <c r="P1264">
        <v>18</v>
      </c>
      <c r="Q1264" t="s">
        <v>43</v>
      </c>
      <c r="R1264" t="s">
        <v>33</v>
      </c>
      <c r="S1264">
        <v>3</v>
      </c>
      <c r="T1264">
        <v>1</v>
      </c>
      <c r="U1264">
        <v>15</v>
      </c>
      <c r="V1264">
        <v>2</v>
      </c>
      <c r="W1264">
        <v>1</v>
      </c>
      <c r="X1264">
        <v>0</v>
      </c>
      <c r="Y1264">
        <v>1</v>
      </c>
      <c r="Z1264">
        <v>0</v>
      </c>
      <c r="AA1264" t="str">
        <f t="shared" si="103"/>
        <v>Early Tenure</v>
      </c>
      <c r="AB1264" s="5">
        <v>45573</v>
      </c>
      <c r="AC1264">
        <f t="shared" si="104"/>
        <v>1</v>
      </c>
      <c r="AD1264" t="s">
        <v>49</v>
      </c>
      <c r="AE1264">
        <f>VLOOKUP(A1264,'Employee Engagement Survey'!A1238:B2707,2,FALSE)</f>
        <v>2</v>
      </c>
      <c r="AF1264">
        <f>VLOOKUP(A1264,'Employee Engagement Survey'!A1238:C2707,3,FALSE)</f>
        <v>4</v>
      </c>
      <c r="AG1264">
        <f>VLOOKUP(A1264,'Employee Engagement Survey'!A1238:D2707,4,FALSE)</f>
        <v>3</v>
      </c>
      <c r="AH1264">
        <f>VLOOKUP(A1264,'Employee Engagement Survey'!A1238:E2707,5,FALSE)</f>
        <v>3</v>
      </c>
      <c r="AI1264">
        <f t="shared" si="102"/>
        <v>3</v>
      </c>
    </row>
    <row r="1265" spans="1:35" hidden="1" x14ac:dyDescent="0.4">
      <c r="A1265">
        <v>1768</v>
      </c>
      <c r="B1265" t="s">
        <v>34</v>
      </c>
      <c r="C1265">
        <f t="shared" si="100"/>
        <v>1</v>
      </c>
      <c r="D1265" t="s">
        <v>46</v>
      </c>
      <c r="E1265">
        <f t="shared" si="101"/>
        <v>0</v>
      </c>
      <c r="F1265" t="s">
        <v>28</v>
      </c>
      <c r="G1265">
        <v>5</v>
      </c>
      <c r="H1265" s="1">
        <v>57192</v>
      </c>
      <c r="I1265" s="10">
        <v>0.22</v>
      </c>
      <c r="J1265">
        <v>37.5</v>
      </c>
      <c r="K1265" t="s">
        <v>34</v>
      </c>
      <c r="L1265">
        <v>42</v>
      </c>
      <c r="M1265" t="s">
        <v>29</v>
      </c>
      <c r="N1265" t="s">
        <v>48</v>
      </c>
      <c r="O1265" t="s">
        <v>31</v>
      </c>
      <c r="P1265">
        <v>12</v>
      </c>
      <c r="Q1265" t="s">
        <v>43</v>
      </c>
      <c r="R1265" t="s">
        <v>33</v>
      </c>
      <c r="S1265">
        <v>4</v>
      </c>
      <c r="T1265">
        <v>3</v>
      </c>
      <c r="U1265">
        <v>7</v>
      </c>
      <c r="V1265">
        <v>6</v>
      </c>
      <c r="W1265">
        <v>5</v>
      </c>
      <c r="X1265">
        <v>3</v>
      </c>
      <c r="Y1265">
        <v>0</v>
      </c>
      <c r="Z1265">
        <v>4</v>
      </c>
      <c r="AA1265" t="str">
        <f t="shared" si="103"/>
        <v>Mid Tenure</v>
      </c>
      <c r="AB1265" s="5">
        <v>45767</v>
      </c>
      <c r="AC1265">
        <f t="shared" si="104"/>
        <v>1</v>
      </c>
      <c r="AD1265" t="s">
        <v>49</v>
      </c>
      <c r="AE1265">
        <f>VLOOKUP(A1265,'Employee Engagement Survey'!A1240:B2709,2,FALSE)</f>
        <v>2</v>
      </c>
      <c r="AF1265">
        <f>VLOOKUP(A1265,'Employee Engagement Survey'!A1240:C2709,3,FALSE)</f>
        <v>2</v>
      </c>
      <c r="AG1265">
        <f>VLOOKUP(A1265,'Employee Engagement Survey'!A1240:D2709,4,FALSE)</f>
        <v>2</v>
      </c>
      <c r="AH1265">
        <f>VLOOKUP(A1265,'Employee Engagement Survey'!A1240:E2709,5,FALSE)</f>
        <v>2</v>
      </c>
      <c r="AI1265">
        <f t="shared" si="102"/>
        <v>2</v>
      </c>
    </row>
    <row r="1266" spans="1:35" x14ac:dyDescent="0.4">
      <c r="A1266">
        <v>1770</v>
      </c>
      <c r="B1266" t="s">
        <v>34</v>
      </c>
      <c r="C1266">
        <f t="shared" ref="C1266:C1329" si="105">IF(B1266="No",1,0)</f>
        <v>1</v>
      </c>
      <c r="D1266" t="s">
        <v>60</v>
      </c>
      <c r="E1266">
        <f t="shared" si="101"/>
        <v>1</v>
      </c>
      <c r="F1266" t="s">
        <v>28</v>
      </c>
      <c r="G1266">
        <v>5</v>
      </c>
      <c r="H1266" s="1">
        <v>240456</v>
      </c>
      <c r="I1266" s="10">
        <v>0.12</v>
      </c>
      <c r="J1266">
        <v>37.5</v>
      </c>
      <c r="K1266" t="s">
        <v>34</v>
      </c>
      <c r="L1266">
        <v>55</v>
      </c>
      <c r="M1266" t="s">
        <v>29</v>
      </c>
      <c r="N1266" t="s">
        <v>42</v>
      </c>
      <c r="O1266" t="s">
        <v>31</v>
      </c>
      <c r="P1266">
        <v>2</v>
      </c>
      <c r="Q1266" t="s">
        <v>43</v>
      </c>
      <c r="R1266" t="s">
        <v>33</v>
      </c>
      <c r="S1266">
        <v>3</v>
      </c>
      <c r="T1266">
        <v>3</v>
      </c>
      <c r="U1266">
        <v>34</v>
      </c>
      <c r="V1266">
        <v>2</v>
      </c>
      <c r="W1266">
        <v>1</v>
      </c>
      <c r="X1266">
        <v>0</v>
      </c>
      <c r="Y1266">
        <v>0</v>
      </c>
      <c r="Z1266">
        <v>0</v>
      </c>
      <c r="AA1266" t="str">
        <f t="shared" si="103"/>
        <v>Early Tenure</v>
      </c>
      <c r="AB1266" s="5">
        <v>45476</v>
      </c>
      <c r="AC1266">
        <f t="shared" si="104"/>
        <v>1</v>
      </c>
      <c r="AD1266" t="s">
        <v>38</v>
      </c>
      <c r="AE1266">
        <f>VLOOKUP(A1266,'Employee Engagement Survey'!A1241:B2710,2,FALSE)</f>
        <v>3</v>
      </c>
      <c r="AF1266">
        <f>VLOOKUP(A1266,'Employee Engagement Survey'!A1241:C2710,3,FALSE)</f>
        <v>1</v>
      </c>
      <c r="AG1266">
        <f>VLOOKUP(A1266,'Employee Engagement Survey'!A1241:D2710,4,FALSE)</f>
        <v>2</v>
      </c>
      <c r="AH1266">
        <f>VLOOKUP(A1266,'Employee Engagement Survey'!A1241:E2710,5,FALSE)</f>
        <v>3</v>
      </c>
      <c r="AI1266">
        <f t="shared" si="102"/>
        <v>2.25</v>
      </c>
    </row>
    <row r="1267" spans="1:35" hidden="1" x14ac:dyDescent="0.4">
      <c r="A1267">
        <v>1126</v>
      </c>
      <c r="B1267" t="s">
        <v>34</v>
      </c>
      <c r="C1267">
        <f t="shared" si="105"/>
        <v>1</v>
      </c>
      <c r="D1267" t="s">
        <v>54</v>
      </c>
      <c r="E1267">
        <f t="shared" si="101"/>
        <v>1</v>
      </c>
      <c r="F1267" t="s">
        <v>28</v>
      </c>
      <c r="G1267">
        <v>10</v>
      </c>
      <c r="H1267" s="1">
        <v>141840</v>
      </c>
      <c r="I1267" s="10">
        <v>0.11</v>
      </c>
      <c r="J1267">
        <v>37.5</v>
      </c>
      <c r="K1267" t="s">
        <v>34</v>
      </c>
      <c r="L1267">
        <v>43</v>
      </c>
      <c r="M1267" t="s">
        <v>47</v>
      </c>
      <c r="N1267" t="s">
        <v>42</v>
      </c>
      <c r="O1267" t="s">
        <v>44</v>
      </c>
      <c r="P1267">
        <v>27</v>
      </c>
      <c r="Q1267" t="s">
        <v>43</v>
      </c>
      <c r="R1267" t="s">
        <v>37</v>
      </c>
      <c r="S1267">
        <v>3</v>
      </c>
      <c r="T1267">
        <v>1</v>
      </c>
      <c r="U1267">
        <v>18</v>
      </c>
      <c r="V1267">
        <v>1</v>
      </c>
      <c r="W1267">
        <v>8</v>
      </c>
      <c r="X1267">
        <v>7</v>
      </c>
      <c r="Y1267">
        <v>0</v>
      </c>
      <c r="Z1267">
        <v>1</v>
      </c>
      <c r="AA1267" t="str">
        <f t="shared" si="103"/>
        <v>Mid Tenure</v>
      </c>
      <c r="AB1267" s="5">
        <v>45352</v>
      </c>
      <c r="AC1267">
        <f t="shared" si="104"/>
        <v>1</v>
      </c>
      <c r="AD1267" t="s">
        <v>38</v>
      </c>
      <c r="AE1267">
        <f>VLOOKUP(A1267,'Employee Engagement Survey'!A1242:B2711,2,FALSE)</f>
        <v>3</v>
      </c>
      <c r="AF1267">
        <f>VLOOKUP(A1267,'Employee Engagement Survey'!A1242:C2711,3,FALSE)</f>
        <v>1</v>
      </c>
      <c r="AG1267">
        <f>VLOOKUP(A1267,'Employee Engagement Survey'!A1242:D2711,4,FALSE)</f>
        <v>3</v>
      </c>
      <c r="AH1267">
        <f>VLOOKUP(A1267,'Employee Engagement Survey'!A1242:E2711,5,FALSE)</f>
        <v>3</v>
      </c>
      <c r="AI1267">
        <f t="shared" si="102"/>
        <v>2.5</v>
      </c>
    </row>
    <row r="1268" spans="1:35" hidden="1" x14ac:dyDescent="0.4">
      <c r="A1268">
        <v>1771</v>
      </c>
      <c r="B1268" t="s">
        <v>34</v>
      </c>
      <c r="C1268">
        <f t="shared" si="105"/>
        <v>1</v>
      </c>
      <c r="D1268" t="s">
        <v>27</v>
      </c>
      <c r="E1268">
        <f t="shared" si="101"/>
        <v>0</v>
      </c>
      <c r="F1268" t="s">
        <v>28</v>
      </c>
      <c r="G1268">
        <v>6</v>
      </c>
      <c r="H1268" s="1">
        <v>60660</v>
      </c>
      <c r="I1268" s="10">
        <v>0.15</v>
      </c>
      <c r="J1268">
        <v>37.5</v>
      </c>
      <c r="K1268" t="s">
        <v>34</v>
      </c>
      <c r="L1268">
        <v>33</v>
      </c>
      <c r="M1268" t="s">
        <v>29</v>
      </c>
      <c r="N1268" t="s">
        <v>48</v>
      </c>
      <c r="O1268" t="s">
        <v>35</v>
      </c>
      <c r="P1268">
        <v>4</v>
      </c>
      <c r="Q1268" t="s">
        <v>43</v>
      </c>
      <c r="R1268" t="s">
        <v>45</v>
      </c>
      <c r="S1268">
        <v>3</v>
      </c>
      <c r="T1268">
        <v>2</v>
      </c>
      <c r="U1268">
        <v>11</v>
      </c>
      <c r="V1268">
        <v>2</v>
      </c>
      <c r="W1268">
        <v>9</v>
      </c>
      <c r="X1268">
        <v>8</v>
      </c>
      <c r="Y1268">
        <v>1</v>
      </c>
      <c r="Z1268">
        <v>7</v>
      </c>
      <c r="AA1268" t="str">
        <f t="shared" si="103"/>
        <v>Mid Tenure</v>
      </c>
      <c r="AB1268" s="5">
        <v>45654</v>
      </c>
      <c r="AC1268">
        <f t="shared" si="104"/>
        <v>1</v>
      </c>
      <c r="AD1268" t="s">
        <v>49</v>
      </c>
      <c r="AE1268">
        <f>VLOOKUP(A1268,'Employee Engagement Survey'!A1243:B2712,2,FALSE)</f>
        <v>4</v>
      </c>
      <c r="AF1268">
        <f>VLOOKUP(A1268,'Employee Engagement Survey'!A1243:C2712,3,FALSE)</f>
        <v>2</v>
      </c>
      <c r="AG1268">
        <f>VLOOKUP(A1268,'Employee Engagement Survey'!A1243:D2712,4,FALSE)</f>
        <v>4</v>
      </c>
      <c r="AH1268">
        <f>VLOOKUP(A1268,'Employee Engagement Survey'!A1243:E2712,5,FALSE)</f>
        <v>2</v>
      </c>
      <c r="AI1268">
        <f t="shared" si="102"/>
        <v>3</v>
      </c>
    </row>
    <row r="1269" spans="1:35" hidden="1" x14ac:dyDescent="0.4">
      <c r="A1269">
        <v>1772</v>
      </c>
      <c r="B1269" t="s">
        <v>34</v>
      </c>
      <c r="C1269">
        <f t="shared" si="105"/>
        <v>1</v>
      </c>
      <c r="D1269" t="s">
        <v>46</v>
      </c>
      <c r="E1269">
        <f t="shared" si="101"/>
        <v>0</v>
      </c>
      <c r="F1269" t="s">
        <v>28</v>
      </c>
      <c r="G1269">
        <v>4</v>
      </c>
      <c r="H1269" s="1">
        <v>51468</v>
      </c>
      <c r="I1269" s="10">
        <v>0.2</v>
      </c>
      <c r="J1269">
        <v>37.5</v>
      </c>
      <c r="K1269" t="s">
        <v>34</v>
      </c>
      <c r="L1269">
        <v>41</v>
      </c>
      <c r="M1269" t="s">
        <v>29</v>
      </c>
      <c r="N1269" t="s">
        <v>48</v>
      </c>
      <c r="O1269" t="s">
        <v>31</v>
      </c>
      <c r="P1269">
        <v>9</v>
      </c>
      <c r="Q1269" t="s">
        <v>51</v>
      </c>
      <c r="R1269" t="s">
        <v>37</v>
      </c>
      <c r="S1269">
        <v>4</v>
      </c>
      <c r="T1269">
        <v>2</v>
      </c>
      <c r="U1269">
        <v>5</v>
      </c>
      <c r="V1269">
        <v>2</v>
      </c>
      <c r="W1269">
        <v>5</v>
      </c>
      <c r="X1269">
        <v>3</v>
      </c>
      <c r="Y1269">
        <v>0</v>
      </c>
      <c r="Z1269">
        <v>4</v>
      </c>
      <c r="AA1269" t="str">
        <f t="shared" si="103"/>
        <v>Mid Tenure</v>
      </c>
      <c r="AB1269" s="5">
        <v>45159</v>
      </c>
      <c r="AC1269">
        <f t="shared" si="104"/>
        <v>0</v>
      </c>
      <c r="AD1269" t="s">
        <v>38</v>
      </c>
      <c r="AE1269">
        <f>VLOOKUP(A1269,'Employee Engagement Survey'!A1244:B2713,2,FALSE)</f>
        <v>3</v>
      </c>
      <c r="AF1269">
        <f>VLOOKUP(A1269,'Employee Engagement Survey'!A1244:C2713,3,FALSE)</f>
        <v>1</v>
      </c>
      <c r="AG1269">
        <f>VLOOKUP(A1269,'Employee Engagement Survey'!A1244:D2713,4,FALSE)</f>
        <v>2</v>
      </c>
      <c r="AH1269">
        <f>VLOOKUP(A1269,'Employee Engagement Survey'!A1244:E2713,5,FALSE)</f>
        <v>3</v>
      </c>
      <c r="AI1269">
        <f t="shared" si="102"/>
        <v>2.25</v>
      </c>
    </row>
    <row r="1270" spans="1:35" hidden="1" x14ac:dyDescent="0.4">
      <c r="A1270">
        <v>1774</v>
      </c>
      <c r="B1270" t="s">
        <v>34</v>
      </c>
      <c r="C1270">
        <f t="shared" si="105"/>
        <v>1</v>
      </c>
      <c r="D1270" t="s">
        <v>57</v>
      </c>
      <c r="E1270">
        <f t="shared" si="101"/>
        <v>0</v>
      </c>
      <c r="F1270" t="s">
        <v>40</v>
      </c>
      <c r="G1270">
        <v>6</v>
      </c>
      <c r="H1270" s="1">
        <v>60012</v>
      </c>
      <c r="I1270" s="10">
        <v>0.14000000000000001</v>
      </c>
      <c r="J1270">
        <v>37.5</v>
      </c>
      <c r="K1270" t="s">
        <v>26</v>
      </c>
      <c r="L1270">
        <v>34</v>
      </c>
      <c r="M1270" t="s">
        <v>29</v>
      </c>
      <c r="N1270" t="s">
        <v>48</v>
      </c>
      <c r="O1270" t="s">
        <v>35</v>
      </c>
      <c r="P1270">
        <v>10</v>
      </c>
      <c r="Q1270" t="s">
        <v>43</v>
      </c>
      <c r="R1270" t="s">
        <v>37</v>
      </c>
      <c r="S1270">
        <v>3</v>
      </c>
      <c r="T1270">
        <v>1</v>
      </c>
      <c r="U1270">
        <v>15</v>
      </c>
      <c r="V1270">
        <v>3</v>
      </c>
      <c r="W1270">
        <v>15</v>
      </c>
      <c r="X1270">
        <v>14</v>
      </c>
      <c r="Y1270">
        <v>0</v>
      </c>
      <c r="Z1270">
        <v>7</v>
      </c>
      <c r="AA1270" t="str">
        <f t="shared" si="103"/>
        <v>Long Tenure</v>
      </c>
      <c r="AB1270" s="5">
        <v>45666</v>
      </c>
      <c r="AC1270">
        <f t="shared" si="104"/>
        <v>1</v>
      </c>
      <c r="AD1270" t="s">
        <v>38</v>
      </c>
      <c r="AE1270">
        <f>VLOOKUP(A1270,'Employee Engagement Survey'!A1245:B2714,2,FALSE)</f>
        <v>4</v>
      </c>
      <c r="AF1270">
        <f>VLOOKUP(A1270,'Employee Engagement Survey'!A1245:C2714,3,FALSE)</f>
        <v>3</v>
      </c>
      <c r="AG1270">
        <f>VLOOKUP(A1270,'Employee Engagement Survey'!A1245:D2714,4,FALSE)</f>
        <v>3</v>
      </c>
      <c r="AH1270">
        <f>VLOOKUP(A1270,'Employee Engagement Survey'!A1245:E2714,5,FALSE)</f>
        <v>3</v>
      </c>
      <c r="AI1270">
        <f t="shared" si="102"/>
        <v>3.25</v>
      </c>
    </row>
    <row r="1271" spans="1:35" hidden="1" x14ac:dyDescent="0.4">
      <c r="A1271">
        <v>1778</v>
      </c>
      <c r="B1271" t="s">
        <v>34</v>
      </c>
      <c r="C1271">
        <f t="shared" si="105"/>
        <v>1</v>
      </c>
      <c r="D1271" t="s">
        <v>105</v>
      </c>
      <c r="E1271">
        <f t="shared" si="101"/>
        <v>0</v>
      </c>
      <c r="F1271" t="s">
        <v>59</v>
      </c>
      <c r="G1271">
        <v>6</v>
      </c>
      <c r="H1271" s="1">
        <v>66468</v>
      </c>
      <c r="I1271" s="10">
        <v>0.13</v>
      </c>
      <c r="J1271">
        <v>37.5</v>
      </c>
      <c r="K1271" t="s">
        <v>34</v>
      </c>
      <c r="L1271">
        <v>43</v>
      </c>
      <c r="M1271" t="s">
        <v>29</v>
      </c>
      <c r="N1271" t="s">
        <v>30</v>
      </c>
      <c r="O1271" t="s">
        <v>31</v>
      </c>
      <c r="P1271">
        <v>2</v>
      </c>
      <c r="Q1271" t="s">
        <v>43</v>
      </c>
      <c r="R1271" t="s">
        <v>37</v>
      </c>
      <c r="S1271">
        <v>3</v>
      </c>
      <c r="T1271">
        <v>0</v>
      </c>
      <c r="U1271">
        <v>10</v>
      </c>
      <c r="V1271">
        <v>5</v>
      </c>
      <c r="W1271">
        <v>9</v>
      </c>
      <c r="X1271">
        <v>7</v>
      </c>
      <c r="Y1271">
        <v>1</v>
      </c>
      <c r="Z1271">
        <v>8</v>
      </c>
      <c r="AA1271" t="str">
        <f t="shared" si="103"/>
        <v>Mid Tenure</v>
      </c>
      <c r="AB1271" s="5">
        <v>46015</v>
      </c>
      <c r="AC1271">
        <f t="shared" si="104"/>
        <v>1</v>
      </c>
      <c r="AD1271" t="s">
        <v>49</v>
      </c>
      <c r="AE1271">
        <f>VLOOKUP(A1271,'Employee Engagement Survey'!A1246:B2715,2,FALSE)</f>
        <v>2</v>
      </c>
      <c r="AF1271">
        <f>VLOOKUP(A1271,'Employee Engagement Survey'!A1246:C2715,3,FALSE)</f>
        <v>4</v>
      </c>
      <c r="AG1271">
        <f>VLOOKUP(A1271,'Employee Engagement Survey'!A1246:D2715,4,FALSE)</f>
        <v>2</v>
      </c>
      <c r="AH1271">
        <f>VLOOKUP(A1271,'Employee Engagement Survey'!A1246:E2715,5,FALSE)</f>
        <v>3</v>
      </c>
      <c r="AI1271">
        <f t="shared" si="102"/>
        <v>2.75</v>
      </c>
    </row>
    <row r="1272" spans="1:35" hidden="1" x14ac:dyDescent="0.4">
      <c r="A1272">
        <v>1043</v>
      </c>
      <c r="B1272" t="s">
        <v>34</v>
      </c>
      <c r="C1272">
        <f t="shared" si="105"/>
        <v>1</v>
      </c>
      <c r="D1272" t="s">
        <v>54</v>
      </c>
      <c r="E1272">
        <f t="shared" si="101"/>
        <v>1</v>
      </c>
      <c r="F1272" t="s">
        <v>28</v>
      </c>
      <c r="G1272">
        <v>10</v>
      </c>
      <c r="H1272" s="1">
        <v>142560</v>
      </c>
      <c r="I1272" s="10">
        <v>0.13</v>
      </c>
      <c r="J1272">
        <v>37.5</v>
      </c>
      <c r="K1272" t="s">
        <v>26</v>
      </c>
      <c r="L1272">
        <v>39</v>
      </c>
      <c r="M1272" t="s">
        <v>47</v>
      </c>
      <c r="N1272" t="s">
        <v>30</v>
      </c>
      <c r="O1272" t="s">
        <v>44</v>
      </c>
      <c r="P1272">
        <v>22</v>
      </c>
      <c r="Q1272" t="s">
        <v>43</v>
      </c>
      <c r="R1272" t="s">
        <v>33</v>
      </c>
      <c r="S1272">
        <v>3</v>
      </c>
      <c r="T1272">
        <v>0</v>
      </c>
      <c r="U1272">
        <v>21</v>
      </c>
      <c r="V1272">
        <v>2</v>
      </c>
      <c r="W1272">
        <v>21</v>
      </c>
      <c r="X1272">
        <v>6</v>
      </c>
      <c r="Y1272">
        <v>2</v>
      </c>
      <c r="Z1272">
        <v>8</v>
      </c>
      <c r="AA1272" t="str">
        <f t="shared" si="103"/>
        <v>Long Tenure</v>
      </c>
      <c r="AB1272" s="5">
        <v>44629</v>
      </c>
      <c r="AC1272">
        <f t="shared" si="104"/>
        <v>0</v>
      </c>
      <c r="AD1272" t="s">
        <v>38</v>
      </c>
      <c r="AE1272">
        <f>VLOOKUP(A1272,'Employee Engagement Survey'!A1247:B2716,2,FALSE)</f>
        <v>4</v>
      </c>
      <c r="AF1272">
        <f>VLOOKUP(A1272,'Employee Engagement Survey'!A1247:C2716,3,FALSE)</f>
        <v>1</v>
      </c>
      <c r="AG1272">
        <f>VLOOKUP(A1272,'Employee Engagement Survey'!A1247:D2716,4,FALSE)</f>
        <v>3</v>
      </c>
      <c r="AH1272">
        <f>VLOOKUP(A1272,'Employee Engagement Survey'!A1247:E2716,5,FALSE)</f>
        <v>3</v>
      </c>
      <c r="AI1272">
        <f t="shared" si="102"/>
        <v>2.75</v>
      </c>
    </row>
    <row r="1273" spans="1:35" hidden="1" x14ac:dyDescent="0.4">
      <c r="A1273">
        <v>1787</v>
      </c>
      <c r="B1273" t="s">
        <v>34</v>
      </c>
      <c r="C1273">
        <f t="shared" si="105"/>
        <v>1</v>
      </c>
      <c r="D1273" t="s">
        <v>57</v>
      </c>
      <c r="E1273">
        <f t="shared" si="101"/>
        <v>0</v>
      </c>
      <c r="F1273" t="s">
        <v>40</v>
      </c>
      <c r="G1273">
        <v>6</v>
      </c>
      <c r="H1273" s="1">
        <v>62268</v>
      </c>
      <c r="I1273" s="10">
        <v>0.14000000000000001</v>
      </c>
      <c r="J1273">
        <v>37.5</v>
      </c>
      <c r="K1273" t="s">
        <v>34</v>
      </c>
      <c r="L1273">
        <v>37</v>
      </c>
      <c r="M1273" t="s">
        <v>29</v>
      </c>
      <c r="N1273" t="s">
        <v>42</v>
      </c>
      <c r="O1273" t="s">
        <v>31</v>
      </c>
      <c r="P1273">
        <v>9</v>
      </c>
      <c r="Q1273" t="s">
        <v>36</v>
      </c>
      <c r="R1273" t="s">
        <v>56</v>
      </c>
      <c r="S1273">
        <v>3</v>
      </c>
      <c r="T1273">
        <v>2</v>
      </c>
      <c r="U1273">
        <v>5</v>
      </c>
      <c r="V1273">
        <v>2</v>
      </c>
      <c r="W1273">
        <v>5</v>
      </c>
      <c r="X1273">
        <v>2</v>
      </c>
      <c r="Y1273">
        <v>0</v>
      </c>
      <c r="Z1273">
        <v>3</v>
      </c>
      <c r="AA1273" t="str">
        <f t="shared" si="103"/>
        <v>Mid Tenure</v>
      </c>
      <c r="AB1273" s="5">
        <v>45881</v>
      </c>
      <c r="AC1273">
        <f t="shared" si="104"/>
        <v>1</v>
      </c>
      <c r="AD1273" t="s">
        <v>49</v>
      </c>
      <c r="AE1273">
        <f>VLOOKUP(A1273,'Employee Engagement Survey'!A1249:B2718,2,FALSE)</f>
        <v>2</v>
      </c>
      <c r="AF1273">
        <f>VLOOKUP(A1273,'Employee Engagement Survey'!A1249:C2718,3,FALSE)</f>
        <v>2</v>
      </c>
      <c r="AG1273">
        <f>VLOOKUP(A1273,'Employee Engagement Survey'!A1249:D2718,4,FALSE)</f>
        <v>1</v>
      </c>
      <c r="AH1273">
        <f>VLOOKUP(A1273,'Employee Engagement Survey'!A1249:E2718,5,FALSE)</f>
        <v>3</v>
      </c>
      <c r="AI1273">
        <f t="shared" si="102"/>
        <v>2</v>
      </c>
    </row>
    <row r="1274" spans="1:35" x14ac:dyDescent="0.4">
      <c r="A1274">
        <v>1789</v>
      </c>
      <c r="B1274" t="s">
        <v>34</v>
      </c>
      <c r="C1274">
        <f t="shared" si="105"/>
        <v>1</v>
      </c>
      <c r="D1274" t="s">
        <v>60</v>
      </c>
      <c r="E1274">
        <f t="shared" si="101"/>
        <v>1</v>
      </c>
      <c r="F1274" t="s">
        <v>28</v>
      </c>
      <c r="G1274">
        <v>5</v>
      </c>
      <c r="H1274" s="1">
        <v>243936</v>
      </c>
      <c r="I1274" s="10">
        <v>0.17</v>
      </c>
      <c r="J1274">
        <v>37.5</v>
      </c>
      <c r="K1274" t="s">
        <v>26</v>
      </c>
      <c r="L1274">
        <v>46</v>
      </c>
      <c r="M1274" t="s">
        <v>29</v>
      </c>
      <c r="N1274" t="s">
        <v>48</v>
      </c>
      <c r="O1274" t="s">
        <v>31</v>
      </c>
      <c r="P1274">
        <v>2</v>
      </c>
      <c r="Q1274" t="s">
        <v>51</v>
      </c>
      <c r="R1274" t="s">
        <v>33</v>
      </c>
      <c r="S1274">
        <v>3</v>
      </c>
      <c r="T1274">
        <v>1</v>
      </c>
      <c r="U1274">
        <v>24</v>
      </c>
      <c r="V1274">
        <v>3</v>
      </c>
      <c r="W1274">
        <v>2</v>
      </c>
      <c r="X1274">
        <v>1</v>
      </c>
      <c r="Y1274">
        <v>2</v>
      </c>
      <c r="Z1274">
        <v>2</v>
      </c>
      <c r="AA1274" t="str">
        <f t="shared" si="103"/>
        <v>Early Tenure</v>
      </c>
      <c r="AB1274" s="5">
        <v>44999</v>
      </c>
      <c r="AC1274">
        <f t="shared" si="104"/>
        <v>0</v>
      </c>
      <c r="AD1274" t="s">
        <v>49</v>
      </c>
      <c r="AE1274">
        <f>VLOOKUP(A1274,'Employee Engagement Survey'!A1250:B2719,2,FALSE)</f>
        <v>3</v>
      </c>
      <c r="AF1274">
        <f>VLOOKUP(A1274,'Employee Engagement Survey'!A1250:C2719,3,FALSE)</f>
        <v>4</v>
      </c>
      <c r="AG1274">
        <f>VLOOKUP(A1274,'Employee Engagement Survey'!A1250:D2719,4,FALSE)</f>
        <v>3</v>
      </c>
      <c r="AH1274">
        <f>VLOOKUP(A1274,'Employee Engagement Survey'!A1250:E2719,5,FALSE)</f>
        <v>3</v>
      </c>
      <c r="AI1274">
        <f t="shared" si="102"/>
        <v>3.25</v>
      </c>
    </row>
    <row r="1275" spans="1:35" hidden="1" x14ac:dyDescent="0.4">
      <c r="A1275">
        <v>1790</v>
      </c>
      <c r="B1275" t="s">
        <v>34</v>
      </c>
      <c r="C1275">
        <f t="shared" si="105"/>
        <v>1</v>
      </c>
      <c r="D1275" t="s">
        <v>55</v>
      </c>
      <c r="E1275">
        <f t="shared" si="101"/>
        <v>0</v>
      </c>
      <c r="F1275" t="s">
        <v>28</v>
      </c>
      <c r="G1275">
        <v>9</v>
      </c>
      <c r="H1275" s="1">
        <v>111852</v>
      </c>
      <c r="I1275" s="10">
        <v>0.13</v>
      </c>
      <c r="J1275">
        <v>37.5</v>
      </c>
      <c r="K1275" t="s">
        <v>26</v>
      </c>
      <c r="L1275">
        <v>36</v>
      </c>
      <c r="M1275" t="s">
        <v>29</v>
      </c>
      <c r="N1275" t="s">
        <v>42</v>
      </c>
      <c r="O1275" t="s">
        <v>31</v>
      </c>
      <c r="P1275">
        <v>10</v>
      </c>
      <c r="Q1275" t="s">
        <v>43</v>
      </c>
      <c r="R1275" t="s">
        <v>37</v>
      </c>
      <c r="S1275">
        <v>3</v>
      </c>
      <c r="T1275">
        <v>1</v>
      </c>
      <c r="U1275">
        <v>15</v>
      </c>
      <c r="V1275">
        <v>1</v>
      </c>
      <c r="W1275">
        <v>12</v>
      </c>
      <c r="X1275">
        <v>8</v>
      </c>
      <c r="Y1275">
        <v>5</v>
      </c>
      <c r="Z1275">
        <v>7</v>
      </c>
      <c r="AA1275" t="str">
        <f t="shared" si="103"/>
        <v>Long Tenure</v>
      </c>
      <c r="AB1275" s="5">
        <v>44811</v>
      </c>
      <c r="AC1275">
        <f t="shared" si="104"/>
        <v>0</v>
      </c>
      <c r="AD1275" t="s">
        <v>38</v>
      </c>
      <c r="AE1275">
        <f>VLOOKUP(A1275,'Employee Engagement Survey'!A1251:B2720,2,FALSE)</f>
        <v>4</v>
      </c>
      <c r="AF1275">
        <f>VLOOKUP(A1275,'Employee Engagement Survey'!A1251:C2720,3,FALSE)</f>
        <v>1</v>
      </c>
      <c r="AG1275">
        <f>VLOOKUP(A1275,'Employee Engagement Survey'!A1251:D2720,4,FALSE)</f>
        <v>4</v>
      </c>
      <c r="AH1275">
        <f>VLOOKUP(A1275,'Employee Engagement Survey'!A1251:E2720,5,FALSE)</f>
        <v>3</v>
      </c>
      <c r="AI1275">
        <f t="shared" si="102"/>
        <v>3</v>
      </c>
    </row>
    <row r="1276" spans="1:35" hidden="1" x14ac:dyDescent="0.4">
      <c r="A1276">
        <v>862</v>
      </c>
      <c r="B1276" t="s">
        <v>34</v>
      </c>
      <c r="C1276">
        <f t="shared" si="105"/>
        <v>1</v>
      </c>
      <c r="D1276" t="s">
        <v>57</v>
      </c>
      <c r="E1276">
        <f t="shared" si="101"/>
        <v>0</v>
      </c>
      <c r="F1276" t="s">
        <v>40</v>
      </c>
      <c r="G1276">
        <v>10</v>
      </c>
      <c r="H1276" s="1">
        <v>143208</v>
      </c>
      <c r="I1276" s="10">
        <v>0.18</v>
      </c>
      <c r="J1276">
        <v>37.5</v>
      </c>
      <c r="K1276" t="s">
        <v>26</v>
      </c>
      <c r="L1276">
        <v>53</v>
      </c>
      <c r="M1276" t="s">
        <v>47</v>
      </c>
      <c r="N1276" t="s">
        <v>42</v>
      </c>
      <c r="O1276" t="s">
        <v>31</v>
      </c>
      <c r="P1276">
        <v>7</v>
      </c>
      <c r="Q1276" t="s">
        <v>36</v>
      </c>
      <c r="R1276" t="s">
        <v>56</v>
      </c>
      <c r="S1276">
        <v>3</v>
      </c>
      <c r="T1276">
        <v>1</v>
      </c>
      <c r="U1276">
        <v>35</v>
      </c>
      <c r="V1276">
        <v>3</v>
      </c>
      <c r="W1276">
        <v>5</v>
      </c>
      <c r="X1276">
        <v>2</v>
      </c>
      <c r="Y1276">
        <v>0</v>
      </c>
      <c r="Z1276">
        <v>4</v>
      </c>
      <c r="AA1276" t="str">
        <f t="shared" si="103"/>
        <v>Mid Tenure</v>
      </c>
      <c r="AB1276" s="5">
        <v>45004</v>
      </c>
      <c r="AC1276">
        <f t="shared" si="104"/>
        <v>0</v>
      </c>
      <c r="AD1276" t="s">
        <v>49</v>
      </c>
      <c r="AE1276">
        <f>VLOOKUP(A1276,'Employee Engagement Survey'!A1252:B2721,2,FALSE)</f>
        <v>1</v>
      </c>
      <c r="AF1276">
        <f>VLOOKUP(A1276,'Employee Engagement Survey'!A1252:C2721,3,FALSE)</f>
        <v>4</v>
      </c>
      <c r="AG1276">
        <f>VLOOKUP(A1276,'Employee Engagement Survey'!A1252:D2721,4,FALSE)</f>
        <v>4</v>
      </c>
      <c r="AH1276">
        <f>VLOOKUP(A1276,'Employee Engagement Survey'!A1252:E2721,5,FALSE)</f>
        <v>3</v>
      </c>
      <c r="AI1276">
        <f t="shared" si="102"/>
        <v>3</v>
      </c>
    </row>
    <row r="1277" spans="1:35" hidden="1" x14ac:dyDescent="0.4">
      <c r="A1277">
        <v>343</v>
      </c>
      <c r="B1277" t="s">
        <v>34</v>
      </c>
      <c r="C1277">
        <f t="shared" si="105"/>
        <v>1</v>
      </c>
      <c r="D1277" t="s">
        <v>55</v>
      </c>
      <c r="E1277">
        <f t="shared" si="101"/>
        <v>0</v>
      </c>
      <c r="F1277" t="s">
        <v>28</v>
      </c>
      <c r="G1277">
        <v>10</v>
      </c>
      <c r="H1277" s="1">
        <v>143256</v>
      </c>
      <c r="I1277" s="10">
        <v>0.25</v>
      </c>
      <c r="J1277">
        <v>37.5</v>
      </c>
      <c r="K1277" t="s">
        <v>34</v>
      </c>
      <c r="L1277">
        <v>39</v>
      </c>
      <c r="M1277" t="s">
        <v>47</v>
      </c>
      <c r="N1277" t="s">
        <v>30</v>
      </c>
      <c r="O1277" t="s">
        <v>44</v>
      </c>
      <c r="P1277">
        <v>2</v>
      </c>
      <c r="Q1277" t="s">
        <v>51</v>
      </c>
      <c r="R1277" t="s">
        <v>45</v>
      </c>
      <c r="S1277">
        <v>4</v>
      </c>
      <c r="T1277">
        <v>0</v>
      </c>
      <c r="U1277">
        <v>20</v>
      </c>
      <c r="V1277">
        <v>1</v>
      </c>
      <c r="W1277">
        <v>19</v>
      </c>
      <c r="X1277">
        <v>6</v>
      </c>
      <c r="Y1277">
        <v>11</v>
      </c>
      <c r="Z1277">
        <v>8</v>
      </c>
      <c r="AA1277" t="str">
        <f t="shared" si="103"/>
        <v>Long Tenure</v>
      </c>
      <c r="AB1277" s="5">
        <v>45932</v>
      </c>
      <c r="AC1277">
        <f t="shared" si="104"/>
        <v>1</v>
      </c>
      <c r="AD1277" t="s">
        <v>38</v>
      </c>
      <c r="AE1277">
        <f>VLOOKUP(A1277,'Employee Engagement Survey'!A1253:B2722,2,FALSE)</f>
        <v>3</v>
      </c>
      <c r="AF1277">
        <f>VLOOKUP(A1277,'Employee Engagement Survey'!A1253:C2722,3,FALSE)</f>
        <v>3</v>
      </c>
      <c r="AG1277">
        <f>VLOOKUP(A1277,'Employee Engagement Survey'!A1253:D2722,4,FALSE)</f>
        <v>4</v>
      </c>
      <c r="AH1277">
        <f>VLOOKUP(A1277,'Employee Engagement Survey'!A1253:E2722,5,FALSE)</f>
        <v>3</v>
      </c>
      <c r="AI1277">
        <f t="shared" si="102"/>
        <v>3.25</v>
      </c>
    </row>
    <row r="1278" spans="1:35" hidden="1" x14ac:dyDescent="0.4">
      <c r="A1278">
        <v>1794</v>
      </c>
      <c r="B1278" t="s">
        <v>34</v>
      </c>
      <c r="C1278">
        <f t="shared" si="105"/>
        <v>1</v>
      </c>
      <c r="D1278" t="s">
        <v>106</v>
      </c>
      <c r="E1278">
        <f t="shared" si="101"/>
        <v>0</v>
      </c>
      <c r="F1278" t="s">
        <v>59</v>
      </c>
      <c r="G1278">
        <v>6</v>
      </c>
      <c r="H1278" s="1">
        <v>60852</v>
      </c>
      <c r="I1278" s="10">
        <v>0.13</v>
      </c>
      <c r="J1278">
        <v>37.5</v>
      </c>
      <c r="K1278" t="s">
        <v>34</v>
      </c>
      <c r="L1278">
        <v>37</v>
      </c>
      <c r="M1278" t="s">
        <v>29</v>
      </c>
      <c r="N1278" t="s">
        <v>48</v>
      </c>
      <c r="O1278" t="s">
        <v>31</v>
      </c>
      <c r="P1278">
        <v>8</v>
      </c>
      <c r="Q1278" t="s">
        <v>36</v>
      </c>
      <c r="R1278" t="s">
        <v>53</v>
      </c>
      <c r="S1278">
        <v>3</v>
      </c>
      <c r="T1278">
        <v>0</v>
      </c>
      <c r="U1278">
        <v>19</v>
      </c>
      <c r="V1278">
        <v>4</v>
      </c>
      <c r="W1278">
        <v>10</v>
      </c>
      <c r="X1278">
        <v>0</v>
      </c>
      <c r="Y1278">
        <v>4</v>
      </c>
      <c r="Z1278">
        <v>7</v>
      </c>
      <c r="AA1278" t="str">
        <f t="shared" si="103"/>
        <v>Long Tenure</v>
      </c>
      <c r="AB1278" s="5">
        <v>44901</v>
      </c>
      <c r="AC1278">
        <f t="shared" si="104"/>
        <v>0</v>
      </c>
      <c r="AD1278" t="s">
        <v>49</v>
      </c>
      <c r="AE1278">
        <f>VLOOKUP(A1278,'Employee Engagement Survey'!A1255:B2724,2,FALSE)</f>
        <v>3</v>
      </c>
      <c r="AF1278">
        <f>VLOOKUP(A1278,'Employee Engagement Survey'!A1255:C2724,3,FALSE)</f>
        <v>2</v>
      </c>
      <c r="AG1278">
        <f>VLOOKUP(A1278,'Employee Engagement Survey'!A1255:D2724,4,FALSE)</f>
        <v>3</v>
      </c>
      <c r="AH1278">
        <f>VLOOKUP(A1278,'Employee Engagement Survey'!A1255:E2724,5,FALSE)</f>
        <v>2</v>
      </c>
      <c r="AI1278">
        <f t="shared" si="102"/>
        <v>2.5</v>
      </c>
    </row>
    <row r="1279" spans="1:35" hidden="1" x14ac:dyDescent="0.4">
      <c r="A1279">
        <v>1979</v>
      </c>
      <c r="B1279" t="s">
        <v>34</v>
      </c>
      <c r="C1279">
        <f t="shared" si="105"/>
        <v>1</v>
      </c>
      <c r="D1279" t="s">
        <v>60</v>
      </c>
      <c r="E1279">
        <f t="shared" si="101"/>
        <v>1</v>
      </c>
      <c r="F1279" t="s">
        <v>28</v>
      </c>
      <c r="G1279">
        <v>10</v>
      </c>
      <c r="H1279" s="1">
        <v>144372</v>
      </c>
      <c r="I1279" s="10">
        <v>0.2</v>
      </c>
      <c r="J1279">
        <v>37.5</v>
      </c>
      <c r="K1279" t="s">
        <v>34</v>
      </c>
      <c r="L1279">
        <v>31</v>
      </c>
      <c r="M1279" t="s">
        <v>47</v>
      </c>
      <c r="N1279" t="s">
        <v>42</v>
      </c>
      <c r="O1279" t="s">
        <v>35</v>
      </c>
      <c r="P1279">
        <v>10</v>
      </c>
      <c r="Q1279" t="s">
        <v>43</v>
      </c>
      <c r="R1279" t="s">
        <v>33</v>
      </c>
      <c r="S1279">
        <v>4</v>
      </c>
      <c r="T1279">
        <v>1</v>
      </c>
      <c r="U1279">
        <v>13</v>
      </c>
      <c r="V1279">
        <v>2</v>
      </c>
      <c r="W1279">
        <v>11</v>
      </c>
      <c r="X1279">
        <v>7</v>
      </c>
      <c r="Y1279">
        <v>4</v>
      </c>
      <c r="Z1279">
        <v>8</v>
      </c>
      <c r="AA1279" t="str">
        <f t="shared" si="103"/>
        <v>Long Tenure</v>
      </c>
      <c r="AB1279" s="5">
        <v>44782</v>
      </c>
      <c r="AC1279">
        <f t="shared" si="104"/>
        <v>0</v>
      </c>
      <c r="AD1279" t="s">
        <v>38</v>
      </c>
      <c r="AE1279">
        <f>VLOOKUP(A1279,'Employee Engagement Survey'!A1257:B2726,2,FALSE)</f>
        <v>3</v>
      </c>
      <c r="AF1279">
        <f>VLOOKUP(A1279,'Employee Engagement Survey'!A1257:C2726,3,FALSE)</f>
        <v>3</v>
      </c>
      <c r="AG1279">
        <f>VLOOKUP(A1279,'Employee Engagement Survey'!A1257:D2726,4,FALSE)</f>
        <v>3</v>
      </c>
      <c r="AH1279">
        <f>VLOOKUP(A1279,'Employee Engagement Survey'!A1257:E2726,5,FALSE)</f>
        <v>4</v>
      </c>
      <c r="AI1279">
        <f t="shared" si="102"/>
        <v>3.25</v>
      </c>
    </row>
    <row r="1280" spans="1:35" hidden="1" x14ac:dyDescent="0.4">
      <c r="A1280">
        <v>1798</v>
      </c>
      <c r="B1280" t="s">
        <v>34</v>
      </c>
      <c r="C1280">
        <f t="shared" si="105"/>
        <v>1</v>
      </c>
      <c r="D1280" t="s">
        <v>27</v>
      </c>
      <c r="E1280">
        <f t="shared" si="101"/>
        <v>0</v>
      </c>
      <c r="F1280" t="s">
        <v>28</v>
      </c>
      <c r="G1280">
        <v>6</v>
      </c>
      <c r="H1280" s="1">
        <v>61716</v>
      </c>
      <c r="I1280" s="10">
        <v>0.19</v>
      </c>
      <c r="J1280">
        <v>37.5</v>
      </c>
      <c r="K1280" t="s">
        <v>34</v>
      </c>
      <c r="L1280">
        <v>33</v>
      </c>
      <c r="M1280" t="s">
        <v>29</v>
      </c>
      <c r="N1280" t="s">
        <v>42</v>
      </c>
      <c r="O1280" t="s">
        <v>31</v>
      </c>
      <c r="P1280">
        <v>8</v>
      </c>
      <c r="Q1280" t="s">
        <v>51</v>
      </c>
      <c r="R1280" t="s">
        <v>37</v>
      </c>
      <c r="S1280">
        <v>3</v>
      </c>
      <c r="T1280">
        <v>1</v>
      </c>
      <c r="U1280">
        <v>14</v>
      </c>
      <c r="V1280">
        <v>1</v>
      </c>
      <c r="W1280">
        <v>10</v>
      </c>
      <c r="X1280">
        <v>8</v>
      </c>
      <c r="Y1280">
        <v>7</v>
      </c>
      <c r="Z1280">
        <v>6</v>
      </c>
      <c r="AA1280" t="str">
        <f t="shared" si="103"/>
        <v>Long Tenure</v>
      </c>
      <c r="AB1280" s="5">
        <v>45442</v>
      </c>
      <c r="AC1280">
        <f t="shared" si="104"/>
        <v>1</v>
      </c>
      <c r="AD1280" t="s">
        <v>38</v>
      </c>
      <c r="AE1280">
        <f>VLOOKUP(A1280,'Employee Engagement Survey'!A1258:B2727,2,FALSE)</f>
        <v>4</v>
      </c>
      <c r="AF1280">
        <f>VLOOKUP(A1280,'Employee Engagement Survey'!A1258:C2727,3,FALSE)</f>
        <v>1</v>
      </c>
      <c r="AG1280">
        <f>VLOOKUP(A1280,'Employee Engagement Survey'!A1258:D2727,4,FALSE)</f>
        <v>2</v>
      </c>
      <c r="AH1280">
        <f>VLOOKUP(A1280,'Employee Engagement Survey'!A1258:E2727,5,FALSE)</f>
        <v>3</v>
      </c>
      <c r="AI1280">
        <f t="shared" si="102"/>
        <v>2.5</v>
      </c>
    </row>
    <row r="1281" spans="1:35" hidden="1" x14ac:dyDescent="0.4">
      <c r="A1281">
        <v>727</v>
      </c>
      <c r="B1281" t="s">
        <v>34</v>
      </c>
      <c r="C1281">
        <f t="shared" si="105"/>
        <v>1</v>
      </c>
      <c r="D1281" t="s">
        <v>60</v>
      </c>
      <c r="E1281">
        <f t="shared" si="101"/>
        <v>1</v>
      </c>
      <c r="F1281" t="s">
        <v>28</v>
      </c>
      <c r="G1281">
        <v>10</v>
      </c>
      <c r="H1281" s="1">
        <v>145908</v>
      </c>
      <c r="I1281" s="10">
        <v>0.15</v>
      </c>
      <c r="J1281">
        <v>37.5</v>
      </c>
      <c r="K1281" t="s">
        <v>34</v>
      </c>
      <c r="L1281">
        <v>32</v>
      </c>
      <c r="M1281" t="s">
        <v>47</v>
      </c>
      <c r="N1281" t="s">
        <v>30</v>
      </c>
      <c r="O1281" t="s">
        <v>31</v>
      </c>
      <c r="P1281">
        <v>3</v>
      </c>
      <c r="Q1281" t="s">
        <v>36</v>
      </c>
      <c r="R1281" t="s">
        <v>37</v>
      </c>
      <c r="S1281">
        <v>3</v>
      </c>
      <c r="T1281">
        <v>0</v>
      </c>
      <c r="U1281">
        <v>10</v>
      </c>
      <c r="V1281">
        <v>6</v>
      </c>
      <c r="W1281">
        <v>7</v>
      </c>
      <c r="X1281">
        <v>7</v>
      </c>
      <c r="Y1281">
        <v>7</v>
      </c>
      <c r="Z1281">
        <v>7</v>
      </c>
      <c r="AA1281" t="str">
        <f t="shared" si="103"/>
        <v>Mid Tenure</v>
      </c>
      <c r="AB1281" s="5">
        <v>45853</v>
      </c>
      <c r="AC1281">
        <f t="shared" si="104"/>
        <v>1</v>
      </c>
      <c r="AD1281" t="s">
        <v>38</v>
      </c>
      <c r="AE1281">
        <f>VLOOKUP(A1281,'Employee Engagement Survey'!A1259:B2728,2,FALSE)</f>
        <v>3</v>
      </c>
      <c r="AF1281">
        <f>VLOOKUP(A1281,'Employee Engagement Survey'!A1259:C2728,3,FALSE)</f>
        <v>4</v>
      </c>
      <c r="AG1281">
        <f>VLOOKUP(A1281,'Employee Engagement Survey'!A1259:D2728,4,FALSE)</f>
        <v>4</v>
      </c>
      <c r="AH1281">
        <f>VLOOKUP(A1281,'Employee Engagement Survey'!A1259:E2728,5,FALSE)</f>
        <v>3</v>
      </c>
      <c r="AI1281">
        <f t="shared" si="102"/>
        <v>3.5</v>
      </c>
    </row>
    <row r="1282" spans="1:35" hidden="1" x14ac:dyDescent="0.4">
      <c r="A1282">
        <v>1799</v>
      </c>
      <c r="B1282" t="s">
        <v>34</v>
      </c>
      <c r="C1282">
        <f t="shared" si="105"/>
        <v>1</v>
      </c>
      <c r="D1282" t="s">
        <v>27</v>
      </c>
      <c r="E1282">
        <f t="shared" ref="E1282:E1345" si="106">IF(OR(D1282="Manager, HR", D1282="Manager, Sales", D1282="Manager, R&amp;D", D1282="Manufacturing Director",D1282="Research Director", D1282="VP, HR", D1282="CEO"),1,0)</f>
        <v>0</v>
      </c>
      <c r="F1282" t="s">
        <v>28</v>
      </c>
      <c r="G1282">
        <v>3</v>
      </c>
      <c r="H1282" s="1">
        <v>48528</v>
      </c>
      <c r="I1282" s="10">
        <v>0.11</v>
      </c>
      <c r="J1282">
        <v>37.5</v>
      </c>
      <c r="K1282" t="s">
        <v>34</v>
      </c>
      <c r="L1282">
        <v>28</v>
      </c>
      <c r="M1282" t="s">
        <v>29</v>
      </c>
      <c r="N1282" t="s">
        <v>42</v>
      </c>
      <c r="O1282" t="s">
        <v>31</v>
      </c>
      <c r="P1282">
        <v>1</v>
      </c>
      <c r="Q1282" t="s">
        <v>43</v>
      </c>
      <c r="R1282" t="s">
        <v>37</v>
      </c>
      <c r="S1282">
        <v>3</v>
      </c>
      <c r="T1282">
        <v>1</v>
      </c>
      <c r="U1282">
        <v>5</v>
      </c>
      <c r="V1282">
        <v>6</v>
      </c>
      <c r="W1282">
        <v>5</v>
      </c>
      <c r="X1282">
        <v>3</v>
      </c>
      <c r="Y1282">
        <v>0</v>
      </c>
      <c r="Z1282">
        <v>3</v>
      </c>
      <c r="AA1282" t="str">
        <f t="shared" si="103"/>
        <v>Mid Tenure</v>
      </c>
      <c r="AB1282" s="5">
        <v>45671</v>
      </c>
      <c r="AC1282">
        <f t="shared" si="104"/>
        <v>1</v>
      </c>
      <c r="AD1282" t="s">
        <v>49</v>
      </c>
      <c r="AE1282">
        <f>VLOOKUP(A1282,'Employee Engagement Survey'!A1260:B2729,2,FALSE)</f>
        <v>3</v>
      </c>
      <c r="AF1282">
        <f>VLOOKUP(A1282,'Employee Engagement Survey'!A1260:C2729,3,FALSE)</f>
        <v>4</v>
      </c>
      <c r="AG1282">
        <f>VLOOKUP(A1282,'Employee Engagement Survey'!A1260:D2729,4,FALSE)</f>
        <v>3</v>
      </c>
      <c r="AH1282">
        <f>VLOOKUP(A1282,'Employee Engagement Survey'!A1260:E2729,5,FALSE)</f>
        <v>4</v>
      </c>
      <c r="AI1282">
        <f t="shared" ref="AI1282:AI1345" si="107">AVERAGE(AE1282:AH1282)</f>
        <v>3.5</v>
      </c>
    </row>
    <row r="1283" spans="1:35" hidden="1" x14ac:dyDescent="0.4">
      <c r="A1283">
        <v>1800</v>
      </c>
      <c r="B1283" t="s">
        <v>34</v>
      </c>
      <c r="C1283">
        <f t="shared" si="105"/>
        <v>1</v>
      </c>
      <c r="D1283" t="s">
        <v>60</v>
      </c>
      <c r="E1283">
        <f t="shared" si="106"/>
        <v>1</v>
      </c>
      <c r="F1283" t="s">
        <v>28</v>
      </c>
      <c r="G1283">
        <v>10</v>
      </c>
      <c r="H1283" s="1">
        <v>173568</v>
      </c>
      <c r="I1283" s="10">
        <v>0.21</v>
      </c>
      <c r="J1283">
        <v>37.5</v>
      </c>
      <c r="K1283" t="s">
        <v>34</v>
      </c>
      <c r="L1283">
        <v>39</v>
      </c>
      <c r="M1283" t="s">
        <v>29</v>
      </c>
      <c r="N1283" t="s">
        <v>30</v>
      </c>
      <c r="O1283" t="s">
        <v>31</v>
      </c>
      <c r="P1283">
        <v>10</v>
      </c>
      <c r="Q1283" t="s">
        <v>32</v>
      </c>
      <c r="R1283" t="s">
        <v>33</v>
      </c>
      <c r="S1283">
        <v>4</v>
      </c>
      <c r="T1283">
        <v>0</v>
      </c>
      <c r="U1283">
        <v>9</v>
      </c>
      <c r="V1283">
        <v>3</v>
      </c>
      <c r="W1283">
        <v>4</v>
      </c>
      <c r="X1283">
        <v>3</v>
      </c>
      <c r="Y1283">
        <v>2</v>
      </c>
      <c r="Z1283">
        <v>2</v>
      </c>
      <c r="AA1283" t="str">
        <f t="shared" ref="AA1283:AA1346" si="108">IF(W1283&lt;=2,"Early Tenure",IF(W1283&lt;=9,"Mid Tenure","Long Tenure"))</f>
        <v>Mid Tenure</v>
      </c>
      <c r="AB1283" s="5">
        <v>44954</v>
      </c>
      <c r="AC1283">
        <f t="shared" ref="AC1283:AC1346" si="109">IF(AND(AB1283&lt;&gt;"",AB1283&gt;DATE(2024,1,1)),1,0)</f>
        <v>0</v>
      </c>
      <c r="AD1283" t="s">
        <v>38</v>
      </c>
      <c r="AE1283">
        <f>VLOOKUP(A1283,'Employee Engagement Survey'!A1261:B2730,2,FALSE)</f>
        <v>3</v>
      </c>
      <c r="AF1283">
        <f>VLOOKUP(A1283,'Employee Engagement Survey'!A1261:C2730,3,FALSE)</f>
        <v>3</v>
      </c>
      <c r="AG1283">
        <f>VLOOKUP(A1283,'Employee Engagement Survey'!A1261:D2730,4,FALSE)</f>
        <v>3</v>
      </c>
      <c r="AH1283">
        <f>VLOOKUP(A1283,'Employee Engagement Survey'!A1261:E2730,5,FALSE)</f>
        <v>3</v>
      </c>
      <c r="AI1283">
        <f t="shared" si="107"/>
        <v>3</v>
      </c>
    </row>
    <row r="1284" spans="1:35" hidden="1" x14ac:dyDescent="0.4">
      <c r="A1284">
        <v>1015</v>
      </c>
      <c r="B1284" t="s">
        <v>34</v>
      </c>
      <c r="C1284">
        <f t="shared" si="105"/>
        <v>1</v>
      </c>
      <c r="D1284" t="s">
        <v>60</v>
      </c>
      <c r="E1284">
        <f t="shared" si="106"/>
        <v>1</v>
      </c>
      <c r="F1284" t="s">
        <v>28</v>
      </c>
      <c r="G1284">
        <v>10</v>
      </c>
      <c r="H1284" s="1">
        <v>148992</v>
      </c>
      <c r="I1284" s="10">
        <v>0.12</v>
      </c>
      <c r="J1284">
        <v>37.5</v>
      </c>
      <c r="K1284" t="s">
        <v>26</v>
      </c>
      <c r="L1284">
        <v>30</v>
      </c>
      <c r="M1284" t="s">
        <v>47</v>
      </c>
      <c r="N1284" t="s">
        <v>42</v>
      </c>
      <c r="O1284" t="s">
        <v>31</v>
      </c>
      <c r="P1284">
        <v>8</v>
      </c>
      <c r="Q1284" t="s">
        <v>36</v>
      </c>
      <c r="R1284" t="s">
        <v>37</v>
      </c>
      <c r="S1284">
        <v>3</v>
      </c>
      <c r="T1284">
        <v>3</v>
      </c>
      <c r="U1284">
        <v>9</v>
      </c>
      <c r="V1284">
        <v>4</v>
      </c>
      <c r="W1284">
        <v>8</v>
      </c>
      <c r="X1284">
        <v>7</v>
      </c>
      <c r="Y1284">
        <v>1</v>
      </c>
      <c r="Z1284">
        <v>7</v>
      </c>
      <c r="AA1284" t="str">
        <f t="shared" si="108"/>
        <v>Mid Tenure</v>
      </c>
      <c r="AB1284" s="5">
        <v>45181</v>
      </c>
      <c r="AC1284">
        <f t="shared" si="109"/>
        <v>0</v>
      </c>
      <c r="AD1284" t="s">
        <v>38</v>
      </c>
      <c r="AE1284">
        <f>VLOOKUP(A1284,'Employee Engagement Survey'!A1262:B2731,2,FALSE)</f>
        <v>2</v>
      </c>
      <c r="AF1284">
        <f>VLOOKUP(A1284,'Employee Engagement Survey'!A1262:C2731,3,FALSE)</f>
        <v>1</v>
      </c>
      <c r="AG1284">
        <f>VLOOKUP(A1284,'Employee Engagement Survey'!A1262:D2731,4,FALSE)</f>
        <v>3</v>
      </c>
      <c r="AH1284">
        <f>VLOOKUP(A1284,'Employee Engagement Survey'!A1262:E2731,5,FALSE)</f>
        <v>2</v>
      </c>
      <c r="AI1284">
        <f t="shared" si="107"/>
        <v>2</v>
      </c>
    </row>
    <row r="1285" spans="1:35" hidden="1" x14ac:dyDescent="0.4">
      <c r="A1285">
        <v>1801</v>
      </c>
      <c r="B1285" t="s">
        <v>34</v>
      </c>
      <c r="C1285">
        <f t="shared" si="105"/>
        <v>1</v>
      </c>
      <c r="D1285" t="s">
        <v>57</v>
      </c>
      <c r="E1285">
        <f t="shared" si="106"/>
        <v>0</v>
      </c>
      <c r="F1285" t="s">
        <v>40</v>
      </c>
      <c r="G1285">
        <v>9</v>
      </c>
      <c r="H1285" s="1">
        <v>107892</v>
      </c>
      <c r="I1285" s="10">
        <v>0.15</v>
      </c>
      <c r="J1285">
        <v>37.5</v>
      </c>
      <c r="K1285" t="s">
        <v>34</v>
      </c>
      <c r="L1285">
        <v>46</v>
      </c>
      <c r="M1285" t="s">
        <v>29</v>
      </c>
      <c r="N1285" t="s">
        <v>30</v>
      </c>
      <c r="O1285" t="s">
        <v>35</v>
      </c>
      <c r="P1285">
        <v>26</v>
      </c>
      <c r="Q1285" t="s">
        <v>36</v>
      </c>
      <c r="R1285" t="s">
        <v>37</v>
      </c>
      <c r="S1285">
        <v>3</v>
      </c>
      <c r="T1285">
        <v>0</v>
      </c>
      <c r="U1285">
        <v>6</v>
      </c>
      <c r="V1285">
        <v>3</v>
      </c>
      <c r="W1285">
        <v>2</v>
      </c>
      <c r="X1285">
        <v>2</v>
      </c>
      <c r="Y1285">
        <v>2</v>
      </c>
      <c r="Z1285">
        <v>2</v>
      </c>
      <c r="AA1285" t="str">
        <f t="shared" si="108"/>
        <v>Early Tenure</v>
      </c>
      <c r="AB1285" s="5">
        <v>44849</v>
      </c>
      <c r="AC1285">
        <f t="shared" si="109"/>
        <v>0</v>
      </c>
      <c r="AD1285" t="s">
        <v>49</v>
      </c>
      <c r="AE1285">
        <f>VLOOKUP(A1285,'Employee Engagement Survey'!A1263:B2732,2,FALSE)</f>
        <v>2</v>
      </c>
      <c r="AF1285">
        <f>VLOOKUP(A1285,'Employee Engagement Survey'!A1263:C2732,3,FALSE)</f>
        <v>2</v>
      </c>
      <c r="AG1285">
        <f>VLOOKUP(A1285,'Employee Engagement Survey'!A1263:D2732,4,FALSE)</f>
        <v>3</v>
      </c>
      <c r="AH1285">
        <f>VLOOKUP(A1285,'Employee Engagement Survey'!A1263:E2732,5,FALSE)</f>
        <v>3</v>
      </c>
      <c r="AI1285">
        <f t="shared" si="107"/>
        <v>2.5</v>
      </c>
    </row>
    <row r="1286" spans="1:35" hidden="1" x14ac:dyDescent="0.4">
      <c r="A1286">
        <v>1803</v>
      </c>
      <c r="B1286" t="s">
        <v>34</v>
      </c>
      <c r="C1286">
        <f t="shared" si="105"/>
        <v>1</v>
      </c>
      <c r="D1286" t="s">
        <v>55</v>
      </c>
      <c r="E1286">
        <f t="shared" si="106"/>
        <v>0</v>
      </c>
      <c r="F1286" t="s">
        <v>28</v>
      </c>
      <c r="G1286">
        <v>7</v>
      </c>
      <c r="H1286" s="1">
        <v>78456</v>
      </c>
      <c r="I1286" s="10">
        <v>0.18</v>
      </c>
      <c r="J1286">
        <v>37.5</v>
      </c>
      <c r="K1286" t="s">
        <v>34</v>
      </c>
      <c r="L1286">
        <v>42</v>
      </c>
      <c r="M1286" t="s">
        <v>29</v>
      </c>
      <c r="N1286" t="s">
        <v>42</v>
      </c>
      <c r="O1286" t="s">
        <v>31</v>
      </c>
      <c r="P1286">
        <v>13</v>
      </c>
      <c r="Q1286" t="s">
        <v>43</v>
      </c>
      <c r="R1286" t="s">
        <v>33</v>
      </c>
      <c r="S1286">
        <v>3</v>
      </c>
      <c r="T1286">
        <v>2</v>
      </c>
      <c r="U1286">
        <v>10</v>
      </c>
      <c r="V1286">
        <v>2</v>
      </c>
      <c r="W1286">
        <v>0</v>
      </c>
      <c r="X1286">
        <v>0</v>
      </c>
      <c r="Y1286">
        <v>0</v>
      </c>
      <c r="Z1286">
        <v>0</v>
      </c>
      <c r="AA1286" t="str">
        <f t="shared" si="108"/>
        <v>Early Tenure</v>
      </c>
      <c r="AB1286" s="5">
        <v>45123</v>
      </c>
      <c r="AC1286">
        <f t="shared" si="109"/>
        <v>0</v>
      </c>
      <c r="AD1286" t="s">
        <v>49</v>
      </c>
      <c r="AE1286">
        <f>VLOOKUP(A1286,'Employee Engagement Survey'!A1264:B2733,2,FALSE)</f>
        <v>2</v>
      </c>
      <c r="AF1286">
        <f>VLOOKUP(A1286,'Employee Engagement Survey'!A1264:C2733,3,FALSE)</f>
        <v>1</v>
      </c>
      <c r="AG1286">
        <f>VLOOKUP(A1286,'Employee Engagement Survey'!A1264:D2733,4,FALSE)</f>
        <v>3</v>
      </c>
      <c r="AH1286">
        <f>VLOOKUP(A1286,'Employee Engagement Survey'!A1264:E2733,5,FALSE)</f>
        <v>2</v>
      </c>
      <c r="AI1286">
        <f t="shared" si="107"/>
        <v>2</v>
      </c>
    </row>
    <row r="1287" spans="1:35" hidden="1" x14ac:dyDescent="0.4">
      <c r="A1287">
        <v>153</v>
      </c>
      <c r="B1287" t="s">
        <v>34</v>
      </c>
      <c r="C1287">
        <f t="shared" si="105"/>
        <v>1</v>
      </c>
      <c r="D1287" t="s">
        <v>109</v>
      </c>
      <c r="E1287">
        <f t="shared" si="106"/>
        <v>1</v>
      </c>
      <c r="F1287" t="s">
        <v>28</v>
      </c>
      <c r="G1287">
        <v>10</v>
      </c>
      <c r="H1287" s="1">
        <v>151572</v>
      </c>
      <c r="I1287" s="10">
        <v>0.12</v>
      </c>
      <c r="J1287">
        <v>37.5</v>
      </c>
      <c r="K1287" t="s">
        <v>34</v>
      </c>
      <c r="L1287">
        <v>34</v>
      </c>
      <c r="M1287" t="s">
        <v>47</v>
      </c>
      <c r="N1287" t="s">
        <v>30</v>
      </c>
      <c r="O1287" t="s">
        <v>31</v>
      </c>
      <c r="P1287">
        <v>5</v>
      </c>
      <c r="Q1287" t="s">
        <v>43</v>
      </c>
      <c r="R1287" t="s">
        <v>33</v>
      </c>
      <c r="S1287">
        <v>3</v>
      </c>
      <c r="T1287">
        <v>0</v>
      </c>
      <c r="U1287">
        <v>14</v>
      </c>
      <c r="V1287">
        <v>6</v>
      </c>
      <c r="W1287">
        <v>11</v>
      </c>
      <c r="X1287">
        <v>10</v>
      </c>
      <c r="Y1287">
        <v>5</v>
      </c>
      <c r="Z1287">
        <v>8</v>
      </c>
      <c r="AA1287" t="str">
        <f t="shared" si="108"/>
        <v>Long Tenure</v>
      </c>
      <c r="AB1287" s="5">
        <v>45624</v>
      </c>
      <c r="AC1287">
        <f t="shared" si="109"/>
        <v>1</v>
      </c>
      <c r="AD1287" t="s">
        <v>49</v>
      </c>
      <c r="AE1287">
        <f>VLOOKUP(A1287,'Employee Engagement Survey'!A1265:B2734,2,FALSE)</f>
        <v>3</v>
      </c>
      <c r="AF1287">
        <f>VLOOKUP(A1287,'Employee Engagement Survey'!A1265:C2734,3,FALSE)</f>
        <v>1</v>
      </c>
      <c r="AG1287">
        <f>VLOOKUP(A1287,'Employee Engagement Survey'!A1265:D2734,4,FALSE)</f>
        <v>4</v>
      </c>
      <c r="AH1287">
        <f>VLOOKUP(A1287,'Employee Engagement Survey'!A1265:E2734,5,FALSE)</f>
        <v>3</v>
      </c>
      <c r="AI1287">
        <f t="shared" si="107"/>
        <v>2.75</v>
      </c>
    </row>
    <row r="1288" spans="1:35" hidden="1" x14ac:dyDescent="0.4">
      <c r="A1288">
        <v>1804</v>
      </c>
      <c r="B1288" t="s">
        <v>34</v>
      </c>
      <c r="C1288">
        <f t="shared" si="105"/>
        <v>1</v>
      </c>
      <c r="D1288" t="s">
        <v>54</v>
      </c>
      <c r="E1288">
        <f t="shared" si="106"/>
        <v>1</v>
      </c>
      <c r="F1288" t="s">
        <v>28</v>
      </c>
      <c r="G1288">
        <v>7</v>
      </c>
      <c r="H1288" s="1">
        <v>81144</v>
      </c>
      <c r="I1288" s="10">
        <v>0.14000000000000001</v>
      </c>
      <c r="J1288">
        <v>37.5</v>
      </c>
      <c r="K1288" t="s">
        <v>34</v>
      </c>
      <c r="L1288">
        <v>35</v>
      </c>
      <c r="M1288" t="s">
        <v>29</v>
      </c>
      <c r="N1288" t="s">
        <v>48</v>
      </c>
      <c r="O1288" t="s">
        <v>35</v>
      </c>
      <c r="P1288">
        <v>2</v>
      </c>
      <c r="Q1288" t="s">
        <v>36</v>
      </c>
      <c r="R1288" t="s">
        <v>33</v>
      </c>
      <c r="S1288">
        <v>3</v>
      </c>
      <c r="T1288">
        <v>1</v>
      </c>
      <c r="U1288">
        <v>15</v>
      </c>
      <c r="V1288">
        <v>6</v>
      </c>
      <c r="W1288">
        <v>7</v>
      </c>
      <c r="X1288">
        <v>7</v>
      </c>
      <c r="Y1288">
        <v>1</v>
      </c>
      <c r="Z1288">
        <v>7</v>
      </c>
      <c r="AA1288" t="str">
        <f t="shared" si="108"/>
        <v>Mid Tenure</v>
      </c>
      <c r="AB1288" s="5">
        <v>44744</v>
      </c>
      <c r="AC1288">
        <f t="shared" si="109"/>
        <v>0</v>
      </c>
      <c r="AD1288" t="s">
        <v>49</v>
      </c>
      <c r="AE1288">
        <f>VLOOKUP(A1288,'Employee Engagement Survey'!A1266:B2735,2,FALSE)</f>
        <v>2</v>
      </c>
      <c r="AF1288">
        <f>VLOOKUP(A1288,'Employee Engagement Survey'!A1266:C2735,3,FALSE)</f>
        <v>4</v>
      </c>
      <c r="AG1288">
        <f>VLOOKUP(A1288,'Employee Engagement Survey'!A1266:D2735,4,FALSE)</f>
        <v>3</v>
      </c>
      <c r="AH1288">
        <f>VLOOKUP(A1288,'Employee Engagement Survey'!A1266:E2735,5,FALSE)</f>
        <v>3</v>
      </c>
      <c r="AI1288">
        <f t="shared" si="107"/>
        <v>3</v>
      </c>
    </row>
    <row r="1289" spans="1:35" hidden="1" x14ac:dyDescent="0.4">
      <c r="A1289">
        <v>742</v>
      </c>
      <c r="B1289" t="s">
        <v>34</v>
      </c>
      <c r="C1289">
        <f t="shared" si="105"/>
        <v>1</v>
      </c>
      <c r="D1289" t="s">
        <v>60</v>
      </c>
      <c r="E1289">
        <f t="shared" si="106"/>
        <v>1</v>
      </c>
      <c r="F1289" t="s">
        <v>28</v>
      </c>
      <c r="G1289">
        <v>10</v>
      </c>
      <c r="H1289" s="1">
        <v>152556</v>
      </c>
      <c r="I1289" s="10">
        <v>0.14000000000000001</v>
      </c>
      <c r="J1289">
        <v>37.5</v>
      </c>
      <c r="K1289" t="s">
        <v>34</v>
      </c>
      <c r="L1289">
        <v>36</v>
      </c>
      <c r="M1289" t="s">
        <v>47</v>
      </c>
      <c r="N1289" t="s">
        <v>42</v>
      </c>
      <c r="O1289" t="s">
        <v>35</v>
      </c>
      <c r="P1289">
        <v>8</v>
      </c>
      <c r="Q1289" t="s">
        <v>43</v>
      </c>
      <c r="R1289" t="s">
        <v>37</v>
      </c>
      <c r="S1289">
        <v>3</v>
      </c>
      <c r="T1289">
        <v>1</v>
      </c>
      <c r="U1289">
        <v>10</v>
      </c>
      <c r="V1289">
        <v>2</v>
      </c>
      <c r="W1289">
        <v>8</v>
      </c>
      <c r="X1289">
        <v>7</v>
      </c>
      <c r="Y1289">
        <v>0</v>
      </c>
      <c r="Z1289">
        <v>5</v>
      </c>
      <c r="AA1289" t="str">
        <f t="shared" si="108"/>
        <v>Mid Tenure</v>
      </c>
      <c r="AB1289" s="5">
        <v>45460</v>
      </c>
      <c r="AC1289">
        <f t="shared" si="109"/>
        <v>1</v>
      </c>
      <c r="AD1289" t="s">
        <v>38</v>
      </c>
      <c r="AE1289">
        <f>VLOOKUP(A1289,'Employee Engagement Survey'!A1267:B2736,2,FALSE)</f>
        <v>1</v>
      </c>
      <c r="AF1289">
        <f>VLOOKUP(A1289,'Employee Engagement Survey'!A1267:C2736,3,FALSE)</f>
        <v>1</v>
      </c>
      <c r="AG1289">
        <f>VLOOKUP(A1289,'Employee Engagement Survey'!A1267:D2736,4,FALSE)</f>
        <v>1</v>
      </c>
      <c r="AH1289">
        <f>VLOOKUP(A1289,'Employee Engagement Survey'!A1267:E2736,5,FALSE)</f>
        <v>3</v>
      </c>
      <c r="AI1289">
        <f t="shared" si="107"/>
        <v>1.5</v>
      </c>
    </row>
    <row r="1290" spans="1:35" hidden="1" x14ac:dyDescent="0.4">
      <c r="A1290">
        <v>1805</v>
      </c>
      <c r="B1290" t="s">
        <v>34</v>
      </c>
      <c r="C1290">
        <f t="shared" si="105"/>
        <v>1</v>
      </c>
      <c r="D1290" t="s">
        <v>106</v>
      </c>
      <c r="E1290">
        <f t="shared" si="106"/>
        <v>0</v>
      </c>
      <c r="F1290" t="s">
        <v>59</v>
      </c>
      <c r="G1290">
        <v>5</v>
      </c>
      <c r="H1290" s="1">
        <v>55104</v>
      </c>
      <c r="I1290" s="10">
        <v>0.13</v>
      </c>
      <c r="J1290">
        <v>37.5</v>
      </c>
      <c r="K1290" t="s">
        <v>34</v>
      </c>
      <c r="L1290">
        <v>38</v>
      </c>
      <c r="M1290" t="s">
        <v>29</v>
      </c>
      <c r="N1290" t="s">
        <v>48</v>
      </c>
      <c r="O1290" t="s">
        <v>35</v>
      </c>
      <c r="P1290">
        <v>2</v>
      </c>
      <c r="Q1290" t="s">
        <v>43</v>
      </c>
      <c r="R1290" t="s">
        <v>59</v>
      </c>
      <c r="S1290">
        <v>3</v>
      </c>
      <c r="T1290">
        <v>3</v>
      </c>
      <c r="U1290">
        <v>13</v>
      </c>
      <c r="V1290">
        <v>3</v>
      </c>
      <c r="W1290">
        <v>11</v>
      </c>
      <c r="X1290">
        <v>10</v>
      </c>
      <c r="Y1290">
        <v>3</v>
      </c>
      <c r="Z1290">
        <v>8</v>
      </c>
      <c r="AA1290" t="str">
        <f t="shared" si="108"/>
        <v>Long Tenure</v>
      </c>
      <c r="AB1290" s="5">
        <v>45126</v>
      </c>
      <c r="AC1290">
        <f t="shared" si="109"/>
        <v>0</v>
      </c>
      <c r="AD1290" t="s">
        <v>38</v>
      </c>
      <c r="AE1290">
        <f>VLOOKUP(A1290,'Employee Engagement Survey'!A1268:B2737,2,FALSE)</f>
        <v>1</v>
      </c>
      <c r="AF1290">
        <f>VLOOKUP(A1290,'Employee Engagement Survey'!A1268:C2737,3,FALSE)</f>
        <v>2</v>
      </c>
      <c r="AG1290">
        <f>VLOOKUP(A1290,'Employee Engagement Survey'!A1268:D2737,4,FALSE)</f>
        <v>4</v>
      </c>
      <c r="AH1290">
        <f>VLOOKUP(A1290,'Employee Engagement Survey'!A1268:E2737,5,FALSE)</f>
        <v>3</v>
      </c>
      <c r="AI1290">
        <f t="shared" si="107"/>
        <v>2.5</v>
      </c>
    </row>
    <row r="1291" spans="1:35" hidden="1" x14ac:dyDescent="0.4">
      <c r="A1291">
        <v>428</v>
      </c>
      <c r="B1291" t="s">
        <v>34</v>
      </c>
      <c r="C1291">
        <f t="shared" si="105"/>
        <v>1</v>
      </c>
      <c r="D1291" t="s">
        <v>109</v>
      </c>
      <c r="E1291">
        <f t="shared" si="106"/>
        <v>1</v>
      </c>
      <c r="F1291" t="s">
        <v>28</v>
      </c>
      <c r="G1291">
        <v>10</v>
      </c>
      <c r="H1291" s="1">
        <v>154536</v>
      </c>
      <c r="I1291" s="10">
        <v>0.11</v>
      </c>
      <c r="J1291">
        <v>37.5</v>
      </c>
      <c r="K1291" t="s">
        <v>34</v>
      </c>
      <c r="L1291">
        <v>33</v>
      </c>
      <c r="M1291" t="s">
        <v>47</v>
      </c>
      <c r="N1291" t="s">
        <v>42</v>
      </c>
      <c r="O1291" t="s">
        <v>44</v>
      </c>
      <c r="P1291">
        <v>5</v>
      </c>
      <c r="Q1291" t="s">
        <v>51</v>
      </c>
      <c r="R1291" t="s">
        <v>37</v>
      </c>
      <c r="S1291">
        <v>3</v>
      </c>
      <c r="T1291">
        <v>2</v>
      </c>
      <c r="U1291">
        <v>12</v>
      </c>
      <c r="V1291">
        <v>2</v>
      </c>
      <c r="W1291">
        <v>10</v>
      </c>
      <c r="X1291">
        <v>6</v>
      </c>
      <c r="Y1291">
        <v>8</v>
      </c>
      <c r="Z1291">
        <v>8</v>
      </c>
      <c r="AA1291" t="str">
        <f t="shared" si="108"/>
        <v>Long Tenure</v>
      </c>
      <c r="AB1291" s="5">
        <v>45504</v>
      </c>
      <c r="AC1291">
        <f t="shared" si="109"/>
        <v>1</v>
      </c>
      <c r="AD1291" t="s">
        <v>38</v>
      </c>
      <c r="AE1291">
        <f>VLOOKUP(A1291,'Employee Engagement Survey'!A1270:B2739,2,FALSE)</f>
        <v>4</v>
      </c>
      <c r="AF1291">
        <f>VLOOKUP(A1291,'Employee Engagement Survey'!A1270:C2739,3,FALSE)</f>
        <v>2</v>
      </c>
      <c r="AG1291">
        <f>VLOOKUP(A1291,'Employee Engagement Survey'!A1270:D2739,4,FALSE)</f>
        <v>2</v>
      </c>
      <c r="AH1291">
        <f>VLOOKUP(A1291,'Employee Engagement Survey'!A1270:E2739,5,FALSE)</f>
        <v>3</v>
      </c>
      <c r="AI1291">
        <f t="shared" si="107"/>
        <v>2.75</v>
      </c>
    </row>
    <row r="1292" spans="1:35" hidden="1" x14ac:dyDescent="0.4">
      <c r="A1292">
        <v>1321</v>
      </c>
      <c r="B1292" t="s">
        <v>34</v>
      </c>
      <c r="C1292">
        <f t="shared" si="105"/>
        <v>1</v>
      </c>
      <c r="D1292" t="s">
        <v>109</v>
      </c>
      <c r="E1292">
        <f t="shared" si="106"/>
        <v>1</v>
      </c>
      <c r="F1292" t="s">
        <v>28</v>
      </c>
      <c r="G1292">
        <v>10</v>
      </c>
      <c r="H1292" s="1">
        <v>154992</v>
      </c>
      <c r="I1292" s="10">
        <v>0.23</v>
      </c>
      <c r="J1292">
        <v>37.5</v>
      </c>
      <c r="K1292" t="s">
        <v>26</v>
      </c>
      <c r="L1292">
        <v>30</v>
      </c>
      <c r="M1292" t="s">
        <v>47</v>
      </c>
      <c r="N1292" t="s">
        <v>42</v>
      </c>
      <c r="O1292" t="s">
        <v>31</v>
      </c>
      <c r="P1292">
        <v>17</v>
      </c>
      <c r="Q1292" t="s">
        <v>51</v>
      </c>
      <c r="R1292" t="s">
        <v>33</v>
      </c>
      <c r="S1292">
        <v>4</v>
      </c>
      <c r="T1292">
        <v>2</v>
      </c>
      <c r="U1292">
        <v>9</v>
      </c>
      <c r="V1292">
        <v>2</v>
      </c>
      <c r="W1292">
        <v>9</v>
      </c>
      <c r="X1292">
        <v>1</v>
      </c>
      <c r="Y1292">
        <v>0</v>
      </c>
      <c r="Z1292">
        <v>8</v>
      </c>
      <c r="AA1292" t="str">
        <f t="shared" si="108"/>
        <v>Mid Tenure</v>
      </c>
      <c r="AB1292" s="5">
        <v>45897</v>
      </c>
      <c r="AC1292">
        <f t="shared" si="109"/>
        <v>1</v>
      </c>
      <c r="AD1292" t="s">
        <v>49</v>
      </c>
      <c r="AE1292">
        <f>VLOOKUP(A1292,'Employee Engagement Survey'!A1272:B2741,2,FALSE)</f>
        <v>2</v>
      </c>
      <c r="AF1292">
        <f>VLOOKUP(A1292,'Employee Engagement Survey'!A1272:C2741,3,FALSE)</f>
        <v>1</v>
      </c>
      <c r="AG1292">
        <f>VLOOKUP(A1292,'Employee Engagement Survey'!A1272:D2741,4,FALSE)</f>
        <v>4</v>
      </c>
      <c r="AH1292">
        <f>VLOOKUP(A1292,'Employee Engagement Survey'!A1272:E2741,5,FALSE)</f>
        <v>3</v>
      </c>
      <c r="AI1292">
        <f t="shared" si="107"/>
        <v>2.5</v>
      </c>
    </row>
    <row r="1293" spans="1:35" hidden="1" x14ac:dyDescent="0.4">
      <c r="A1293">
        <v>1812</v>
      </c>
      <c r="B1293" t="s">
        <v>34</v>
      </c>
      <c r="C1293">
        <f t="shared" si="105"/>
        <v>1</v>
      </c>
      <c r="D1293" t="s">
        <v>57</v>
      </c>
      <c r="E1293">
        <f t="shared" si="106"/>
        <v>0</v>
      </c>
      <c r="F1293" t="s">
        <v>40</v>
      </c>
      <c r="G1293">
        <v>6</v>
      </c>
      <c r="H1293" s="1">
        <v>61524</v>
      </c>
      <c r="I1293" s="10">
        <v>0.18</v>
      </c>
      <c r="J1293">
        <v>37.5</v>
      </c>
      <c r="K1293" t="s">
        <v>34</v>
      </c>
      <c r="L1293">
        <v>39</v>
      </c>
      <c r="M1293" t="s">
        <v>29</v>
      </c>
      <c r="N1293" t="s">
        <v>48</v>
      </c>
      <c r="O1293" t="s">
        <v>44</v>
      </c>
      <c r="P1293">
        <v>20</v>
      </c>
      <c r="Q1293" t="s">
        <v>43</v>
      </c>
      <c r="R1293" t="s">
        <v>37</v>
      </c>
      <c r="S1293">
        <v>3</v>
      </c>
      <c r="T1293">
        <v>1</v>
      </c>
      <c r="U1293">
        <v>7</v>
      </c>
      <c r="V1293">
        <v>6</v>
      </c>
      <c r="W1293">
        <v>2</v>
      </c>
      <c r="X1293">
        <v>1</v>
      </c>
      <c r="Y1293">
        <v>2</v>
      </c>
      <c r="Z1293">
        <v>2</v>
      </c>
      <c r="AA1293" t="str">
        <f t="shared" si="108"/>
        <v>Early Tenure</v>
      </c>
      <c r="AB1293" s="5">
        <v>44568</v>
      </c>
      <c r="AC1293">
        <f t="shared" si="109"/>
        <v>0</v>
      </c>
      <c r="AD1293" t="s">
        <v>49</v>
      </c>
      <c r="AE1293">
        <f>VLOOKUP(A1293,'Employee Engagement Survey'!A1273:B2742,2,FALSE)</f>
        <v>3</v>
      </c>
      <c r="AF1293">
        <f>VLOOKUP(A1293,'Employee Engagement Survey'!A1273:C2742,3,FALSE)</f>
        <v>4</v>
      </c>
      <c r="AG1293">
        <f>VLOOKUP(A1293,'Employee Engagement Survey'!A1273:D2742,4,FALSE)</f>
        <v>4</v>
      </c>
      <c r="AH1293">
        <f>VLOOKUP(A1293,'Employee Engagement Survey'!A1273:E2742,5,FALSE)</f>
        <v>3</v>
      </c>
      <c r="AI1293">
        <f t="shared" si="107"/>
        <v>3.5</v>
      </c>
    </row>
    <row r="1294" spans="1:35" hidden="1" x14ac:dyDescent="0.4">
      <c r="A1294">
        <v>2000</v>
      </c>
      <c r="B1294" t="s">
        <v>34</v>
      </c>
      <c r="C1294">
        <f t="shared" si="105"/>
        <v>1</v>
      </c>
      <c r="D1294" t="s">
        <v>60</v>
      </c>
      <c r="E1294">
        <f t="shared" si="106"/>
        <v>1</v>
      </c>
      <c r="F1294" t="s">
        <v>28</v>
      </c>
      <c r="G1294">
        <v>10</v>
      </c>
      <c r="H1294" s="1">
        <v>155484</v>
      </c>
      <c r="I1294" s="10">
        <v>0.18</v>
      </c>
      <c r="J1294">
        <v>37.5</v>
      </c>
      <c r="K1294" t="s">
        <v>34</v>
      </c>
      <c r="L1294">
        <v>47</v>
      </c>
      <c r="M1294" t="s">
        <v>47</v>
      </c>
      <c r="N1294" t="s">
        <v>42</v>
      </c>
      <c r="O1294" t="s">
        <v>35</v>
      </c>
      <c r="P1294">
        <v>1</v>
      </c>
      <c r="Q1294" t="s">
        <v>32</v>
      </c>
      <c r="R1294" t="s">
        <v>33</v>
      </c>
      <c r="S1294">
        <v>3</v>
      </c>
      <c r="T1294">
        <v>2</v>
      </c>
      <c r="U1294">
        <v>14</v>
      </c>
      <c r="V1294">
        <v>3</v>
      </c>
      <c r="W1294">
        <v>13</v>
      </c>
      <c r="X1294">
        <v>8</v>
      </c>
      <c r="Y1294">
        <v>5</v>
      </c>
      <c r="Z1294">
        <v>12</v>
      </c>
      <c r="AA1294" t="str">
        <f t="shared" si="108"/>
        <v>Long Tenure</v>
      </c>
      <c r="AB1294" s="5">
        <v>45680</v>
      </c>
      <c r="AC1294">
        <f t="shared" si="109"/>
        <v>1</v>
      </c>
      <c r="AD1294" t="s">
        <v>49</v>
      </c>
      <c r="AE1294">
        <f>VLOOKUP(A1294,'Employee Engagement Survey'!A1274:B2743,2,FALSE)</f>
        <v>3</v>
      </c>
      <c r="AF1294">
        <f>VLOOKUP(A1294,'Employee Engagement Survey'!A1274:C2743,3,FALSE)</f>
        <v>2</v>
      </c>
      <c r="AG1294">
        <f>VLOOKUP(A1294,'Employee Engagement Survey'!A1274:D2743,4,FALSE)</f>
        <v>1</v>
      </c>
      <c r="AH1294">
        <f>VLOOKUP(A1294,'Employee Engagement Survey'!A1274:E2743,5,FALSE)</f>
        <v>1</v>
      </c>
      <c r="AI1294">
        <f t="shared" si="107"/>
        <v>1.75</v>
      </c>
    </row>
    <row r="1295" spans="1:35" hidden="1" x14ac:dyDescent="0.4">
      <c r="A1295">
        <v>28</v>
      </c>
      <c r="B1295" t="s">
        <v>34</v>
      </c>
      <c r="C1295">
        <f t="shared" si="105"/>
        <v>1</v>
      </c>
      <c r="D1295" t="s">
        <v>60</v>
      </c>
      <c r="E1295">
        <f t="shared" si="106"/>
        <v>1</v>
      </c>
      <c r="F1295" t="s">
        <v>28</v>
      </c>
      <c r="G1295">
        <v>10</v>
      </c>
      <c r="H1295" s="1">
        <v>155928</v>
      </c>
      <c r="I1295" s="10">
        <v>0.11</v>
      </c>
      <c r="J1295">
        <v>37.5</v>
      </c>
      <c r="K1295" t="s">
        <v>34</v>
      </c>
      <c r="L1295">
        <v>34</v>
      </c>
      <c r="M1295" t="s">
        <v>47</v>
      </c>
      <c r="N1295" t="s">
        <v>30</v>
      </c>
      <c r="O1295" t="s">
        <v>31</v>
      </c>
      <c r="P1295">
        <v>7</v>
      </c>
      <c r="Q1295" t="s">
        <v>51</v>
      </c>
      <c r="R1295" t="s">
        <v>37</v>
      </c>
      <c r="S1295">
        <v>3</v>
      </c>
      <c r="T1295">
        <v>0</v>
      </c>
      <c r="U1295">
        <v>13</v>
      </c>
      <c r="V1295">
        <v>4</v>
      </c>
      <c r="W1295">
        <v>12</v>
      </c>
      <c r="X1295">
        <v>6</v>
      </c>
      <c r="Y1295">
        <v>2</v>
      </c>
      <c r="Z1295">
        <v>11</v>
      </c>
      <c r="AA1295" t="str">
        <f t="shared" si="108"/>
        <v>Long Tenure</v>
      </c>
      <c r="AB1295" s="5">
        <v>45259</v>
      </c>
      <c r="AC1295">
        <f t="shared" si="109"/>
        <v>0</v>
      </c>
      <c r="AD1295" t="s">
        <v>38</v>
      </c>
      <c r="AE1295">
        <f>VLOOKUP(A1295,'Employee Engagement Survey'!A1275:B2744,2,FALSE)</f>
        <v>1</v>
      </c>
      <c r="AF1295">
        <f>VLOOKUP(A1295,'Employee Engagement Survey'!A1275:C2744,3,FALSE)</f>
        <v>2</v>
      </c>
      <c r="AG1295">
        <f>VLOOKUP(A1295,'Employee Engagement Survey'!A1275:D2744,4,FALSE)</f>
        <v>3</v>
      </c>
      <c r="AH1295">
        <f>VLOOKUP(A1295,'Employee Engagement Survey'!A1275:E2744,5,FALSE)</f>
        <v>3</v>
      </c>
      <c r="AI1295">
        <f t="shared" si="107"/>
        <v>2.25</v>
      </c>
    </row>
    <row r="1296" spans="1:35" hidden="1" x14ac:dyDescent="0.4">
      <c r="A1296">
        <v>381</v>
      </c>
      <c r="B1296" t="s">
        <v>34</v>
      </c>
      <c r="C1296">
        <f t="shared" si="105"/>
        <v>1</v>
      </c>
      <c r="D1296" t="s">
        <v>109</v>
      </c>
      <c r="E1296">
        <f t="shared" si="106"/>
        <v>1</v>
      </c>
      <c r="F1296" t="s">
        <v>28</v>
      </c>
      <c r="G1296">
        <v>10</v>
      </c>
      <c r="H1296" s="1">
        <v>155952</v>
      </c>
      <c r="I1296" s="10">
        <v>0.18</v>
      </c>
      <c r="J1296">
        <v>37.5</v>
      </c>
      <c r="K1296" t="s">
        <v>34</v>
      </c>
      <c r="L1296">
        <v>35</v>
      </c>
      <c r="M1296" t="s">
        <v>47</v>
      </c>
      <c r="N1296" t="s">
        <v>48</v>
      </c>
      <c r="O1296" t="s">
        <v>31</v>
      </c>
      <c r="P1296">
        <v>22</v>
      </c>
      <c r="Q1296" t="s">
        <v>43</v>
      </c>
      <c r="R1296" t="s">
        <v>37</v>
      </c>
      <c r="S1296">
        <v>3</v>
      </c>
      <c r="T1296">
        <v>1</v>
      </c>
      <c r="U1296">
        <v>10</v>
      </c>
      <c r="V1296">
        <v>6</v>
      </c>
      <c r="W1296">
        <v>7</v>
      </c>
      <c r="X1296">
        <v>7</v>
      </c>
      <c r="Y1296">
        <v>6</v>
      </c>
      <c r="Z1296">
        <v>2</v>
      </c>
      <c r="AA1296" t="str">
        <f t="shared" si="108"/>
        <v>Mid Tenure</v>
      </c>
      <c r="AB1296" s="5">
        <v>45628</v>
      </c>
      <c r="AC1296">
        <f t="shared" si="109"/>
        <v>1</v>
      </c>
      <c r="AD1296" t="s">
        <v>49</v>
      </c>
      <c r="AE1296">
        <f>VLOOKUP(A1296,'Employee Engagement Survey'!A1276:B2745,2,FALSE)</f>
        <v>2</v>
      </c>
      <c r="AF1296">
        <f>VLOOKUP(A1296,'Employee Engagement Survey'!A1276:C2745,3,FALSE)</f>
        <v>2</v>
      </c>
      <c r="AG1296">
        <f>VLOOKUP(A1296,'Employee Engagement Survey'!A1276:D2745,4,FALSE)</f>
        <v>2</v>
      </c>
      <c r="AH1296">
        <f>VLOOKUP(A1296,'Employee Engagement Survey'!A1276:E2745,5,FALSE)</f>
        <v>2</v>
      </c>
      <c r="AI1296">
        <f t="shared" si="107"/>
        <v>2</v>
      </c>
    </row>
    <row r="1297" spans="1:35" hidden="1" x14ac:dyDescent="0.4">
      <c r="A1297">
        <v>2056</v>
      </c>
      <c r="B1297" t="s">
        <v>34</v>
      </c>
      <c r="C1297">
        <f t="shared" si="105"/>
        <v>1</v>
      </c>
      <c r="D1297" t="s">
        <v>57</v>
      </c>
      <c r="E1297">
        <f t="shared" si="106"/>
        <v>0</v>
      </c>
      <c r="F1297" t="s">
        <v>40</v>
      </c>
      <c r="G1297">
        <v>10</v>
      </c>
      <c r="H1297" s="1">
        <v>156372</v>
      </c>
      <c r="I1297" s="10">
        <v>0.11</v>
      </c>
      <c r="J1297">
        <v>37.5</v>
      </c>
      <c r="K1297" t="s">
        <v>34</v>
      </c>
      <c r="L1297">
        <v>39</v>
      </c>
      <c r="M1297" t="s">
        <v>47</v>
      </c>
      <c r="N1297" t="s">
        <v>42</v>
      </c>
      <c r="O1297" t="s">
        <v>31</v>
      </c>
      <c r="P1297">
        <v>24</v>
      </c>
      <c r="Q1297" t="s">
        <v>32</v>
      </c>
      <c r="R1297" t="s">
        <v>56</v>
      </c>
      <c r="S1297">
        <v>3</v>
      </c>
      <c r="T1297">
        <v>1</v>
      </c>
      <c r="U1297">
        <v>21</v>
      </c>
      <c r="V1297">
        <v>2</v>
      </c>
      <c r="W1297">
        <v>20</v>
      </c>
      <c r="X1297">
        <v>9</v>
      </c>
      <c r="Y1297">
        <v>9</v>
      </c>
      <c r="Z1297">
        <v>6</v>
      </c>
      <c r="AA1297" t="str">
        <f t="shared" si="108"/>
        <v>Long Tenure</v>
      </c>
      <c r="AB1297" s="5">
        <v>45873</v>
      </c>
      <c r="AC1297">
        <f t="shared" si="109"/>
        <v>1</v>
      </c>
      <c r="AD1297" t="s">
        <v>49</v>
      </c>
      <c r="AE1297">
        <f>VLOOKUP(A1297,'Employee Engagement Survey'!A1277:B2746,2,FALSE)</f>
        <v>2</v>
      </c>
      <c r="AF1297">
        <f>VLOOKUP(A1297,'Employee Engagement Survey'!A1277:C2746,3,FALSE)</f>
        <v>4</v>
      </c>
      <c r="AG1297">
        <f>VLOOKUP(A1297,'Employee Engagement Survey'!A1277:D2746,4,FALSE)</f>
        <v>1</v>
      </c>
      <c r="AH1297">
        <f>VLOOKUP(A1297,'Employee Engagement Survey'!A1277:E2746,5,FALSE)</f>
        <v>2</v>
      </c>
      <c r="AI1297">
        <f t="shared" si="107"/>
        <v>2.25</v>
      </c>
    </row>
    <row r="1298" spans="1:35" hidden="1" x14ac:dyDescent="0.4">
      <c r="A1298">
        <v>421</v>
      </c>
      <c r="B1298" t="s">
        <v>34</v>
      </c>
      <c r="C1298">
        <f t="shared" si="105"/>
        <v>1</v>
      </c>
      <c r="D1298" t="s">
        <v>60</v>
      </c>
      <c r="E1298">
        <f t="shared" si="106"/>
        <v>1</v>
      </c>
      <c r="F1298" t="s">
        <v>28</v>
      </c>
      <c r="G1298">
        <v>10</v>
      </c>
      <c r="H1298" s="1">
        <v>156732</v>
      </c>
      <c r="I1298" s="10">
        <v>0.17</v>
      </c>
      <c r="J1298">
        <v>37.5</v>
      </c>
      <c r="K1298" t="s">
        <v>34</v>
      </c>
      <c r="L1298">
        <v>38</v>
      </c>
      <c r="M1298" t="s">
        <v>47</v>
      </c>
      <c r="N1298" t="s">
        <v>42</v>
      </c>
      <c r="O1298" t="s">
        <v>31</v>
      </c>
      <c r="P1298">
        <v>25</v>
      </c>
      <c r="Q1298" t="s">
        <v>36</v>
      </c>
      <c r="R1298" t="s">
        <v>37</v>
      </c>
      <c r="S1298">
        <v>3</v>
      </c>
      <c r="T1298">
        <v>1</v>
      </c>
      <c r="U1298">
        <v>19</v>
      </c>
      <c r="V1298">
        <v>2</v>
      </c>
      <c r="W1298">
        <v>10</v>
      </c>
      <c r="X1298">
        <v>8</v>
      </c>
      <c r="Y1298">
        <v>0</v>
      </c>
      <c r="Z1298">
        <v>1</v>
      </c>
      <c r="AA1298" t="str">
        <f t="shared" si="108"/>
        <v>Long Tenure</v>
      </c>
      <c r="AB1298" s="5">
        <v>45229</v>
      </c>
      <c r="AC1298">
        <f t="shared" si="109"/>
        <v>0</v>
      </c>
      <c r="AD1298" t="s">
        <v>38</v>
      </c>
      <c r="AE1298">
        <f>VLOOKUP(A1298,'Employee Engagement Survey'!A1278:B2747,2,FALSE)</f>
        <v>1</v>
      </c>
      <c r="AF1298">
        <f>VLOOKUP(A1298,'Employee Engagement Survey'!A1278:C2747,3,FALSE)</f>
        <v>2</v>
      </c>
      <c r="AG1298">
        <f>VLOOKUP(A1298,'Employee Engagement Survey'!A1278:D2747,4,FALSE)</f>
        <v>3</v>
      </c>
      <c r="AH1298">
        <f>VLOOKUP(A1298,'Employee Engagement Survey'!A1278:E2747,5,FALSE)</f>
        <v>3</v>
      </c>
      <c r="AI1298">
        <f t="shared" si="107"/>
        <v>2.25</v>
      </c>
    </row>
    <row r="1299" spans="1:35" hidden="1" x14ac:dyDescent="0.4">
      <c r="A1299">
        <v>1813</v>
      </c>
      <c r="B1299" t="s">
        <v>34</v>
      </c>
      <c r="C1299">
        <f t="shared" si="105"/>
        <v>1</v>
      </c>
      <c r="D1299" t="s">
        <v>27</v>
      </c>
      <c r="E1299">
        <f t="shared" si="106"/>
        <v>0</v>
      </c>
      <c r="F1299" t="s">
        <v>28</v>
      </c>
      <c r="G1299">
        <v>4</v>
      </c>
      <c r="H1299" s="1">
        <v>53256</v>
      </c>
      <c r="I1299" s="10">
        <v>0.13</v>
      </c>
      <c r="J1299">
        <v>37.5</v>
      </c>
      <c r="K1299" t="s">
        <v>34</v>
      </c>
      <c r="L1299">
        <v>43</v>
      </c>
      <c r="M1299" t="s">
        <v>29</v>
      </c>
      <c r="N1299" t="s">
        <v>30</v>
      </c>
      <c r="O1299" t="s">
        <v>35</v>
      </c>
      <c r="P1299">
        <v>9</v>
      </c>
      <c r="Q1299" t="s">
        <v>43</v>
      </c>
      <c r="R1299" t="s">
        <v>37</v>
      </c>
      <c r="S1299">
        <v>3</v>
      </c>
      <c r="T1299">
        <v>0</v>
      </c>
      <c r="U1299">
        <v>7</v>
      </c>
      <c r="V1299">
        <v>2</v>
      </c>
      <c r="W1299">
        <v>3</v>
      </c>
      <c r="X1299">
        <v>2</v>
      </c>
      <c r="Y1299">
        <v>1</v>
      </c>
      <c r="Z1299">
        <v>2</v>
      </c>
      <c r="AA1299" t="str">
        <f t="shared" si="108"/>
        <v>Mid Tenure</v>
      </c>
      <c r="AB1299" s="5">
        <v>44828</v>
      </c>
      <c r="AC1299">
        <f t="shared" si="109"/>
        <v>0</v>
      </c>
      <c r="AD1299" t="s">
        <v>49</v>
      </c>
      <c r="AE1299">
        <f>VLOOKUP(A1299,'Employee Engagement Survey'!A1279:B2748,2,FALSE)</f>
        <v>1</v>
      </c>
      <c r="AF1299">
        <f>VLOOKUP(A1299,'Employee Engagement Survey'!A1279:C2748,3,FALSE)</f>
        <v>3</v>
      </c>
      <c r="AG1299">
        <f>VLOOKUP(A1299,'Employee Engagement Survey'!A1279:D2748,4,FALSE)</f>
        <v>3</v>
      </c>
      <c r="AH1299">
        <f>VLOOKUP(A1299,'Employee Engagement Survey'!A1279:E2748,5,FALSE)</f>
        <v>2</v>
      </c>
      <c r="AI1299">
        <f t="shared" si="107"/>
        <v>2.25</v>
      </c>
    </row>
    <row r="1300" spans="1:35" hidden="1" x14ac:dyDescent="0.4">
      <c r="A1300">
        <v>1814</v>
      </c>
      <c r="B1300" t="s">
        <v>34</v>
      </c>
      <c r="C1300">
        <f t="shared" si="105"/>
        <v>1</v>
      </c>
      <c r="D1300" t="s">
        <v>55</v>
      </c>
      <c r="E1300">
        <f t="shared" si="106"/>
        <v>0</v>
      </c>
      <c r="F1300" t="s">
        <v>28</v>
      </c>
      <c r="G1300">
        <v>8</v>
      </c>
      <c r="H1300" s="1">
        <v>94440</v>
      </c>
      <c r="I1300" s="10">
        <v>0.12</v>
      </c>
      <c r="J1300">
        <v>37.5</v>
      </c>
      <c r="K1300" t="s">
        <v>34</v>
      </c>
      <c r="L1300">
        <v>41</v>
      </c>
      <c r="M1300" t="s">
        <v>29</v>
      </c>
      <c r="N1300" t="s">
        <v>30</v>
      </c>
      <c r="O1300" t="s">
        <v>31</v>
      </c>
      <c r="P1300">
        <v>5</v>
      </c>
      <c r="Q1300" t="s">
        <v>43</v>
      </c>
      <c r="R1300" t="s">
        <v>37</v>
      </c>
      <c r="S1300">
        <v>3</v>
      </c>
      <c r="T1300">
        <v>0</v>
      </c>
      <c r="U1300">
        <v>11</v>
      </c>
      <c r="V1300">
        <v>3</v>
      </c>
      <c r="W1300">
        <v>3</v>
      </c>
      <c r="X1300">
        <v>2</v>
      </c>
      <c r="Y1300">
        <v>1</v>
      </c>
      <c r="Z1300">
        <v>2</v>
      </c>
      <c r="AA1300" t="str">
        <f t="shared" si="108"/>
        <v>Mid Tenure</v>
      </c>
      <c r="AB1300" s="5">
        <v>45164</v>
      </c>
      <c r="AC1300">
        <f t="shared" si="109"/>
        <v>0</v>
      </c>
      <c r="AD1300" t="s">
        <v>38</v>
      </c>
      <c r="AE1300">
        <f>VLOOKUP(A1300,'Employee Engagement Survey'!A1280:B2749,2,FALSE)</f>
        <v>2</v>
      </c>
      <c r="AF1300">
        <f>VLOOKUP(A1300,'Employee Engagement Survey'!A1280:C2749,3,FALSE)</f>
        <v>2</v>
      </c>
      <c r="AG1300">
        <f>VLOOKUP(A1300,'Employee Engagement Survey'!A1280:D2749,4,FALSE)</f>
        <v>1</v>
      </c>
      <c r="AH1300">
        <f>VLOOKUP(A1300,'Employee Engagement Survey'!A1280:E2749,5,FALSE)</f>
        <v>1</v>
      </c>
      <c r="AI1300">
        <f t="shared" si="107"/>
        <v>1.5</v>
      </c>
    </row>
    <row r="1301" spans="1:35" hidden="1" x14ac:dyDescent="0.4">
      <c r="A1301">
        <v>1823</v>
      </c>
      <c r="B1301" t="s">
        <v>34</v>
      </c>
      <c r="C1301">
        <f t="shared" si="105"/>
        <v>1</v>
      </c>
      <c r="D1301" t="s">
        <v>57</v>
      </c>
      <c r="E1301">
        <f t="shared" si="106"/>
        <v>0</v>
      </c>
      <c r="F1301" t="s">
        <v>40</v>
      </c>
      <c r="G1301">
        <v>8</v>
      </c>
      <c r="H1301" s="1">
        <v>93588</v>
      </c>
      <c r="I1301" s="10">
        <v>0.21</v>
      </c>
      <c r="J1301">
        <v>37.5</v>
      </c>
      <c r="K1301" t="s">
        <v>34</v>
      </c>
      <c r="L1301">
        <v>34</v>
      </c>
      <c r="M1301" t="s">
        <v>29</v>
      </c>
      <c r="N1301" t="s">
        <v>42</v>
      </c>
      <c r="O1301" t="s">
        <v>31</v>
      </c>
      <c r="P1301">
        <v>8</v>
      </c>
      <c r="Q1301" t="s">
        <v>36</v>
      </c>
      <c r="R1301" t="s">
        <v>45</v>
      </c>
      <c r="S1301">
        <v>4</v>
      </c>
      <c r="T1301">
        <v>2</v>
      </c>
      <c r="U1301">
        <v>10</v>
      </c>
      <c r="V1301">
        <v>5</v>
      </c>
      <c r="W1301">
        <v>10</v>
      </c>
      <c r="X1301">
        <v>8</v>
      </c>
      <c r="Y1301">
        <v>4</v>
      </c>
      <c r="Z1301">
        <v>8</v>
      </c>
      <c r="AA1301" t="str">
        <f t="shared" si="108"/>
        <v>Long Tenure</v>
      </c>
      <c r="AB1301" s="5">
        <v>45207</v>
      </c>
      <c r="AC1301">
        <f t="shared" si="109"/>
        <v>0</v>
      </c>
      <c r="AD1301" t="s">
        <v>49</v>
      </c>
      <c r="AE1301">
        <f>VLOOKUP(A1301,'Employee Engagement Survey'!A1281:B2750,2,FALSE)</f>
        <v>2</v>
      </c>
      <c r="AF1301">
        <f>VLOOKUP(A1301,'Employee Engagement Survey'!A1281:C2750,3,FALSE)</f>
        <v>3</v>
      </c>
      <c r="AG1301">
        <f>VLOOKUP(A1301,'Employee Engagement Survey'!A1281:D2750,4,FALSE)</f>
        <v>3</v>
      </c>
      <c r="AH1301">
        <f>VLOOKUP(A1301,'Employee Engagement Survey'!A1281:E2750,5,FALSE)</f>
        <v>3</v>
      </c>
      <c r="AI1301">
        <f t="shared" si="107"/>
        <v>2.75</v>
      </c>
    </row>
    <row r="1302" spans="1:35" x14ac:dyDescent="0.4">
      <c r="A1302">
        <v>473</v>
      </c>
      <c r="B1302" t="s">
        <v>34</v>
      </c>
      <c r="C1302">
        <f t="shared" si="105"/>
        <v>1</v>
      </c>
      <c r="D1302" t="s">
        <v>110</v>
      </c>
      <c r="E1302">
        <f t="shared" si="106"/>
        <v>1</v>
      </c>
      <c r="F1302" t="s">
        <v>40</v>
      </c>
      <c r="G1302">
        <v>10</v>
      </c>
      <c r="H1302" s="1">
        <v>162048</v>
      </c>
      <c r="I1302" s="10">
        <v>0.21</v>
      </c>
      <c r="J1302">
        <v>37.5</v>
      </c>
      <c r="K1302" t="s">
        <v>34</v>
      </c>
      <c r="L1302">
        <v>48</v>
      </c>
      <c r="M1302" t="s">
        <v>47</v>
      </c>
      <c r="N1302" t="s">
        <v>42</v>
      </c>
      <c r="O1302" t="s">
        <v>31</v>
      </c>
      <c r="P1302">
        <v>29</v>
      </c>
      <c r="Q1302" t="s">
        <v>32</v>
      </c>
      <c r="R1302" t="s">
        <v>33</v>
      </c>
      <c r="S1302">
        <v>4</v>
      </c>
      <c r="T1302">
        <v>1</v>
      </c>
      <c r="U1302">
        <v>15</v>
      </c>
      <c r="V1302">
        <v>3</v>
      </c>
      <c r="W1302">
        <v>0</v>
      </c>
      <c r="X1302">
        <v>0</v>
      </c>
      <c r="Y1302">
        <v>0</v>
      </c>
      <c r="Z1302">
        <v>0</v>
      </c>
      <c r="AA1302" t="str">
        <f t="shared" si="108"/>
        <v>Early Tenure</v>
      </c>
      <c r="AB1302" s="5">
        <v>45485</v>
      </c>
      <c r="AC1302">
        <f t="shared" si="109"/>
        <v>1</v>
      </c>
      <c r="AD1302" t="s">
        <v>49</v>
      </c>
      <c r="AE1302">
        <f>VLOOKUP(A1302,'Employee Engagement Survey'!A1282:B2751,2,FALSE)</f>
        <v>1</v>
      </c>
      <c r="AF1302">
        <f>VLOOKUP(A1302,'Employee Engagement Survey'!A1282:C2751,3,FALSE)</f>
        <v>3</v>
      </c>
      <c r="AG1302">
        <f>VLOOKUP(A1302,'Employee Engagement Survey'!A1282:D2751,4,FALSE)</f>
        <v>2</v>
      </c>
      <c r="AH1302">
        <f>VLOOKUP(A1302,'Employee Engagement Survey'!A1282:E2751,5,FALSE)</f>
        <v>1</v>
      </c>
      <c r="AI1302">
        <f t="shared" si="107"/>
        <v>1.75</v>
      </c>
    </row>
    <row r="1303" spans="1:35" hidden="1" x14ac:dyDescent="0.4">
      <c r="A1303">
        <v>1026</v>
      </c>
      <c r="B1303" t="s">
        <v>34</v>
      </c>
      <c r="C1303">
        <f t="shared" si="105"/>
        <v>1</v>
      </c>
      <c r="D1303" t="s">
        <v>54</v>
      </c>
      <c r="E1303">
        <f t="shared" si="106"/>
        <v>1</v>
      </c>
      <c r="F1303" t="s">
        <v>28</v>
      </c>
      <c r="G1303">
        <v>10</v>
      </c>
      <c r="H1303" s="1">
        <v>164904</v>
      </c>
      <c r="I1303" s="10">
        <v>0.16</v>
      </c>
      <c r="J1303">
        <v>37.5</v>
      </c>
      <c r="K1303" t="s">
        <v>34</v>
      </c>
      <c r="L1303">
        <v>39</v>
      </c>
      <c r="M1303" t="s">
        <v>47</v>
      </c>
      <c r="N1303" t="s">
        <v>42</v>
      </c>
      <c r="O1303" t="s">
        <v>31</v>
      </c>
      <c r="P1303">
        <v>1</v>
      </c>
      <c r="Q1303" t="s">
        <v>32</v>
      </c>
      <c r="R1303" t="s">
        <v>37</v>
      </c>
      <c r="S1303">
        <v>3</v>
      </c>
      <c r="T1303">
        <v>1</v>
      </c>
      <c r="U1303">
        <v>21</v>
      </c>
      <c r="V1303">
        <v>3</v>
      </c>
      <c r="W1303">
        <v>21</v>
      </c>
      <c r="X1303">
        <v>6</v>
      </c>
      <c r="Y1303">
        <v>11</v>
      </c>
      <c r="Z1303">
        <v>8</v>
      </c>
      <c r="AA1303" t="str">
        <f t="shared" si="108"/>
        <v>Long Tenure</v>
      </c>
      <c r="AB1303" s="5">
        <v>44979</v>
      </c>
      <c r="AC1303">
        <f t="shared" si="109"/>
        <v>0</v>
      </c>
      <c r="AD1303" t="s">
        <v>49</v>
      </c>
      <c r="AE1303">
        <f>VLOOKUP(A1303,'Employee Engagement Survey'!A1283:B2752,2,FALSE)</f>
        <v>4</v>
      </c>
      <c r="AF1303">
        <f>VLOOKUP(A1303,'Employee Engagement Survey'!A1283:C2752,3,FALSE)</f>
        <v>4</v>
      </c>
      <c r="AG1303">
        <f>VLOOKUP(A1303,'Employee Engagement Survey'!A1283:D2752,4,FALSE)</f>
        <v>3</v>
      </c>
      <c r="AH1303">
        <f>VLOOKUP(A1303,'Employee Engagement Survey'!A1283:E2752,5,FALSE)</f>
        <v>3</v>
      </c>
      <c r="AI1303">
        <f t="shared" si="107"/>
        <v>3.5</v>
      </c>
    </row>
    <row r="1304" spans="1:35" hidden="1" x14ac:dyDescent="0.4">
      <c r="A1304">
        <v>1824</v>
      </c>
      <c r="B1304" t="s">
        <v>34</v>
      </c>
      <c r="C1304">
        <f t="shared" si="105"/>
        <v>1</v>
      </c>
      <c r="D1304" t="s">
        <v>110</v>
      </c>
      <c r="E1304">
        <f t="shared" si="106"/>
        <v>1</v>
      </c>
      <c r="F1304" t="s">
        <v>40</v>
      </c>
      <c r="G1304">
        <v>4</v>
      </c>
      <c r="H1304" s="1">
        <v>207492</v>
      </c>
      <c r="I1304" s="10">
        <v>0.22</v>
      </c>
      <c r="J1304">
        <v>37.5</v>
      </c>
      <c r="K1304" t="s">
        <v>34</v>
      </c>
      <c r="L1304">
        <v>58</v>
      </c>
      <c r="M1304" t="s">
        <v>29</v>
      </c>
      <c r="N1304" t="s">
        <v>48</v>
      </c>
      <c r="O1304" t="s">
        <v>35</v>
      </c>
      <c r="P1304">
        <v>2</v>
      </c>
      <c r="Q1304" t="s">
        <v>43</v>
      </c>
      <c r="R1304" t="s">
        <v>33</v>
      </c>
      <c r="S1304">
        <v>4</v>
      </c>
      <c r="T1304">
        <v>1</v>
      </c>
      <c r="U1304">
        <v>37</v>
      </c>
      <c r="V1304">
        <v>0</v>
      </c>
      <c r="W1304">
        <v>16</v>
      </c>
      <c r="X1304">
        <v>9</v>
      </c>
      <c r="Y1304">
        <v>14</v>
      </c>
      <c r="Z1304">
        <v>14</v>
      </c>
      <c r="AA1304" t="str">
        <f t="shared" si="108"/>
        <v>Long Tenure</v>
      </c>
      <c r="AB1304" s="5">
        <v>45912</v>
      </c>
      <c r="AC1304">
        <f t="shared" si="109"/>
        <v>1</v>
      </c>
      <c r="AD1304" t="s">
        <v>38</v>
      </c>
      <c r="AE1304">
        <f>VLOOKUP(A1304,'Employee Engagement Survey'!A1284:B2753,2,FALSE)</f>
        <v>2</v>
      </c>
      <c r="AF1304">
        <f>VLOOKUP(A1304,'Employee Engagement Survey'!A1284:C2753,3,FALSE)</f>
        <v>2</v>
      </c>
      <c r="AG1304">
        <f>VLOOKUP(A1304,'Employee Engagement Survey'!A1284:D2753,4,FALSE)</f>
        <v>4</v>
      </c>
      <c r="AH1304">
        <f>VLOOKUP(A1304,'Employee Engagement Survey'!A1284:E2753,5,FALSE)</f>
        <v>2</v>
      </c>
      <c r="AI1304">
        <f t="shared" si="107"/>
        <v>2.5</v>
      </c>
    </row>
    <row r="1305" spans="1:35" hidden="1" x14ac:dyDescent="0.4">
      <c r="A1305">
        <v>1826</v>
      </c>
      <c r="B1305" t="s">
        <v>34</v>
      </c>
      <c r="C1305">
        <f t="shared" si="105"/>
        <v>1</v>
      </c>
      <c r="D1305" t="s">
        <v>46</v>
      </c>
      <c r="E1305">
        <f t="shared" si="106"/>
        <v>0</v>
      </c>
      <c r="F1305" t="s">
        <v>28</v>
      </c>
      <c r="G1305">
        <v>5</v>
      </c>
      <c r="H1305" s="1">
        <v>56460</v>
      </c>
      <c r="I1305" s="10">
        <v>0.16</v>
      </c>
      <c r="J1305">
        <v>37.5</v>
      </c>
      <c r="K1305" t="s">
        <v>34</v>
      </c>
      <c r="L1305">
        <v>35</v>
      </c>
      <c r="M1305" t="s">
        <v>29</v>
      </c>
      <c r="N1305" t="s">
        <v>42</v>
      </c>
      <c r="O1305" t="s">
        <v>31</v>
      </c>
      <c r="P1305">
        <v>23</v>
      </c>
      <c r="Q1305" t="s">
        <v>51</v>
      </c>
      <c r="R1305" t="s">
        <v>33</v>
      </c>
      <c r="S1305">
        <v>3</v>
      </c>
      <c r="T1305">
        <v>1</v>
      </c>
      <c r="U1305">
        <v>6</v>
      </c>
      <c r="V1305">
        <v>2</v>
      </c>
      <c r="W1305">
        <v>5</v>
      </c>
      <c r="X1305">
        <v>4</v>
      </c>
      <c r="Y1305">
        <v>0</v>
      </c>
      <c r="Z1305">
        <v>3</v>
      </c>
      <c r="AA1305" t="str">
        <f t="shared" si="108"/>
        <v>Mid Tenure</v>
      </c>
      <c r="AB1305" s="5">
        <v>45397</v>
      </c>
      <c r="AC1305">
        <f t="shared" si="109"/>
        <v>1</v>
      </c>
      <c r="AD1305" t="s">
        <v>49</v>
      </c>
      <c r="AE1305">
        <f>VLOOKUP(A1305,'Employee Engagement Survey'!A1285:B2754,2,FALSE)</f>
        <v>2</v>
      </c>
      <c r="AF1305">
        <f>VLOOKUP(A1305,'Employee Engagement Survey'!A1285:C2754,3,FALSE)</f>
        <v>3</v>
      </c>
      <c r="AG1305">
        <f>VLOOKUP(A1305,'Employee Engagement Survey'!A1285:D2754,4,FALSE)</f>
        <v>2</v>
      </c>
      <c r="AH1305">
        <f>VLOOKUP(A1305,'Employee Engagement Survey'!A1285:E2754,5,FALSE)</f>
        <v>4</v>
      </c>
      <c r="AI1305">
        <f t="shared" si="107"/>
        <v>2.75</v>
      </c>
    </row>
    <row r="1306" spans="1:35" hidden="1" x14ac:dyDescent="0.4">
      <c r="A1306">
        <v>1775</v>
      </c>
      <c r="B1306" t="s">
        <v>34</v>
      </c>
      <c r="C1306">
        <f t="shared" si="105"/>
        <v>1</v>
      </c>
      <c r="D1306" t="s">
        <v>54</v>
      </c>
      <c r="E1306">
        <f t="shared" si="106"/>
        <v>1</v>
      </c>
      <c r="F1306" t="s">
        <v>28</v>
      </c>
      <c r="G1306">
        <v>10</v>
      </c>
      <c r="H1306" s="1">
        <v>167580</v>
      </c>
      <c r="I1306" s="10">
        <v>0.2</v>
      </c>
      <c r="J1306">
        <v>37.5</v>
      </c>
      <c r="K1306" t="s">
        <v>26</v>
      </c>
      <c r="L1306">
        <v>53</v>
      </c>
      <c r="M1306" t="s">
        <v>47</v>
      </c>
      <c r="N1306" t="s">
        <v>42</v>
      </c>
      <c r="O1306" t="s">
        <v>35</v>
      </c>
      <c r="P1306">
        <v>1</v>
      </c>
      <c r="Q1306" t="s">
        <v>51</v>
      </c>
      <c r="R1306" t="s">
        <v>33</v>
      </c>
      <c r="S1306">
        <v>4</v>
      </c>
      <c r="T1306">
        <v>3</v>
      </c>
      <c r="U1306">
        <v>27</v>
      </c>
      <c r="V1306">
        <v>2</v>
      </c>
      <c r="W1306">
        <v>3</v>
      </c>
      <c r="X1306">
        <v>2</v>
      </c>
      <c r="Y1306">
        <v>0</v>
      </c>
      <c r="Z1306">
        <v>2</v>
      </c>
      <c r="AA1306" t="str">
        <f t="shared" si="108"/>
        <v>Mid Tenure</v>
      </c>
      <c r="AB1306" s="5">
        <v>45702</v>
      </c>
      <c r="AC1306">
        <f t="shared" si="109"/>
        <v>1</v>
      </c>
      <c r="AD1306" t="s">
        <v>38</v>
      </c>
      <c r="AE1306">
        <f>VLOOKUP(A1306,'Employee Engagement Survey'!A1286:B2755,2,FALSE)</f>
        <v>1</v>
      </c>
      <c r="AF1306">
        <f>VLOOKUP(A1306,'Employee Engagement Survey'!A1286:C2755,3,FALSE)</f>
        <v>3</v>
      </c>
      <c r="AG1306">
        <f>VLOOKUP(A1306,'Employee Engagement Survey'!A1286:D2755,4,FALSE)</f>
        <v>4</v>
      </c>
      <c r="AH1306">
        <f>VLOOKUP(A1306,'Employee Engagement Survey'!A1286:E2755,5,FALSE)</f>
        <v>2</v>
      </c>
      <c r="AI1306">
        <f t="shared" si="107"/>
        <v>2.5</v>
      </c>
    </row>
    <row r="1307" spans="1:35" x14ac:dyDescent="0.4">
      <c r="A1307">
        <v>1786</v>
      </c>
      <c r="B1307" t="s">
        <v>34</v>
      </c>
      <c r="C1307">
        <f t="shared" si="105"/>
        <v>1</v>
      </c>
      <c r="D1307" t="s">
        <v>109</v>
      </c>
      <c r="E1307">
        <f t="shared" si="106"/>
        <v>1</v>
      </c>
      <c r="F1307" t="s">
        <v>28</v>
      </c>
      <c r="G1307">
        <v>10</v>
      </c>
      <c r="H1307" s="1">
        <v>169392</v>
      </c>
      <c r="I1307" s="10">
        <v>0.11</v>
      </c>
      <c r="J1307">
        <v>37.5</v>
      </c>
      <c r="K1307" t="s">
        <v>34</v>
      </c>
      <c r="L1307">
        <v>51</v>
      </c>
      <c r="M1307" t="s">
        <v>47</v>
      </c>
      <c r="N1307" t="s">
        <v>42</v>
      </c>
      <c r="O1307" t="s">
        <v>31</v>
      </c>
      <c r="P1307">
        <v>3</v>
      </c>
      <c r="Q1307" t="s">
        <v>43</v>
      </c>
      <c r="R1307" t="s">
        <v>45</v>
      </c>
      <c r="S1307">
        <v>3</v>
      </c>
      <c r="T1307">
        <v>0</v>
      </c>
      <c r="U1307">
        <v>15</v>
      </c>
      <c r="V1307">
        <v>2</v>
      </c>
      <c r="W1307">
        <v>2</v>
      </c>
      <c r="X1307">
        <v>2</v>
      </c>
      <c r="Y1307">
        <v>2</v>
      </c>
      <c r="Z1307">
        <v>2</v>
      </c>
      <c r="AA1307" t="str">
        <f t="shared" si="108"/>
        <v>Early Tenure</v>
      </c>
      <c r="AB1307" s="5">
        <v>44885</v>
      </c>
      <c r="AC1307">
        <f t="shared" si="109"/>
        <v>0</v>
      </c>
      <c r="AD1307" t="s">
        <v>38</v>
      </c>
      <c r="AE1307">
        <f>VLOOKUP(A1307,'Employee Engagement Survey'!A1287:B2756,2,FALSE)</f>
        <v>1</v>
      </c>
      <c r="AF1307">
        <f>VLOOKUP(A1307,'Employee Engagement Survey'!A1287:C2756,3,FALSE)</f>
        <v>3</v>
      </c>
      <c r="AG1307">
        <f>VLOOKUP(A1307,'Employee Engagement Survey'!A1287:D2756,4,FALSE)</f>
        <v>4</v>
      </c>
      <c r="AH1307">
        <f>VLOOKUP(A1307,'Employee Engagement Survey'!A1287:E2756,5,FALSE)</f>
        <v>3</v>
      </c>
      <c r="AI1307">
        <f t="shared" si="107"/>
        <v>2.75</v>
      </c>
    </row>
    <row r="1308" spans="1:35" hidden="1" x14ac:dyDescent="0.4">
      <c r="A1308">
        <v>1836</v>
      </c>
      <c r="B1308" t="s">
        <v>34</v>
      </c>
      <c r="C1308">
        <f t="shared" si="105"/>
        <v>1</v>
      </c>
      <c r="D1308" t="s">
        <v>57</v>
      </c>
      <c r="E1308">
        <f t="shared" si="106"/>
        <v>0</v>
      </c>
      <c r="F1308" t="s">
        <v>40</v>
      </c>
      <c r="G1308">
        <v>6</v>
      </c>
      <c r="H1308" s="1">
        <v>68208</v>
      </c>
      <c r="I1308" s="10">
        <v>0.13</v>
      </c>
      <c r="J1308">
        <v>37.5</v>
      </c>
      <c r="K1308" t="s">
        <v>34</v>
      </c>
      <c r="L1308">
        <v>26</v>
      </c>
      <c r="M1308" t="s">
        <v>29</v>
      </c>
      <c r="N1308" t="s">
        <v>30</v>
      </c>
      <c r="O1308" t="s">
        <v>31</v>
      </c>
      <c r="P1308">
        <v>10</v>
      </c>
      <c r="Q1308" t="s">
        <v>43</v>
      </c>
      <c r="R1308" t="s">
        <v>33</v>
      </c>
      <c r="S1308">
        <v>3</v>
      </c>
      <c r="T1308">
        <v>0</v>
      </c>
      <c r="U1308">
        <v>5</v>
      </c>
      <c r="V1308">
        <v>4</v>
      </c>
      <c r="W1308">
        <v>5</v>
      </c>
      <c r="X1308">
        <v>3</v>
      </c>
      <c r="Y1308">
        <v>1</v>
      </c>
      <c r="Z1308">
        <v>2</v>
      </c>
      <c r="AA1308" t="str">
        <f t="shared" si="108"/>
        <v>Mid Tenure</v>
      </c>
      <c r="AB1308" s="5">
        <v>45251</v>
      </c>
      <c r="AC1308">
        <f t="shared" si="109"/>
        <v>0</v>
      </c>
      <c r="AD1308" t="s">
        <v>49</v>
      </c>
      <c r="AE1308">
        <f>VLOOKUP(A1308,'Employee Engagement Survey'!A1288:B2757,2,FALSE)</f>
        <v>3</v>
      </c>
      <c r="AF1308">
        <f>VLOOKUP(A1308,'Employee Engagement Survey'!A1288:C2757,3,FALSE)</f>
        <v>4</v>
      </c>
      <c r="AG1308">
        <f>VLOOKUP(A1308,'Employee Engagement Survey'!A1288:D2757,4,FALSE)</f>
        <v>1</v>
      </c>
      <c r="AH1308">
        <f>VLOOKUP(A1308,'Employee Engagement Survey'!A1288:E2757,5,FALSE)</f>
        <v>3</v>
      </c>
      <c r="AI1308">
        <f t="shared" si="107"/>
        <v>2.75</v>
      </c>
    </row>
    <row r="1309" spans="1:35" hidden="1" x14ac:dyDescent="0.4">
      <c r="A1309">
        <v>1367</v>
      </c>
      <c r="B1309" t="s">
        <v>34</v>
      </c>
      <c r="C1309">
        <f t="shared" si="105"/>
        <v>1</v>
      </c>
      <c r="D1309" t="s">
        <v>54</v>
      </c>
      <c r="E1309">
        <f t="shared" si="106"/>
        <v>1</v>
      </c>
      <c r="F1309" t="s">
        <v>28</v>
      </c>
      <c r="G1309">
        <v>10</v>
      </c>
      <c r="H1309" s="1">
        <v>169704</v>
      </c>
      <c r="I1309" s="10">
        <v>0.16</v>
      </c>
      <c r="J1309">
        <v>37.5</v>
      </c>
      <c r="K1309" t="s">
        <v>34</v>
      </c>
      <c r="L1309">
        <v>51</v>
      </c>
      <c r="M1309" t="s">
        <v>47</v>
      </c>
      <c r="N1309" t="s">
        <v>30</v>
      </c>
      <c r="O1309" t="s">
        <v>31</v>
      </c>
      <c r="P1309">
        <v>11</v>
      </c>
      <c r="Q1309" t="s">
        <v>36</v>
      </c>
      <c r="R1309" t="s">
        <v>45</v>
      </c>
      <c r="S1309">
        <v>3</v>
      </c>
      <c r="T1309">
        <v>0</v>
      </c>
      <c r="U1309">
        <v>29</v>
      </c>
      <c r="V1309">
        <v>1</v>
      </c>
      <c r="W1309">
        <v>5</v>
      </c>
      <c r="X1309">
        <v>2</v>
      </c>
      <c r="Y1309">
        <v>0</v>
      </c>
      <c r="Z1309">
        <v>3</v>
      </c>
      <c r="AA1309" t="str">
        <f t="shared" si="108"/>
        <v>Mid Tenure</v>
      </c>
      <c r="AB1309" s="5">
        <v>44868</v>
      </c>
      <c r="AC1309">
        <f t="shared" si="109"/>
        <v>0</v>
      </c>
      <c r="AD1309" t="s">
        <v>49</v>
      </c>
      <c r="AE1309">
        <f>VLOOKUP(A1309,'Employee Engagement Survey'!A1289:B2758,2,FALSE)</f>
        <v>4</v>
      </c>
      <c r="AF1309">
        <f>VLOOKUP(A1309,'Employee Engagement Survey'!A1289:C2758,3,FALSE)</f>
        <v>2</v>
      </c>
      <c r="AG1309">
        <f>VLOOKUP(A1309,'Employee Engagement Survey'!A1289:D2758,4,FALSE)</f>
        <v>2</v>
      </c>
      <c r="AH1309">
        <f>VLOOKUP(A1309,'Employee Engagement Survey'!A1289:E2758,5,FALSE)</f>
        <v>2</v>
      </c>
      <c r="AI1309">
        <f t="shared" si="107"/>
        <v>2.5</v>
      </c>
    </row>
    <row r="1310" spans="1:35" x14ac:dyDescent="0.4">
      <c r="A1310">
        <v>1242</v>
      </c>
      <c r="B1310" t="s">
        <v>34</v>
      </c>
      <c r="C1310">
        <f t="shared" si="105"/>
        <v>1</v>
      </c>
      <c r="D1310" t="s">
        <v>60</v>
      </c>
      <c r="E1310">
        <f t="shared" si="106"/>
        <v>1</v>
      </c>
      <c r="F1310" t="s">
        <v>28</v>
      </c>
      <c r="G1310">
        <v>10</v>
      </c>
      <c r="H1310" s="1">
        <v>170292</v>
      </c>
      <c r="I1310" s="10">
        <v>0.17</v>
      </c>
      <c r="J1310">
        <v>37.5</v>
      </c>
      <c r="K1310" t="s">
        <v>26</v>
      </c>
      <c r="L1310">
        <v>42</v>
      </c>
      <c r="M1310" t="s">
        <v>47</v>
      </c>
      <c r="N1310" t="s">
        <v>42</v>
      </c>
      <c r="O1310" t="s">
        <v>44</v>
      </c>
      <c r="P1310">
        <v>26</v>
      </c>
      <c r="Q1310" t="s">
        <v>58</v>
      </c>
      <c r="R1310" t="s">
        <v>33</v>
      </c>
      <c r="S1310">
        <v>3</v>
      </c>
      <c r="T1310">
        <v>0</v>
      </c>
      <c r="U1310">
        <v>20</v>
      </c>
      <c r="V1310">
        <v>6</v>
      </c>
      <c r="W1310">
        <v>1</v>
      </c>
      <c r="X1310">
        <v>0</v>
      </c>
      <c r="Y1310">
        <v>0</v>
      </c>
      <c r="Z1310">
        <v>0</v>
      </c>
      <c r="AA1310" t="str">
        <f t="shared" si="108"/>
        <v>Early Tenure</v>
      </c>
      <c r="AB1310" s="5">
        <v>44934</v>
      </c>
      <c r="AC1310">
        <f t="shared" si="109"/>
        <v>0</v>
      </c>
      <c r="AD1310" t="s">
        <v>38</v>
      </c>
      <c r="AE1310">
        <f>VLOOKUP(A1310,'Employee Engagement Survey'!A1290:B2759,2,FALSE)</f>
        <v>1</v>
      </c>
      <c r="AF1310">
        <f>VLOOKUP(A1310,'Employee Engagement Survey'!A1290:C2759,3,FALSE)</f>
        <v>1</v>
      </c>
      <c r="AG1310">
        <f>VLOOKUP(A1310,'Employee Engagement Survey'!A1290:D2759,4,FALSE)</f>
        <v>3</v>
      </c>
      <c r="AH1310">
        <f>VLOOKUP(A1310,'Employee Engagement Survey'!A1290:E2759,5,FALSE)</f>
        <v>3</v>
      </c>
      <c r="AI1310">
        <f t="shared" si="107"/>
        <v>2</v>
      </c>
    </row>
    <row r="1311" spans="1:35" hidden="1" x14ac:dyDescent="0.4">
      <c r="A1311">
        <v>2015</v>
      </c>
      <c r="B1311" t="s">
        <v>34</v>
      </c>
      <c r="C1311">
        <f t="shared" si="105"/>
        <v>1</v>
      </c>
      <c r="D1311" t="s">
        <v>60</v>
      </c>
      <c r="E1311">
        <f t="shared" si="106"/>
        <v>1</v>
      </c>
      <c r="F1311" t="s">
        <v>28</v>
      </c>
      <c r="G1311">
        <v>10</v>
      </c>
      <c r="H1311" s="1">
        <v>170472</v>
      </c>
      <c r="I1311" s="10">
        <v>0.12</v>
      </c>
      <c r="J1311">
        <v>37.5</v>
      </c>
      <c r="K1311" t="s">
        <v>34</v>
      </c>
      <c r="L1311">
        <v>38</v>
      </c>
      <c r="M1311" t="s">
        <v>47</v>
      </c>
      <c r="N1311" t="s">
        <v>42</v>
      </c>
      <c r="O1311" t="s">
        <v>31</v>
      </c>
      <c r="P1311">
        <v>10</v>
      </c>
      <c r="Q1311" t="s">
        <v>43</v>
      </c>
      <c r="R1311" t="s">
        <v>33</v>
      </c>
      <c r="S1311">
        <v>3</v>
      </c>
      <c r="T1311">
        <v>1</v>
      </c>
      <c r="U1311">
        <v>20</v>
      </c>
      <c r="V1311">
        <v>3</v>
      </c>
      <c r="W1311">
        <v>18</v>
      </c>
      <c r="X1311">
        <v>16</v>
      </c>
      <c r="Y1311">
        <v>1</v>
      </c>
      <c r="Z1311">
        <v>11</v>
      </c>
      <c r="AA1311" t="str">
        <f t="shared" si="108"/>
        <v>Long Tenure</v>
      </c>
      <c r="AB1311" s="5">
        <v>45043</v>
      </c>
      <c r="AC1311">
        <f t="shared" si="109"/>
        <v>0</v>
      </c>
      <c r="AD1311" t="s">
        <v>49</v>
      </c>
      <c r="AE1311">
        <f>VLOOKUP(A1311,'Employee Engagement Survey'!A1292:B2761,2,FALSE)</f>
        <v>2</v>
      </c>
      <c r="AF1311">
        <f>VLOOKUP(A1311,'Employee Engagement Survey'!A1292:C2761,3,FALSE)</f>
        <v>3</v>
      </c>
      <c r="AG1311">
        <f>VLOOKUP(A1311,'Employee Engagement Survey'!A1292:D2761,4,FALSE)</f>
        <v>1</v>
      </c>
      <c r="AH1311">
        <f>VLOOKUP(A1311,'Employee Engagement Survey'!A1292:E2761,5,FALSE)</f>
        <v>3</v>
      </c>
      <c r="AI1311">
        <f t="shared" si="107"/>
        <v>2.25</v>
      </c>
    </row>
    <row r="1312" spans="1:35" hidden="1" x14ac:dyDescent="0.4">
      <c r="A1312">
        <v>532</v>
      </c>
      <c r="B1312" t="s">
        <v>34</v>
      </c>
      <c r="C1312">
        <f t="shared" si="105"/>
        <v>1</v>
      </c>
      <c r="D1312" t="s">
        <v>57</v>
      </c>
      <c r="E1312">
        <f t="shared" si="106"/>
        <v>0</v>
      </c>
      <c r="F1312" t="s">
        <v>40</v>
      </c>
      <c r="G1312">
        <v>10</v>
      </c>
      <c r="H1312" s="1">
        <v>170544</v>
      </c>
      <c r="I1312" s="10">
        <v>0.11</v>
      </c>
      <c r="J1312">
        <v>37.5</v>
      </c>
      <c r="K1312" t="s">
        <v>34</v>
      </c>
      <c r="L1312">
        <v>56</v>
      </c>
      <c r="M1312" t="s">
        <v>47</v>
      </c>
      <c r="N1312" t="s">
        <v>42</v>
      </c>
      <c r="O1312" t="s">
        <v>44</v>
      </c>
      <c r="P1312">
        <v>6</v>
      </c>
      <c r="Q1312" t="s">
        <v>43</v>
      </c>
      <c r="R1312" t="s">
        <v>37</v>
      </c>
      <c r="S1312">
        <v>3</v>
      </c>
      <c r="T1312">
        <v>3</v>
      </c>
      <c r="U1312">
        <v>36</v>
      </c>
      <c r="V1312">
        <v>0</v>
      </c>
      <c r="W1312">
        <v>7</v>
      </c>
      <c r="X1312">
        <v>7</v>
      </c>
      <c r="Y1312">
        <v>7</v>
      </c>
      <c r="Z1312">
        <v>7</v>
      </c>
      <c r="AA1312" t="str">
        <f t="shared" si="108"/>
        <v>Mid Tenure</v>
      </c>
      <c r="AB1312" s="5">
        <v>45474</v>
      </c>
      <c r="AC1312">
        <f t="shared" si="109"/>
        <v>1</v>
      </c>
      <c r="AD1312" t="s">
        <v>38</v>
      </c>
      <c r="AE1312">
        <f>VLOOKUP(A1312,'Employee Engagement Survey'!A1293:B2762,2,FALSE)</f>
        <v>3</v>
      </c>
      <c r="AF1312">
        <f>VLOOKUP(A1312,'Employee Engagement Survey'!A1293:C2762,3,FALSE)</f>
        <v>1</v>
      </c>
      <c r="AG1312">
        <f>VLOOKUP(A1312,'Employee Engagement Survey'!A1293:D2762,4,FALSE)</f>
        <v>4</v>
      </c>
      <c r="AH1312">
        <f>VLOOKUP(A1312,'Employee Engagement Survey'!A1293:E2762,5,FALSE)</f>
        <v>2</v>
      </c>
      <c r="AI1312">
        <f t="shared" si="107"/>
        <v>2.5</v>
      </c>
    </row>
    <row r="1313" spans="1:35" hidden="1" x14ac:dyDescent="0.4">
      <c r="A1313">
        <v>1863</v>
      </c>
      <c r="B1313" t="s">
        <v>34</v>
      </c>
      <c r="C1313">
        <f t="shared" si="105"/>
        <v>1</v>
      </c>
      <c r="D1313" t="s">
        <v>57</v>
      </c>
      <c r="E1313">
        <f t="shared" si="106"/>
        <v>0</v>
      </c>
      <c r="F1313" t="s">
        <v>40</v>
      </c>
      <c r="G1313">
        <v>10</v>
      </c>
      <c r="H1313" s="1">
        <v>170700</v>
      </c>
      <c r="I1313" s="10">
        <v>0.12</v>
      </c>
      <c r="J1313">
        <v>37.5</v>
      </c>
      <c r="K1313" t="s">
        <v>34</v>
      </c>
      <c r="L1313">
        <v>46</v>
      </c>
      <c r="M1313" t="s">
        <v>47</v>
      </c>
      <c r="N1313" t="s">
        <v>48</v>
      </c>
      <c r="O1313" t="s">
        <v>31</v>
      </c>
      <c r="P1313">
        <v>3</v>
      </c>
      <c r="Q1313" t="s">
        <v>43</v>
      </c>
      <c r="R1313" t="s">
        <v>45</v>
      </c>
      <c r="S1313">
        <v>3</v>
      </c>
      <c r="T1313">
        <v>1</v>
      </c>
      <c r="U1313">
        <v>25</v>
      </c>
      <c r="V1313">
        <v>5</v>
      </c>
      <c r="W1313">
        <v>19</v>
      </c>
      <c r="X1313">
        <v>17</v>
      </c>
      <c r="Y1313">
        <v>2</v>
      </c>
      <c r="Z1313">
        <v>8</v>
      </c>
      <c r="AA1313" t="str">
        <f t="shared" si="108"/>
        <v>Long Tenure</v>
      </c>
      <c r="AB1313" s="5">
        <v>45483</v>
      </c>
      <c r="AC1313">
        <f t="shared" si="109"/>
        <v>1</v>
      </c>
      <c r="AD1313" t="s">
        <v>38</v>
      </c>
      <c r="AE1313">
        <f>VLOOKUP(A1313,'Employee Engagement Survey'!A1294:B2763,2,FALSE)</f>
        <v>1</v>
      </c>
      <c r="AF1313">
        <f>VLOOKUP(A1313,'Employee Engagement Survey'!A1294:C2763,3,FALSE)</f>
        <v>1</v>
      </c>
      <c r="AG1313">
        <f>VLOOKUP(A1313,'Employee Engagement Survey'!A1294:D2763,4,FALSE)</f>
        <v>4</v>
      </c>
      <c r="AH1313">
        <f>VLOOKUP(A1313,'Employee Engagement Survey'!A1294:E2763,5,FALSE)</f>
        <v>3</v>
      </c>
      <c r="AI1313">
        <f t="shared" si="107"/>
        <v>2.25</v>
      </c>
    </row>
    <row r="1314" spans="1:35" hidden="1" x14ac:dyDescent="0.4">
      <c r="A1314">
        <v>601</v>
      </c>
      <c r="B1314" t="s">
        <v>34</v>
      </c>
      <c r="C1314">
        <f t="shared" si="105"/>
        <v>1</v>
      </c>
      <c r="D1314" t="s">
        <v>54</v>
      </c>
      <c r="E1314">
        <f t="shared" si="106"/>
        <v>1</v>
      </c>
      <c r="F1314" t="s">
        <v>28</v>
      </c>
      <c r="G1314">
        <v>10</v>
      </c>
      <c r="H1314" s="1">
        <v>170844</v>
      </c>
      <c r="I1314" s="10">
        <v>0.15</v>
      </c>
      <c r="J1314">
        <v>37.5</v>
      </c>
      <c r="K1314" t="s">
        <v>34</v>
      </c>
      <c r="L1314">
        <v>40</v>
      </c>
      <c r="M1314" t="s">
        <v>47</v>
      </c>
      <c r="N1314" t="s">
        <v>30</v>
      </c>
      <c r="O1314" t="s">
        <v>31</v>
      </c>
      <c r="P1314">
        <v>6</v>
      </c>
      <c r="Q1314" t="s">
        <v>43</v>
      </c>
      <c r="R1314" t="s">
        <v>37</v>
      </c>
      <c r="S1314">
        <v>3</v>
      </c>
      <c r="T1314">
        <v>0</v>
      </c>
      <c r="U1314">
        <v>22</v>
      </c>
      <c r="V1314">
        <v>3</v>
      </c>
      <c r="W1314">
        <v>20</v>
      </c>
      <c r="X1314">
        <v>6</v>
      </c>
      <c r="Y1314">
        <v>5</v>
      </c>
      <c r="Z1314">
        <v>13</v>
      </c>
      <c r="AA1314" t="str">
        <f t="shared" si="108"/>
        <v>Long Tenure</v>
      </c>
      <c r="AB1314" s="5">
        <v>45685</v>
      </c>
      <c r="AC1314">
        <f t="shared" si="109"/>
        <v>1</v>
      </c>
      <c r="AD1314" t="s">
        <v>49</v>
      </c>
      <c r="AE1314">
        <f>VLOOKUP(A1314,'Employee Engagement Survey'!A1295:B2764,2,FALSE)</f>
        <v>2</v>
      </c>
      <c r="AF1314">
        <f>VLOOKUP(A1314,'Employee Engagement Survey'!A1295:C2764,3,FALSE)</f>
        <v>3</v>
      </c>
      <c r="AG1314">
        <f>VLOOKUP(A1314,'Employee Engagement Survey'!A1295:D2764,4,FALSE)</f>
        <v>3</v>
      </c>
      <c r="AH1314">
        <f>VLOOKUP(A1314,'Employee Engagement Survey'!A1295:E2764,5,FALSE)</f>
        <v>3</v>
      </c>
      <c r="AI1314">
        <f t="shared" si="107"/>
        <v>2.75</v>
      </c>
    </row>
    <row r="1315" spans="1:35" x14ac:dyDescent="0.4">
      <c r="A1315">
        <v>1837</v>
      </c>
      <c r="B1315" t="s">
        <v>34</v>
      </c>
      <c r="C1315">
        <f t="shared" si="105"/>
        <v>1</v>
      </c>
      <c r="D1315" t="s">
        <v>60</v>
      </c>
      <c r="E1315">
        <f t="shared" si="106"/>
        <v>1</v>
      </c>
      <c r="F1315" t="s">
        <v>28</v>
      </c>
      <c r="G1315">
        <v>4</v>
      </c>
      <c r="H1315" s="1">
        <v>201444</v>
      </c>
      <c r="I1315" s="10">
        <v>0.14000000000000001</v>
      </c>
      <c r="J1315">
        <v>37.5</v>
      </c>
      <c r="K1315" t="s">
        <v>26</v>
      </c>
      <c r="L1315">
        <v>58</v>
      </c>
      <c r="M1315" t="s">
        <v>29</v>
      </c>
      <c r="N1315" t="s">
        <v>42</v>
      </c>
      <c r="O1315" t="s">
        <v>44</v>
      </c>
      <c r="P1315">
        <v>15</v>
      </c>
      <c r="Q1315" t="s">
        <v>51</v>
      </c>
      <c r="R1315" t="s">
        <v>37</v>
      </c>
      <c r="S1315">
        <v>3</v>
      </c>
      <c r="T1315">
        <v>0</v>
      </c>
      <c r="U1315">
        <v>23</v>
      </c>
      <c r="V1315">
        <v>3</v>
      </c>
      <c r="W1315">
        <v>2</v>
      </c>
      <c r="X1315">
        <v>2</v>
      </c>
      <c r="Y1315">
        <v>2</v>
      </c>
      <c r="Z1315">
        <v>2</v>
      </c>
      <c r="AA1315" t="str">
        <f t="shared" si="108"/>
        <v>Early Tenure</v>
      </c>
      <c r="AB1315" s="5">
        <v>44712</v>
      </c>
      <c r="AC1315">
        <f t="shared" si="109"/>
        <v>0</v>
      </c>
      <c r="AD1315" t="s">
        <v>49</v>
      </c>
      <c r="AE1315">
        <f>VLOOKUP(A1315,'Employee Engagement Survey'!A1296:B2765,2,FALSE)</f>
        <v>1</v>
      </c>
      <c r="AF1315">
        <f>VLOOKUP(A1315,'Employee Engagement Survey'!A1296:C2765,3,FALSE)</f>
        <v>3</v>
      </c>
      <c r="AG1315">
        <f>VLOOKUP(A1315,'Employee Engagement Survey'!A1296:D2765,4,FALSE)</f>
        <v>2</v>
      </c>
      <c r="AH1315">
        <f>VLOOKUP(A1315,'Employee Engagement Survey'!A1296:E2765,5,FALSE)</f>
        <v>3</v>
      </c>
      <c r="AI1315">
        <f t="shared" si="107"/>
        <v>2.25</v>
      </c>
    </row>
    <row r="1316" spans="1:35" hidden="1" x14ac:dyDescent="0.4">
      <c r="A1316">
        <v>1401</v>
      </c>
      <c r="B1316" t="s">
        <v>34</v>
      </c>
      <c r="C1316">
        <f t="shared" si="105"/>
        <v>1</v>
      </c>
      <c r="D1316" t="s">
        <v>54</v>
      </c>
      <c r="E1316">
        <f t="shared" si="106"/>
        <v>1</v>
      </c>
      <c r="F1316" t="s">
        <v>28</v>
      </c>
      <c r="G1316">
        <v>10</v>
      </c>
      <c r="H1316" s="1">
        <v>170964</v>
      </c>
      <c r="I1316" s="10">
        <v>0.11</v>
      </c>
      <c r="J1316">
        <v>37.5</v>
      </c>
      <c r="K1316" t="s">
        <v>26</v>
      </c>
      <c r="L1316">
        <v>52</v>
      </c>
      <c r="M1316" t="s">
        <v>47</v>
      </c>
      <c r="N1316" t="s">
        <v>42</v>
      </c>
      <c r="O1316" t="s">
        <v>44</v>
      </c>
      <c r="P1316">
        <v>28</v>
      </c>
      <c r="Q1316" t="s">
        <v>36</v>
      </c>
      <c r="R1316" t="s">
        <v>33</v>
      </c>
      <c r="S1316">
        <v>3</v>
      </c>
      <c r="T1316">
        <v>1</v>
      </c>
      <c r="U1316">
        <v>24</v>
      </c>
      <c r="V1316">
        <v>3</v>
      </c>
      <c r="W1316">
        <v>5</v>
      </c>
      <c r="X1316">
        <v>3</v>
      </c>
      <c r="Y1316">
        <v>0</v>
      </c>
      <c r="Z1316">
        <v>2</v>
      </c>
      <c r="AA1316" t="str">
        <f t="shared" si="108"/>
        <v>Mid Tenure</v>
      </c>
      <c r="AB1316" s="5">
        <v>45263</v>
      </c>
      <c r="AC1316">
        <f t="shared" si="109"/>
        <v>0</v>
      </c>
      <c r="AD1316" t="s">
        <v>49</v>
      </c>
      <c r="AE1316">
        <f>VLOOKUP(A1316,'Employee Engagement Survey'!A1297:B2766,2,FALSE)</f>
        <v>4</v>
      </c>
      <c r="AF1316">
        <f>VLOOKUP(A1316,'Employee Engagement Survey'!A1297:C2766,3,FALSE)</f>
        <v>3</v>
      </c>
      <c r="AG1316">
        <f>VLOOKUP(A1316,'Employee Engagement Survey'!A1297:D2766,4,FALSE)</f>
        <v>2</v>
      </c>
      <c r="AH1316">
        <f>VLOOKUP(A1316,'Employee Engagement Survey'!A1297:E2766,5,FALSE)</f>
        <v>2</v>
      </c>
      <c r="AI1316">
        <f t="shared" si="107"/>
        <v>2.75</v>
      </c>
    </row>
    <row r="1317" spans="1:35" hidden="1" x14ac:dyDescent="0.4">
      <c r="A1317">
        <v>1656</v>
      </c>
      <c r="B1317" t="s">
        <v>34</v>
      </c>
      <c r="C1317">
        <f t="shared" si="105"/>
        <v>1</v>
      </c>
      <c r="D1317" t="s">
        <v>60</v>
      </c>
      <c r="E1317">
        <f t="shared" si="106"/>
        <v>1</v>
      </c>
      <c r="F1317" t="s">
        <v>28</v>
      </c>
      <c r="G1317">
        <v>10</v>
      </c>
      <c r="H1317" s="1">
        <v>171228</v>
      </c>
      <c r="I1317" s="10">
        <v>0.15</v>
      </c>
      <c r="J1317">
        <v>37.5</v>
      </c>
      <c r="K1317" t="s">
        <v>34</v>
      </c>
      <c r="L1317">
        <v>50</v>
      </c>
      <c r="M1317" t="s">
        <v>47</v>
      </c>
      <c r="N1317" t="s">
        <v>48</v>
      </c>
      <c r="O1317" t="s">
        <v>31</v>
      </c>
      <c r="P1317">
        <v>17</v>
      </c>
      <c r="Q1317" t="s">
        <v>58</v>
      </c>
      <c r="R1317" t="s">
        <v>37</v>
      </c>
      <c r="S1317">
        <v>3</v>
      </c>
      <c r="T1317">
        <v>3</v>
      </c>
      <c r="U1317">
        <v>19</v>
      </c>
      <c r="V1317">
        <v>3</v>
      </c>
      <c r="W1317">
        <v>14</v>
      </c>
      <c r="X1317">
        <v>11</v>
      </c>
      <c r="Y1317">
        <v>1</v>
      </c>
      <c r="Z1317">
        <v>11</v>
      </c>
      <c r="AA1317" t="str">
        <f t="shared" si="108"/>
        <v>Long Tenure</v>
      </c>
      <c r="AB1317" s="5">
        <v>44733</v>
      </c>
      <c r="AC1317">
        <f t="shared" si="109"/>
        <v>0</v>
      </c>
      <c r="AD1317" t="s">
        <v>49</v>
      </c>
      <c r="AE1317">
        <f>VLOOKUP(A1317,'Employee Engagement Survey'!A1298:B2767,2,FALSE)</f>
        <v>4</v>
      </c>
      <c r="AF1317">
        <f>VLOOKUP(A1317,'Employee Engagement Survey'!A1298:C2767,3,FALSE)</f>
        <v>1</v>
      </c>
      <c r="AG1317">
        <f>VLOOKUP(A1317,'Employee Engagement Survey'!A1298:D2767,4,FALSE)</f>
        <v>3</v>
      </c>
      <c r="AH1317">
        <f>VLOOKUP(A1317,'Employee Engagement Survey'!A1298:E2767,5,FALSE)</f>
        <v>3</v>
      </c>
      <c r="AI1317">
        <f t="shared" si="107"/>
        <v>2.75</v>
      </c>
    </row>
    <row r="1318" spans="1:35" hidden="1" x14ac:dyDescent="0.4">
      <c r="A1318">
        <v>1039</v>
      </c>
      <c r="B1318" t="s">
        <v>34</v>
      </c>
      <c r="C1318">
        <f t="shared" si="105"/>
        <v>1</v>
      </c>
      <c r="D1318" t="s">
        <v>57</v>
      </c>
      <c r="E1318">
        <f t="shared" si="106"/>
        <v>0</v>
      </c>
      <c r="F1318" t="s">
        <v>40</v>
      </c>
      <c r="G1318">
        <v>10</v>
      </c>
      <c r="H1318" s="1">
        <v>171840</v>
      </c>
      <c r="I1318" s="10">
        <v>0.18</v>
      </c>
      <c r="J1318">
        <v>37.5</v>
      </c>
      <c r="K1318" t="s">
        <v>26</v>
      </c>
      <c r="L1318">
        <v>44</v>
      </c>
      <c r="M1318" t="s">
        <v>47</v>
      </c>
      <c r="N1318" t="s">
        <v>42</v>
      </c>
      <c r="O1318" t="s">
        <v>31</v>
      </c>
      <c r="P1318">
        <v>28</v>
      </c>
      <c r="Q1318" t="s">
        <v>43</v>
      </c>
      <c r="R1318" t="s">
        <v>33</v>
      </c>
      <c r="S1318">
        <v>3</v>
      </c>
      <c r="T1318">
        <v>1</v>
      </c>
      <c r="U1318">
        <v>23</v>
      </c>
      <c r="V1318">
        <v>2</v>
      </c>
      <c r="W1318">
        <v>12</v>
      </c>
      <c r="X1318">
        <v>11</v>
      </c>
      <c r="Y1318">
        <v>11</v>
      </c>
      <c r="Z1318">
        <v>11</v>
      </c>
      <c r="AA1318" t="str">
        <f t="shared" si="108"/>
        <v>Long Tenure</v>
      </c>
      <c r="AB1318" s="5">
        <v>45599</v>
      </c>
      <c r="AC1318">
        <f t="shared" si="109"/>
        <v>1</v>
      </c>
      <c r="AD1318" t="s">
        <v>49</v>
      </c>
      <c r="AE1318">
        <f>VLOOKUP(A1318,'Employee Engagement Survey'!A1299:B2768,2,FALSE)</f>
        <v>4</v>
      </c>
      <c r="AF1318">
        <f>VLOOKUP(A1318,'Employee Engagement Survey'!A1299:C2768,3,FALSE)</f>
        <v>4</v>
      </c>
      <c r="AG1318">
        <f>VLOOKUP(A1318,'Employee Engagement Survey'!A1299:D2768,4,FALSE)</f>
        <v>3</v>
      </c>
      <c r="AH1318">
        <f>VLOOKUP(A1318,'Employee Engagement Survey'!A1299:E2768,5,FALSE)</f>
        <v>3</v>
      </c>
      <c r="AI1318">
        <f t="shared" si="107"/>
        <v>3.5</v>
      </c>
    </row>
    <row r="1319" spans="1:35" hidden="1" x14ac:dyDescent="0.4">
      <c r="A1319">
        <v>1849</v>
      </c>
      <c r="B1319" t="s">
        <v>34</v>
      </c>
      <c r="C1319">
        <f t="shared" si="105"/>
        <v>1</v>
      </c>
      <c r="D1319" t="s">
        <v>57</v>
      </c>
      <c r="E1319">
        <f t="shared" si="106"/>
        <v>0</v>
      </c>
      <c r="F1319" t="s">
        <v>40</v>
      </c>
      <c r="G1319">
        <v>7</v>
      </c>
      <c r="H1319" s="1">
        <v>80100</v>
      </c>
      <c r="I1319" s="10">
        <v>0.2</v>
      </c>
      <c r="J1319">
        <v>37.5</v>
      </c>
      <c r="K1319" t="s">
        <v>34</v>
      </c>
      <c r="L1319">
        <v>43</v>
      </c>
      <c r="M1319" t="s">
        <v>29</v>
      </c>
      <c r="N1319" t="s">
        <v>42</v>
      </c>
      <c r="O1319" t="s">
        <v>44</v>
      </c>
      <c r="P1319">
        <v>2</v>
      </c>
      <c r="Q1319" t="s">
        <v>51</v>
      </c>
      <c r="R1319" t="s">
        <v>37</v>
      </c>
      <c r="S1319">
        <v>4</v>
      </c>
      <c r="T1319">
        <v>1</v>
      </c>
      <c r="U1319">
        <v>7</v>
      </c>
      <c r="V1319">
        <v>5</v>
      </c>
      <c r="W1319">
        <v>7</v>
      </c>
      <c r="X1319">
        <v>7</v>
      </c>
      <c r="Y1319">
        <v>7</v>
      </c>
      <c r="Z1319">
        <v>7</v>
      </c>
      <c r="AA1319" t="str">
        <f t="shared" si="108"/>
        <v>Mid Tenure</v>
      </c>
      <c r="AB1319" s="5">
        <v>45555</v>
      </c>
      <c r="AC1319">
        <f t="shared" si="109"/>
        <v>1</v>
      </c>
      <c r="AD1319" t="s">
        <v>49</v>
      </c>
      <c r="AE1319">
        <f>VLOOKUP(A1319,'Employee Engagement Survey'!A1302:B2771,2,FALSE)</f>
        <v>1</v>
      </c>
      <c r="AF1319">
        <f>VLOOKUP(A1319,'Employee Engagement Survey'!A1302:C2771,3,FALSE)</f>
        <v>4</v>
      </c>
      <c r="AG1319">
        <f>VLOOKUP(A1319,'Employee Engagement Survey'!A1302:D2771,4,FALSE)</f>
        <v>3</v>
      </c>
      <c r="AH1319">
        <f>VLOOKUP(A1319,'Employee Engagement Survey'!A1302:E2771,5,FALSE)</f>
        <v>3</v>
      </c>
      <c r="AI1319">
        <f t="shared" si="107"/>
        <v>2.75</v>
      </c>
    </row>
    <row r="1320" spans="1:35" hidden="1" x14ac:dyDescent="0.4">
      <c r="A1320">
        <v>73</v>
      </c>
      <c r="B1320" t="s">
        <v>34</v>
      </c>
      <c r="C1320">
        <f t="shared" si="105"/>
        <v>1</v>
      </c>
      <c r="D1320" t="s">
        <v>60</v>
      </c>
      <c r="E1320">
        <f t="shared" si="106"/>
        <v>1</v>
      </c>
      <c r="F1320" t="s">
        <v>28</v>
      </c>
      <c r="G1320">
        <v>10</v>
      </c>
      <c r="H1320" s="1">
        <v>173496</v>
      </c>
      <c r="I1320" s="10">
        <v>0.12</v>
      </c>
      <c r="J1320">
        <v>37.5</v>
      </c>
      <c r="K1320" t="s">
        <v>26</v>
      </c>
      <c r="L1320">
        <v>33</v>
      </c>
      <c r="M1320" t="s">
        <v>47</v>
      </c>
      <c r="N1320" t="s">
        <v>30</v>
      </c>
      <c r="O1320" t="s">
        <v>44</v>
      </c>
      <c r="P1320">
        <v>1</v>
      </c>
      <c r="Q1320" t="s">
        <v>36</v>
      </c>
      <c r="R1320" t="s">
        <v>37</v>
      </c>
      <c r="S1320">
        <v>3</v>
      </c>
      <c r="T1320">
        <v>0</v>
      </c>
      <c r="U1320">
        <v>15</v>
      </c>
      <c r="V1320">
        <v>1</v>
      </c>
      <c r="W1320">
        <v>15</v>
      </c>
      <c r="X1320">
        <v>14</v>
      </c>
      <c r="Y1320">
        <v>8</v>
      </c>
      <c r="Z1320">
        <v>12</v>
      </c>
      <c r="AA1320" t="str">
        <f t="shared" si="108"/>
        <v>Long Tenure</v>
      </c>
      <c r="AB1320" s="5">
        <v>45657</v>
      </c>
      <c r="AC1320">
        <f t="shared" si="109"/>
        <v>1</v>
      </c>
      <c r="AD1320" t="s">
        <v>38</v>
      </c>
      <c r="AE1320">
        <f>VLOOKUP(A1320,'Employee Engagement Survey'!A1303:B2772,2,FALSE)</f>
        <v>1</v>
      </c>
      <c r="AF1320">
        <f>VLOOKUP(A1320,'Employee Engagement Survey'!A1303:C2772,3,FALSE)</f>
        <v>4</v>
      </c>
      <c r="AG1320">
        <f>VLOOKUP(A1320,'Employee Engagement Survey'!A1303:D2772,4,FALSE)</f>
        <v>3</v>
      </c>
      <c r="AH1320">
        <f>VLOOKUP(A1320,'Employee Engagement Survey'!A1303:E2772,5,FALSE)</f>
        <v>3</v>
      </c>
      <c r="AI1320">
        <f t="shared" si="107"/>
        <v>2.75</v>
      </c>
    </row>
    <row r="1321" spans="1:35" hidden="1" x14ac:dyDescent="0.4">
      <c r="A1321">
        <v>1852</v>
      </c>
      <c r="B1321" t="s">
        <v>34</v>
      </c>
      <c r="C1321">
        <f t="shared" si="105"/>
        <v>1</v>
      </c>
      <c r="D1321" t="s">
        <v>46</v>
      </c>
      <c r="E1321">
        <f t="shared" si="106"/>
        <v>0</v>
      </c>
      <c r="F1321" t="s">
        <v>28</v>
      </c>
      <c r="G1321">
        <v>6</v>
      </c>
      <c r="H1321" s="1">
        <v>69744</v>
      </c>
      <c r="I1321" s="10">
        <v>0.13</v>
      </c>
      <c r="J1321">
        <v>37.5</v>
      </c>
      <c r="K1321" t="s">
        <v>34</v>
      </c>
      <c r="L1321">
        <v>29</v>
      </c>
      <c r="M1321" t="s">
        <v>29</v>
      </c>
      <c r="N1321" t="s">
        <v>42</v>
      </c>
      <c r="O1321" t="s">
        <v>44</v>
      </c>
      <c r="P1321">
        <v>20</v>
      </c>
      <c r="Q1321" t="s">
        <v>32</v>
      </c>
      <c r="R1321" t="s">
        <v>33</v>
      </c>
      <c r="S1321">
        <v>3</v>
      </c>
      <c r="T1321">
        <v>0</v>
      </c>
      <c r="U1321">
        <v>11</v>
      </c>
      <c r="V1321">
        <v>3</v>
      </c>
      <c r="W1321">
        <v>11</v>
      </c>
      <c r="X1321">
        <v>8</v>
      </c>
      <c r="Y1321">
        <v>3</v>
      </c>
      <c r="Z1321">
        <v>10</v>
      </c>
      <c r="AA1321" t="str">
        <f t="shared" si="108"/>
        <v>Long Tenure</v>
      </c>
      <c r="AB1321" s="5">
        <v>44872</v>
      </c>
      <c r="AC1321">
        <f t="shared" si="109"/>
        <v>0</v>
      </c>
      <c r="AD1321" t="s">
        <v>49</v>
      </c>
      <c r="AE1321">
        <f>VLOOKUP(A1321,'Employee Engagement Survey'!A1304:B2773,2,FALSE)</f>
        <v>4</v>
      </c>
      <c r="AF1321">
        <f>VLOOKUP(A1321,'Employee Engagement Survey'!A1304:C2773,3,FALSE)</f>
        <v>4</v>
      </c>
      <c r="AG1321">
        <f>VLOOKUP(A1321,'Employee Engagement Survey'!A1304:D2773,4,FALSE)</f>
        <v>2</v>
      </c>
      <c r="AH1321">
        <f>VLOOKUP(A1321,'Employee Engagement Survey'!A1304:E2773,5,FALSE)</f>
        <v>4</v>
      </c>
      <c r="AI1321">
        <f t="shared" si="107"/>
        <v>3.5</v>
      </c>
    </row>
    <row r="1322" spans="1:35" hidden="1" x14ac:dyDescent="0.4">
      <c r="A1322">
        <v>1853</v>
      </c>
      <c r="B1322" t="s">
        <v>34</v>
      </c>
      <c r="C1322">
        <f t="shared" si="105"/>
        <v>1</v>
      </c>
      <c r="D1322" t="s">
        <v>57</v>
      </c>
      <c r="E1322">
        <f t="shared" si="106"/>
        <v>0</v>
      </c>
      <c r="F1322" t="s">
        <v>40</v>
      </c>
      <c r="G1322">
        <v>6</v>
      </c>
      <c r="H1322" s="1">
        <v>67776</v>
      </c>
      <c r="I1322" s="10">
        <v>0.13</v>
      </c>
      <c r="J1322">
        <v>37.5</v>
      </c>
      <c r="K1322" t="s">
        <v>34</v>
      </c>
      <c r="L1322">
        <v>32</v>
      </c>
      <c r="M1322" t="s">
        <v>29</v>
      </c>
      <c r="N1322" t="s">
        <v>30</v>
      </c>
      <c r="O1322" t="s">
        <v>44</v>
      </c>
      <c r="P1322">
        <v>10</v>
      </c>
      <c r="Q1322" t="s">
        <v>51</v>
      </c>
      <c r="R1322" t="s">
        <v>56</v>
      </c>
      <c r="S1322">
        <v>3</v>
      </c>
      <c r="T1322">
        <v>0</v>
      </c>
      <c r="U1322">
        <v>4</v>
      </c>
      <c r="V1322">
        <v>2</v>
      </c>
      <c r="W1322">
        <v>0</v>
      </c>
      <c r="X1322">
        <v>0</v>
      </c>
      <c r="Y1322">
        <v>0</v>
      </c>
      <c r="Z1322">
        <v>0</v>
      </c>
      <c r="AA1322" t="str">
        <f t="shared" si="108"/>
        <v>Early Tenure</v>
      </c>
      <c r="AB1322" s="5">
        <v>44860</v>
      </c>
      <c r="AC1322">
        <f t="shared" si="109"/>
        <v>0</v>
      </c>
      <c r="AD1322" t="s">
        <v>49</v>
      </c>
      <c r="AE1322">
        <f>VLOOKUP(A1322,'Employee Engagement Survey'!A1305:B2774,2,FALSE)</f>
        <v>4</v>
      </c>
      <c r="AF1322">
        <f>VLOOKUP(A1322,'Employee Engagement Survey'!A1305:C2774,3,FALSE)</f>
        <v>4</v>
      </c>
      <c r="AG1322">
        <f>VLOOKUP(A1322,'Employee Engagement Survey'!A1305:D2774,4,FALSE)</f>
        <v>3</v>
      </c>
      <c r="AH1322">
        <f>VLOOKUP(A1322,'Employee Engagement Survey'!A1305:E2774,5,FALSE)</f>
        <v>4</v>
      </c>
      <c r="AI1322">
        <f t="shared" si="107"/>
        <v>3.75</v>
      </c>
    </row>
    <row r="1323" spans="1:35" hidden="1" x14ac:dyDescent="0.4">
      <c r="A1323">
        <v>1166</v>
      </c>
      <c r="B1323" t="s">
        <v>34</v>
      </c>
      <c r="C1323">
        <f t="shared" si="105"/>
        <v>1</v>
      </c>
      <c r="D1323" t="s">
        <v>60</v>
      </c>
      <c r="E1323">
        <f t="shared" si="106"/>
        <v>1</v>
      </c>
      <c r="F1323" t="s">
        <v>28</v>
      </c>
      <c r="G1323">
        <v>10</v>
      </c>
      <c r="H1323" s="1">
        <v>173988</v>
      </c>
      <c r="I1323" s="10">
        <v>0.17</v>
      </c>
      <c r="J1323">
        <v>37.5</v>
      </c>
      <c r="K1323" t="s">
        <v>34</v>
      </c>
      <c r="L1323">
        <v>40</v>
      </c>
      <c r="M1323" t="s">
        <v>47</v>
      </c>
      <c r="N1323" t="s">
        <v>30</v>
      </c>
      <c r="O1323" t="s">
        <v>44</v>
      </c>
      <c r="P1323">
        <v>9</v>
      </c>
      <c r="Q1323" t="s">
        <v>51</v>
      </c>
      <c r="R1323" t="s">
        <v>33</v>
      </c>
      <c r="S1323">
        <v>3</v>
      </c>
      <c r="T1323">
        <v>0</v>
      </c>
      <c r="U1323">
        <v>20</v>
      </c>
      <c r="V1323">
        <v>3</v>
      </c>
      <c r="W1323">
        <v>18</v>
      </c>
      <c r="X1323">
        <v>7</v>
      </c>
      <c r="Y1323">
        <v>2</v>
      </c>
      <c r="Z1323">
        <v>13</v>
      </c>
      <c r="AA1323" t="str">
        <f t="shared" si="108"/>
        <v>Long Tenure</v>
      </c>
      <c r="AB1323" s="5">
        <v>45205</v>
      </c>
      <c r="AC1323">
        <f t="shared" si="109"/>
        <v>0</v>
      </c>
      <c r="AD1323" t="s">
        <v>49</v>
      </c>
      <c r="AE1323">
        <f>VLOOKUP(A1323,'Employee Engagement Survey'!A1306:B2775,2,FALSE)</f>
        <v>2</v>
      </c>
      <c r="AF1323">
        <f>VLOOKUP(A1323,'Employee Engagement Survey'!A1306:C2775,3,FALSE)</f>
        <v>3</v>
      </c>
      <c r="AG1323">
        <f>VLOOKUP(A1323,'Employee Engagement Survey'!A1306:D2775,4,FALSE)</f>
        <v>3</v>
      </c>
      <c r="AH1323">
        <f>VLOOKUP(A1323,'Employee Engagement Survey'!A1306:E2775,5,FALSE)</f>
        <v>2</v>
      </c>
      <c r="AI1323">
        <f t="shared" si="107"/>
        <v>2.5</v>
      </c>
    </row>
    <row r="1324" spans="1:35" hidden="1" x14ac:dyDescent="0.4">
      <c r="A1324">
        <v>1854</v>
      </c>
      <c r="B1324" t="s">
        <v>34</v>
      </c>
      <c r="C1324">
        <f t="shared" si="105"/>
        <v>1</v>
      </c>
      <c r="D1324" t="s">
        <v>27</v>
      </c>
      <c r="E1324">
        <f t="shared" si="106"/>
        <v>0</v>
      </c>
      <c r="F1324" t="s">
        <v>28</v>
      </c>
      <c r="G1324">
        <v>5</v>
      </c>
      <c r="H1324" s="1">
        <v>59232</v>
      </c>
      <c r="I1324" s="10">
        <v>0.22</v>
      </c>
      <c r="J1324">
        <v>37.5</v>
      </c>
      <c r="K1324" t="s">
        <v>34</v>
      </c>
      <c r="L1324">
        <v>42</v>
      </c>
      <c r="M1324" t="s">
        <v>29</v>
      </c>
      <c r="N1324" t="s">
        <v>42</v>
      </c>
      <c r="O1324" t="s">
        <v>35</v>
      </c>
      <c r="P1324">
        <v>10</v>
      </c>
      <c r="Q1324" t="s">
        <v>51</v>
      </c>
      <c r="R1324" t="s">
        <v>45</v>
      </c>
      <c r="S1324">
        <v>4</v>
      </c>
      <c r="T1324">
        <v>2</v>
      </c>
      <c r="U1324">
        <v>10</v>
      </c>
      <c r="V1324">
        <v>1</v>
      </c>
      <c r="W1324">
        <v>6</v>
      </c>
      <c r="X1324">
        <v>3</v>
      </c>
      <c r="Y1324">
        <v>3</v>
      </c>
      <c r="Z1324">
        <v>3</v>
      </c>
      <c r="AA1324" t="str">
        <f t="shared" si="108"/>
        <v>Mid Tenure</v>
      </c>
      <c r="AB1324" s="5">
        <v>45459</v>
      </c>
      <c r="AC1324">
        <f t="shared" si="109"/>
        <v>1</v>
      </c>
      <c r="AD1324" t="s">
        <v>49</v>
      </c>
      <c r="AE1324">
        <f>VLOOKUP(A1324,'Employee Engagement Survey'!A1307:B2776,2,FALSE)</f>
        <v>3</v>
      </c>
      <c r="AF1324">
        <f>VLOOKUP(A1324,'Employee Engagement Survey'!A1307:C2776,3,FALSE)</f>
        <v>3</v>
      </c>
      <c r="AG1324">
        <f>VLOOKUP(A1324,'Employee Engagement Survey'!A1307:D2776,4,FALSE)</f>
        <v>2</v>
      </c>
      <c r="AH1324">
        <f>VLOOKUP(A1324,'Employee Engagement Survey'!A1307:E2776,5,FALSE)</f>
        <v>2</v>
      </c>
      <c r="AI1324">
        <f t="shared" si="107"/>
        <v>2.5</v>
      </c>
    </row>
    <row r="1325" spans="1:35" hidden="1" x14ac:dyDescent="0.4">
      <c r="A1325">
        <v>404</v>
      </c>
      <c r="B1325" t="s">
        <v>34</v>
      </c>
      <c r="C1325">
        <f t="shared" si="105"/>
        <v>1</v>
      </c>
      <c r="D1325" t="s">
        <v>57</v>
      </c>
      <c r="E1325">
        <f t="shared" si="106"/>
        <v>0</v>
      </c>
      <c r="F1325" t="s">
        <v>40</v>
      </c>
      <c r="G1325">
        <v>10</v>
      </c>
      <c r="H1325" s="1">
        <v>174300</v>
      </c>
      <c r="I1325" s="10">
        <v>0.14000000000000001</v>
      </c>
      <c r="J1325">
        <v>37.5</v>
      </c>
      <c r="K1325" t="s">
        <v>34</v>
      </c>
      <c r="L1325">
        <v>42</v>
      </c>
      <c r="M1325" t="s">
        <v>47</v>
      </c>
      <c r="N1325" t="s">
        <v>42</v>
      </c>
      <c r="O1325" t="s">
        <v>44</v>
      </c>
      <c r="P1325">
        <v>26</v>
      </c>
      <c r="Q1325" t="s">
        <v>43</v>
      </c>
      <c r="R1325" t="s">
        <v>56</v>
      </c>
      <c r="S1325">
        <v>3</v>
      </c>
      <c r="T1325">
        <v>1</v>
      </c>
      <c r="U1325">
        <v>23</v>
      </c>
      <c r="V1325">
        <v>2</v>
      </c>
      <c r="W1325">
        <v>20</v>
      </c>
      <c r="X1325">
        <v>4</v>
      </c>
      <c r="Y1325">
        <v>4</v>
      </c>
      <c r="Z1325">
        <v>8</v>
      </c>
      <c r="AA1325" t="str">
        <f t="shared" si="108"/>
        <v>Long Tenure</v>
      </c>
      <c r="AB1325" s="5">
        <v>45872</v>
      </c>
      <c r="AC1325">
        <f t="shared" si="109"/>
        <v>1</v>
      </c>
      <c r="AD1325" t="s">
        <v>38</v>
      </c>
      <c r="AE1325">
        <f>VLOOKUP(A1325,'Employee Engagement Survey'!A1308:B2777,2,FALSE)</f>
        <v>3</v>
      </c>
      <c r="AF1325">
        <f>VLOOKUP(A1325,'Employee Engagement Survey'!A1308:C2777,3,FALSE)</f>
        <v>2</v>
      </c>
      <c r="AG1325">
        <f>VLOOKUP(A1325,'Employee Engagement Survey'!A1308:D2777,4,FALSE)</f>
        <v>4</v>
      </c>
      <c r="AH1325">
        <f>VLOOKUP(A1325,'Employee Engagement Survey'!A1308:E2777,5,FALSE)</f>
        <v>4</v>
      </c>
      <c r="AI1325">
        <f t="shared" si="107"/>
        <v>3.25</v>
      </c>
    </row>
    <row r="1326" spans="1:35" hidden="1" x14ac:dyDescent="0.4">
      <c r="A1326">
        <v>126</v>
      </c>
      <c r="B1326" t="s">
        <v>34</v>
      </c>
      <c r="C1326">
        <f t="shared" si="105"/>
        <v>1</v>
      </c>
      <c r="D1326" t="s">
        <v>60</v>
      </c>
      <c r="E1326">
        <f t="shared" si="106"/>
        <v>1</v>
      </c>
      <c r="F1326" t="s">
        <v>28</v>
      </c>
      <c r="G1326">
        <v>10</v>
      </c>
      <c r="H1326" s="1">
        <v>174588</v>
      </c>
      <c r="I1326" s="10">
        <v>0.12</v>
      </c>
      <c r="J1326">
        <v>37.5</v>
      </c>
      <c r="K1326" t="s">
        <v>34</v>
      </c>
      <c r="L1326">
        <v>54</v>
      </c>
      <c r="M1326" t="s">
        <v>47</v>
      </c>
      <c r="N1326" t="s">
        <v>42</v>
      </c>
      <c r="O1326" t="s">
        <v>31</v>
      </c>
      <c r="P1326">
        <v>2</v>
      </c>
      <c r="Q1326" t="s">
        <v>51</v>
      </c>
      <c r="R1326" t="s">
        <v>45</v>
      </c>
      <c r="S1326">
        <v>3</v>
      </c>
      <c r="T1326">
        <v>1</v>
      </c>
      <c r="U1326">
        <v>16</v>
      </c>
      <c r="V1326">
        <v>5</v>
      </c>
      <c r="W1326">
        <v>4</v>
      </c>
      <c r="X1326">
        <v>3</v>
      </c>
      <c r="Y1326">
        <v>0</v>
      </c>
      <c r="Z1326">
        <v>3</v>
      </c>
      <c r="AA1326" t="str">
        <f t="shared" si="108"/>
        <v>Mid Tenure</v>
      </c>
      <c r="AB1326" s="5">
        <v>45124</v>
      </c>
      <c r="AC1326">
        <f t="shared" si="109"/>
        <v>0</v>
      </c>
      <c r="AD1326" t="s">
        <v>49</v>
      </c>
      <c r="AE1326">
        <f>VLOOKUP(A1326,'Employee Engagement Survey'!A1309:B2778,2,FALSE)</f>
        <v>1</v>
      </c>
      <c r="AF1326">
        <f>VLOOKUP(A1326,'Employee Engagement Survey'!A1309:C2778,3,FALSE)</f>
        <v>3</v>
      </c>
      <c r="AG1326">
        <f>VLOOKUP(A1326,'Employee Engagement Survey'!A1309:D2778,4,FALSE)</f>
        <v>1</v>
      </c>
      <c r="AH1326">
        <f>VLOOKUP(A1326,'Employee Engagement Survey'!A1309:E2778,5,FALSE)</f>
        <v>1</v>
      </c>
      <c r="AI1326">
        <f t="shared" si="107"/>
        <v>1.5</v>
      </c>
    </row>
    <row r="1327" spans="1:35" hidden="1" x14ac:dyDescent="0.4">
      <c r="A1327">
        <v>2034</v>
      </c>
      <c r="B1327" t="s">
        <v>34</v>
      </c>
      <c r="C1327">
        <f t="shared" si="105"/>
        <v>1</v>
      </c>
      <c r="D1327" t="s">
        <v>54</v>
      </c>
      <c r="E1327">
        <f t="shared" si="106"/>
        <v>1</v>
      </c>
      <c r="F1327" t="s">
        <v>28</v>
      </c>
      <c r="G1327">
        <v>10</v>
      </c>
      <c r="H1327" s="1">
        <v>174840</v>
      </c>
      <c r="I1327" s="10">
        <v>0.23</v>
      </c>
      <c r="J1327">
        <v>37.5</v>
      </c>
      <c r="K1327" t="s">
        <v>34</v>
      </c>
      <c r="L1327">
        <v>41</v>
      </c>
      <c r="M1327" t="s">
        <v>47</v>
      </c>
      <c r="N1327" t="s">
        <v>42</v>
      </c>
      <c r="O1327" t="s">
        <v>31</v>
      </c>
      <c r="P1327">
        <v>28</v>
      </c>
      <c r="Q1327" t="s">
        <v>51</v>
      </c>
      <c r="R1327" t="s">
        <v>37</v>
      </c>
      <c r="S1327">
        <v>4</v>
      </c>
      <c r="T1327">
        <v>1</v>
      </c>
      <c r="U1327">
        <v>21</v>
      </c>
      <c r="V1327">
        <v>3</v>
      </c>
      <c r="W1327">
        <v>20</v>
      </c>
      <c r="X1327">
        <v>7</v>
      </c>
      <c r="Y1327">
        <v>0</v>
      </c>
      <c r="Z1327">
        <v>10</v>
      </c>
      <c r="AA1327" t="str">
        <f t="shared" si="108"/>
        <v>Long Tenure</v>
      </c>
      <c r="AB1327" s="5">
        <v>45386</v>
      </c>
      <c r="AC1327">
        <f t="shared" si="109"/>
        <v>1</v>
      </c>
      <c r="AD1327" t="s">
        <v>38</v>
      </c>
      <c r="AE1327">
        <f>VLOOKUP(A1327,'Employee Engagement Survey'!A1310:B2779,2,FALSE)</f>
        <v>1</v>
      </c>
      <c r="AF1327">
        <f>VLOOKUP(A1327,'Employee Engagement Survey'!A1310:C2779,3,FALSE)</f>
        <v>2</v>
      </c>
      <c r="AG1327">
        <f>VLOOKUP(A1327,'Employee Engagement Survey'!A1310:D2779,4,FALSE)</f>
        <v>3</v>
      </c>
      <c r="AH1327">
        <f>VLOOKUP(A1327,'Employee Engagement Survey'!A1310:E2779,5,FALSE)</f>
        <v>3</v>
      </c>
      <c r="AI1327">
        <f t="shared" si="107"/>
        <v>2.25</v>
      </c>
    </row>
    <row r="1328" spans="1:35" hidden="1" x14ac:dyDescent="0.4">
      <c r="A1328">
        <v>1857</v>
      </c>
      <c r="B1328" t="s">
        <v>34</v>
      </c>
      <c r="C1328">
        <f t="shared" si="105"/>
        <v>1</v>
      </c>
      <c r="D1328" t="s">
        <v>54</v>
      </c>
      <c r="E1328">
        <f t="shared" si="106"/>
        <v>1</v>
      </c>
      <c r="F1328" t="s">
        <v>28</v>
      </c>
      <c r="G1328">
        <v>9</v>
      </c>
      <c r="H1328" s="1">
        <v>114936</v>
      </c>
      <c r="I1328" s="10">
        <v>0.14000000000000001</v>
      </c>
      <c r="J1328">
        <v>37.5</v>
      </c>
      <c r="K1328" t="s">
        <v>34</v>
      </c>
      <c r="L1328">
        <v>46</v>
      </c>
      <c r="M1328" t="s">
        <v>29</v>
      </c>
      <c r="N1328" t="s">
        <v>48</v>
      </c>
      <c r="O1328" t="s">
        <v>31</v>
      </c>
      <c r="P1328">
        <v>2</v>
      </c>
      <c r="Q1328" t="s">
        <v>36</v>
      </c>
      <c r="R1328" t="s">
        <v>37</v>
      </c>
      <c r="S1328">
        <v>3</v>
      </c>
      <c r="T1328">
        <v>1</v>
      </c>
      <c r="U1328">
        <v>12</v>
      </c>
      <c r="V1328">
        <v>4</v>
      </c>
      <c r="W1328">
        <v>9</v>
      </c>
      <c r="X1328">
        <v>8</v>
      </c>
      <c r="Y1328">
        <v>4</v>
      </c>
      <c r="Z1328">
        <v>7</v>
      </c>
      <c r="AA1328" t="str">
        <f t="shared" si="108"/>
        <v>Mid Tenure</v>
      </c>
      <c r="AB1328" s="5">
        <v>45497</v>
      </c>
      <c r="AC1328">
        <f t="shared" si="109"/>
        <v>1</v>
      </c>
      <c r="AD1328" t="s">
        <v>49</v>
      </c>
      <c r="AE1328">
        <f>VLOOKUP(A1328,'Employee Engagement Survey'!A1311:B2780,2,FALSE)</f>
        <v>4</v>
      </c>
      <c r="AF1328">
        <f>VLOOKUP(A1328,'Employee Engagement Survey'!A1311:C2780,3,FALSE)</f>
        <v>4</v>
      </c>
      <c r="AG1328">
        <f>VLOOKUP(A1328,'Employee Engagement Survey'!A1311:D2780,4,FALSE)</f>
        <v>3</v>
      </c>
      <c r="AH1328">
        <f>VLOOKUP(A1328,'Employee Engagement Survey'!A1311:E2780,5,FALSE)</f>
        <v>2</v>
      </c>
      <c r="AI1328">
        <f t="shared" si="107"/>
        <v>3.25</v>
      </c>
    </row>
    <row r="1329" spans="1:35" hidden="1" x14ac:dyDescent="0.4">
      <c r="A1329">
        <v>950</v>
      </c>
      <c r="B1329" t="s">
        <v>34</v>
      </c>
      <c r="C1329">
        <f t="shared" si="105"/>
        <v>1</v>
      </c>
      <c r="D1329" t="s">
        <v>60</v>
      </c>
      <c r="E1329">
        <f t="shared" si="106"/>
        <v>1</v>
      </c>
      <c r="F1329" t="s">
        <v>28</v>
      </c>
      <c r="G1329">
        <v>10</v>
      </c>
      <c r="H1329" s="1">
        <v>174984</v>
      </c>
      <c r="I1329" s="10">
        <v>0.13</v>
      </c>
      <c r="J1329">
        <v>37.5</v>
      </c>
      <c r="K1329" t="s">
        <v>34</v>
      </c>
      <c r="L1329">
        <v>38</v>
      </c>
      <c r="M1329" t="s">
        <v>47</v>
      </c>
      <c r="N1329" t="s">
        <v>42</v>
      </c>
      <c r="O1329" t="s">
        <v>31</v>
      </c>
      <c r="P1329">
        <v>1</v>
      </c>
      <c r="Q1329" t="s">
        <v>43</v>
      </c>
      <c r="R1329" t="s">
        <v>45</v>
      </c>
      <c r="S1329">
        <v>3</v>
      </c>
      <c r="T1329">
        <v>1</v>
      </c>
      <c r="U1329">
        <v>15</v>
      </c>
      <c r="V1329">
        <v>3</v>
      </c>
      <c r="W1329">
        <v>15</v>
      </c>
      <c r="X1329">
        <v>12</v>
      </c>
      <c r="Y1329">
        <v>5</v>
      </c>
      <c r="Z1329">
        <v>11</v>
      </c>
      <c r="AA1329" t="str">
        <f t="shared" si="108"/>
        <v>Long Tenure</v>
      </c>
      <c r="AB1329" s="5">
        <v>44612</v>
      </c>
      <c r="AC1329">
        <f t="shared" si="109"/>
        <v>0</v>
      </c>
      <c r="AD1329" t="s">
        <v>38</v>
      </c>
      <c r="AE1329">
        <f>VLOOKUP(A1329,'Employee Engagement Survey'!A1312:B2781,2,FALSE)</f>
        <v>4</v>
      </c>
      <c r="AF1329">
        <f>VLOOKUP(A1329,'Employee Engagement Survey'!A1312:C2781,3,FALSE)</f>
        <v>1</v>
      </c>
      <c r="AG1329">
        <f>VLOOKUP(A1329,'Employee Engagement Survey'!A1312:D2781,4,FALSE)</f>
        <v>2</v>
      </c>
      <c r="AH1329">
        <f>VLOOKUP(A1329,'Employee Engagement Survey'!A1312:E2781,5,FALSE)</f>
        <v>3</v>
      </c>
      <c r="AI1329">
        <f t="shared" si="107"/>
        <v>2.5</v>
      </c>
    </row>
    <row r="1330" spans="1:35" x14ac:dyDescent="0.4">
      <c r="A1330">
        <v>298</v>
      </c>
      <c r="B1330" t="s">
        <v>34</v>
      </c>
      <c r="C1330">
        <f t="shared" ref="C1330:C1393" si="110">IF(B1330="No",1,0)</f>
        <v>1</v>
      </c>
      <c r="D1330" t="s">
        <v>110</v>
      </c>
      <c r="E1330">
        <f t="shared" si="106"/>
        <v>1</v>
      </c>
      <c r="F1330" t="s">
        <v>40</v>
      </c>
      <c r="G1330">
        <v>3</v>
      </c>
      <c r="H1330" s="1">
        <v>175092</v>
      </c>
      <c r="I1330" s="10">
        <v>0.18</v>
      </c>
      <c r="J1330">
        <v>37.5</v>
      </c>
      <c r="K1330" t="s">
        <v>26</v>
      </c>
      <c r="L1330">
        <v>41</v>
      </c>
      <c r="M1330" t="s">
        <v>47</v>
      </c>
      <c r="N1330" t="s">
        <v>30</v>
      </c>
      <c r="O1330" t="s">
        <v>31</v>
      </c>
      <c r="P1330">
        <v>6</v>
      </c>
      <c r="Q1330" t="s">
        <v>43</v>
      </c>
      <c r="R1330" t="s">
        <v>37</v>
      </c>
      <c r="S1330">
        <v>3</v>
      </c>
      <c r="T1330">
        <v>0</v>
      </c>
      <c r="U1330">
        <v>16</v>
      </c>
      <c r="V1330">
        <v>3</v>
      </c>
      <c r="W1330">
        <v>1</v>
      </c>
      <c r="X1330">
        <v>0</v>
      </c>
      <c r="Y1330">
        <v>0</v>
      </c>
      <c r="Z1330">
        <v>0</v>
      </c>
      <c r="AA1330" t="str">
        <f t="shared" si="108"/>
        <v>Early Tenure</v>
      </c>
      <c r="AB1330" s="5">
        <v>45905</v>
      </c>
      <c r="AC1330">
        <f t="shared" si="109"/>
        <v>1</v>
      </c>
      <c r="AD1330" t="s">
        <v>49</v>
      </c>
      <c r="AE1330">
        <f>VLOOKUP(A1330,'Employee Engagement Survey'!A1313:B2782,2,FALSE)</f>
        <v>4</v>
      </c>
      <c r="AF1330">
        <f>VLOOKUP(A1330,'Employee Engagement Survey'!A1313:C2782,3,FALSE)</f>
        <v>4</v>
      </c>
      <c r="AG1330">
        <f>VLOOKUP(A1330,'Employee Engagement Survey'!A1313:D2782,4,FALSE)</f>
        <v>3</v>
      </c>
      <c r="AH1330">
        <f>VLOOKUP(A1330,'Employee Engagement Survey'!A1313:E2782,5,FALSE)</f>
        <v>3</v>
      </c>
      <c r="AI1330">
        <f t="shared" si="107"/>
        <v>3.5</v>
      </c>
    </row>
    <row r="1331" spans="1:35" hidden="1" x14ac:dyDescent="0.4">
      <c r="A1331">
        <v>380</v>
      </c>
      <c r="B1331" t="s">
        <v>34</v>
      </c>
      <c r="C1331">
        <f t="shared" si="110"/>
        <v>1</v>
      </c>
      <c r="D1331" t="s">
        <v>60</v>
      </c>
      <c r="E1331">
        <f t="shared" si="106"/>
        <v>1</v>
      </c>
      <c r="F1331" t="s">
        <v>28</v>
      </c>
      <c r="G1331">
        <v>3</v>
      </c>
      <c r="H1331" s="1">
        <v>175236</v>
      </c>
      <c r="I1331" s="10">
        <v>0.18</v>
      </c>
      <c r="J1331">
        <v>37.5</v>
      </c>
      <c r="K1331" t="s">
        <v>26</v>
      </c>
      <c r="L1331">
        <v>37</v>
      </c>
      <c r="M1331" t="s">
        <v>47</v>
      </c>
      <c r="N1331" t="s">
        <v>48</v>
      </c>
      <c r="O1331" t="s">
        <v>35</v>
      </c>
      <c r="P1331">
        <v>1</v>
      </c>
      <c r="Q1331" t="s">
        <v>51</v>
      </c>
      <c r="R1331" t="s">
        <v>33</v>
      </c>
      <c r="S1331">
        <v>3</v>
      </c>
      <c r="T1331">
        <v>2</v>
      </c>
      <c r="U1331">
        <v>15</v>
      </c>
      <c r="V1331">
        <v>2</v>
      </c>
      <c r="W1331">
        <v>5</v>
      </c>
      <c r="X1331">
        <v>2</v>
      </c>
      <c r="Y1331">
        <v>0</v>
      </c>
      <c r="Z1331">
        <v>2</v>
      </c>
      <c r="AA1331" t="str">
        <f t="shared" si="108"/>
        <v>Mid Tenure</v>
      </c>
      <c r="AB1331" s="5">
        <v>45490</v>
      </c>
      <c r="AC1331">
        <f t="shared" si="109"/>
        <v>1</v>
      </c>
      <c r="AD1331" t="s">
        <v>49</v>
      </c>
      <c r="AE1331">
        <f>VLOOKUP(A1331,'Employee Engagement Survey'!A1314:B2783,2,FALSE)</f>
        <v>1</v>
      </c>
      <c r="AF1331">
        <f>VLOOKUP(A1331,'Employee Engagement Survey'!A1314:C2783,3,FALSE)</f>
        <v>4</v>
      </c>
      <c r="AG1331">
        <f>VLOOKUP(A1331,'Employee Engagement Survey'!A1314:D2783,4,FALSE)</f>
        <v>1</v>
      </c>
      <c r="AH1331">
        <f>VLOOKUP(A1331,'Employee Engagement Survey'!A1314:E2783,5,FALSE)</f>
        <v>3</v>
      </c>
      <c r="AI1331">
        <f t="shared" si="107"/>
        <v>2.25</v>
      </c>
    </row>
    <row r="1332" spans="1:35" hidden="1" x14ac:dyDescent="0.4">
      <c r="A1332">
        <v>1858</v>
      </c>
      <c r="B1332" t="s">
        <v>34</v>
      </c>
      <c r="C1332">
        <f t="shared" si="110"/>
        <v>1</v>
      </c>
      <c r="D1332" t="s">
        <v>104</v>
      </c>
      <c r="E1332">
        <f t="shared" si="106"/>
        <v>0</v>
      </c>
      <c r="F1332" t="s">
        <v>59</v>
      </c>
      <c r="G1332">
        <v>5</v>
      </c>
      <c r="H1332" s="1">
        <v>56472</v>
      </c>
      <c r="I1332" s="10">
        <v>0.15</v>
      </c>
      <c r="J1332">
        <v>37.5</v>
      </c>
      <c r="K1332" t="s">
        <v>34</v>
      </c>
      <c r="L1332">
        <v>28</v>
      </c>
      <c r="M1332" t="s">
        <v>29</v>
      </c>
      <c r="N1332" t="s">
        <v>48</v>
      </c>
      <c r="O1332" t="s">
        <v>35</v>
      </c>
      <c r="P1332">
        <v>1</v>
      </c>
      <c r="Q1332" t="s">
        <v>36</v>
      </c>
      <c r="R1332" t="s">
        <v>37</v>
      </c>
      <c r="S1332">
        <v>3</v>
      </c>
      <c r="T1332">
        <v>1</v>
      </c>
      <c r="U1332">
        <v>3</v>
      </c>
      <c r="V1332">
        <v>2</v>
      </c>
      <c r="W1332">
        <v>3</v>
      </c>
      <c r="X1332">
        <v>2</v>
      </c>
      <c r="Y1332">
        <v>2</v>
      </c>
      <c r="Z1332">
        <v>2</v>
      </c>
      <c r="AA1332" t="str">
        <f t="shared" si="108"/>
        <v>Mid Tenure</v>
      </c>
      <c r="AB1332" s="5">
        <v>45834</v>
      </c>
      <c r="AC1332">
        <f t="shared" si="109"/>
        <v>1</v>
      </c>
      <c r="AD1332" t="s">
        <v>49</v>
      </c>
      <c r="AE1332">
        <f>VLOOKUP(A1332,'Employee Engagement Survey'!A1315:B2784,2,FALSE)</f>
        <v>3</v>
      </c>
      <c r="AF1332">
        <f>VLOOKUP(A1332,'Employee Engagement Survey'!A1315:C2784,3,FALSE)</f>
        <v>4</v>
      </c>
      <c r="AG1332">
        <f>VLOOKUP(A1332,'Employee Engagement Survey'!A1315:D2784,4,FALSE)</f>
        <v>2</v>
      </c>
      <c r="AH1332">
        <f>VLOOKUP(A1332,'Employee Engagement Survey'!A1315:E2784,5,FALSE)</f>
        <v>3</v>
      </c>
      <c r="AI1332">
        <f t="shared" si="107"/>
        <v>3</v>
      </c>
    </row>
    <row r="1333" spans="1:35" hidden="1" x14ac:dyDescent="0.4">
      <c r="A1333">
        <v>1859</v>
      </c>
      <c r="B1333" t="s">
        <v>34</v>
      </c>
      <c r="C1333">
        <f t="shared" si="110"/>
        <v>1</v>
      </c>
      <c r="D1333" t="s">
        <v>55</v>
      </c>
      <c r="E1333">
        <f t="shared" si="106"/>
        <v>0</v>
      </c>
      <c r="F1333" t="s">
        <v>28</v>
      </c>
      <c r="G1333">
        <v>8</v>
      </c>
      <c r="H1333" s="1">
        <v>88608</v>
      </c>
      <c r="I1333" s="10">
        <v>0.17</v>
      </c>
      <c r="J1333">
        <v>37.5</v>
      </c>
      <c r="K1333" t="s">
        <v>34</v>
      </c>
      <c r="L1333">
        <v>29</v>
      </c>
      <c r="M1333" t="s">
        <v>29</v>
      </c>
      <c r="N1333" t="s">
        <v>48</v>
      </c>
      <c r="O1333" t="s">
        <v>31</v>
      </c>
      <c r="P1333">
        <v>29</v>
      </c>
      <c r="Q1333" t="s">
        <v>32</v>
      </c>
      <c r="R1333" t="s">
        <v>37</v>
      </c>
      <c r="S1333">
        <v>3</v>
      </c>
      <c r="T1333">
        <v>2</v>
      </c>
      <c r="U1333">
        <v>11</v>
      </c>
      <c r="V1333">
        <v>3</v>
      </c>
      <c r="W1333">
        <v>7</v>
      </c>
      <c r="X1333">
        <v>0</v>
      </c>
      <c r="Y1333">
        <v>1</v>
      </c>
      <c r="Z1333">
        <v>6</v>
      </c>
      <c r="AA1333" t="str">
        <f t="shared" si="108"/>
        <v>Mid Tenure</v>
      </c>
      <c r="AB1333" s="5">
        <v>45256</v>
      </c>
      <c r="AC1333">
        <f t="shared" si="109"/>
        <v>0</v>
      </c>
      <c r="AD1333" t="s">
        <v>49</v>
      </c>
      <c r="AE1333">
        <f>VLOOKUP(A1333,'Employee Engagement Survey'!A1316:B2785,2,FALSE)</f>
        <v>4</v>
      </c>
      <c r="AF1333">
        <f>VLOOKUP(A1333,'Employee Engagement Survey'!A1316:C2785,3,FALSE)</f>
        <v>3</v>
      </c>
      <c r="AG1333">
        <f>VLOOKUP(A1333,'Employee Engagement Survey'!A1316:D2785,4,FALSE)</f>
        <v>4</v>
      </c>
      <c r="AH1333">
        <f>VLOOKUP(A1333,'Employee Engagement Survey'!A1316:E2785,5,FALSE)</f>
        <v>3</v>
      </c>
      <c r="AI1333">
        <f t="shared" si="107"/>
        <v>3.5</v>
      </c>
    </row>
    <row r="1334" spans="1:35" hidden="1" x14ac:dyDescent="0.4">
      <c r="A1334">
        <v>1860</v>
      </c>
      <c r="B1334" t="s">
        <v>34</v>
      </c>
      <c r="C1334">
        <f t="shared" si="110"/>
        <v>1</v>
      </c>
      <c r="D1334" t="s">
        <v>46</v>
      </c>
      <c r="E1334">
        <f t="shared" si="106"/>
        <v>0</v>
      </c>
      <c r="F1334" t="s">
        <v>28</v>
      </c>
      <c r="G1334">
        <v>7</v>
      </c>
      <c r="H1334" s="1">
        <v>71616</v>
      </c>
      <c r="I1334" s="10">
        <v>0.13</v>
      </c>
      <c r="J1334">
        <v>37.5</v>
      </c>
      <c r="K1334" t="s">
        <v>34</v>
      </c>
      <c r="L1334">
        <v>42</v>
      </c>
      <c r="M1334" t="s">
        <v>29</v>
      </c>
      <c r="N1334" t="s">
        <v>30</v>
      </c>
      <c r="O1334" t="s">
        <v>31</v>
      </c>
      <c r="P1334">
        <v>8</v>
      </c>
      <c r="Q1334" t="s">
        <v>43</v>
      </c>
      <c r="R1334" t="s">
        <v>37</v>
      </c>
      <c r="S1334">
        <v>3</v>
      </c>
      <c r="T1334">
        <v>0</v>
      </c>
      <c r="U1334">
        <v>8</v>
      </c>
      <c r="V1334">
        <v>3</v>
      </c>
      <c r="W1334">
        <v>0</v>
      </c>
      <c r="X1334">
        <v>0</v>
      </c>
      <c r="Y1334">
        <v>0</v>
      </c>
      <c r="Z1334">
        <v>0</v>
      </c>
      <c r="AA1334" t="str">
        <f t="shared" si="108"/>
        <v>Early Tenure</v>
      </c>
      <c r="AB1334" s="5">
        <v>45498</v>
      </c>
      <c r="AC1334">
        <f t="shared" si="109"/>
        <v>1</v>
      </c>
      <c r="AD1334" t="s">
        <v>49</v>
      </c>
      <c r="AE1334">
        <f>VLOOKUP(A1334,'Employee Engagement Survey'!A1317:B2786,2,FALSE)</f>
        <v>4</v>
      </c>
      <c r="AF1334">
        <f>VLOOKUP(A1334,'Employee Engagement Survey'!A1317:C2786,3,FALSE)</f>
        <v>3</v>
      </c>
      <c r="AG1334">
        <f>VLOOKUP(A1334,'Employee Engagement Survey'!A1317:D2786,4,FALSE)</f>
        <v>4</v>
      </c>
      <c r="AH1334">
        <f>VLOOKUP(A1334,'Employee Engagement Survey'!A1317:E2786,5,FALSE)</f>
        <v>3</v>
      </c>
      <c r="AI1334">
        <f t="shared" si="107"/>
        <v>3.5</v>
      </c>
    </row>
    <row r="1335" spans="1:35" hidden="1" x14ac:dyDescent="0.4">
      <c r="A1335">
        <v>1032</v>
      </c>
      <c r="B1335" t="s">
        <v>34</v>
      </c>
      <c r="C1335">
        <f t="shared" si="110"/>
        <v>1</v>
      </c>
      <c r="D1335" t="s">
        <v>54</v>
      </c>
      <c r="E1335">
        <f t="shared" si="106"/>
        <v>1</v>
      </c>
      <c r="F1335" t="s">
        <v>28</v>
      </c>
      <c r="G1335">
        <v>4</v>
      </c>
      <c r="H1335" s="1">
        <v>176712</v>
      </c>
      <c r="I1335" s="10">
        <v>0.13</v>
      </c>
      <c r="J1335">
        <v>37.5</v>
      </c>
      <c r="K1335" t="s">
        <v>26</v>
      </c>
      <c r="L1335">
        <v>59</v>
      </c>
      <c r="M1335" t="s">
        <v>47</v>
      </c>
      <c r="N1335" t="s">
        <v>30</v>
      </c>
      <c r="O1335" t="s">
        <v>31</v>
      </c>
      <c r="P1335">
        <v>2</v>
      </c>
      <c r="Q1335" t="s">
        <v>43</v>
      </c>
      <c r="R1335" t="s">
        <v>37</v>
      </c>
      <c r="S1335">
        <v>3</v>
      </c>
      <c r="T1335">
        <v>0</v>
      </c>
      <c r="U1335">
        <v>30</v>
      </c>
      <c r="V1335">
        <v>4</v>
      </c>
      <c r="W1335">
        <v>5</v>
      </c>
      <c r="X1335">
        <v>3</v>
      </c>
      <c r="Y1335">
        <v>4</v>
      </c>
      <c r="Z1335">
        <v>3</v>
      </c>
      <c r="AA1335" t="str">
        <f t="shared" si="108"/>
        <v>Mid Tenure</v>
      </c>
      <c r="AB1335" s="5">
        <v>44681</v>
      </c>
      <c r="AC1335">
        <f t="shared" si="109"/>
        <v>0</v>
      </c>
      <c r="AD1335" t="s">
        <v>38</v>
      </c>
      <c r="AE1335">
        <f>VLOOKUP(A1335,'Employee Engagement Survey'!A1319:B2788,2,FALSE)</f>
        <v>3</v>
      </c>
      <c r="AF1335">
        <f>VLOOKUP(A1335,'Employee Engagement Survey'!A1319:C2788,3,FALSE)</f>
        <v>4</v>
      </c>
      <c r="AG1335">
        <f>VLOOKUP(A1335,'Employee Engagement Survey'!A1319:D2788,4,FALSE)</f>
        <v>1</v>
      </c>
      <c r="AH1335">
        <f>VLOOKUP(A1335,'Employee Engagement Survey'!A1319:E2788,5,FALSE)</f>
        <v>3</v>
      </c>
      <c r="AI1335">
        <f t="shared" si="107"/>
        <v>2.75</v>
      </c>
    </row>
    <row r="1336" spans="1:35" hidden="1" x14ac:dyDescent="0.4">
      <c r="A1336">
        <v>258</v>
      </c>
      <c r="B1336" t="s">
        <v>34</v>
      </c>
      <c r="C1336">
        <f t="shared" si="110"/>
        <v>1</v>
      </c>
      <c r="D1336" t="s">
        <v>55</v>
      </c>
      <c r="E1336">
        <f t="shared" si="106"/>
        <v>0</v>
      </c>
      <c r="F1336" t="s">
        <v>28</v>
      </c>
      <c r="G1336">
        <v>4</v>
      </c>
      <c r="H1336" s="1">
        <v>176808</v>
      </c>
      <c r="I1336" s="10">
        <v>0.18</v>
      </c>
      <c r="J1336">
        <v>37.5</v>
      </c>
      <c r="K1336" t="s">
        <v>34</v>
      </c>
      <c r="L1336">
        <v>51</v>
      </c>
      <c r="M1336" t="s">
        <v>47</v>
      </c>
      <c r="N1336" t="s">
        <v>30</v>
      </c>
      <c r="O1336" t="s">
        <v>31</v>
      </c>
      <c r="P1336">
        <v>3</v>
      </c>
      <c r="Q1336" t="s">
        <v>43</v>
      </c>
      <c r="R1336" t="s">
        <v>33</v>
      </c>
      <c r="S1336">
        <v>3</v>
      </c>
      <c r="T1336">
        <v>0</v>
      </c>
      <c r="U1336">
        <v>21</v>
      </c>
      <c r="V1336">
        <v>6</v>
      </c>
      <c r="W1336">
        <v>7</v>
      </c>
      <c r="X1336">
        <v>7</v>
      </c>
      <c r="Y1336">
        <v>1</v>
      </c>
      <c r="Z1336">
        <v>0</v>
      </c>
      <c r="AA1336" t="str">
        <f t="shared" si="108"/>
        <v>Mid Tenure</v>
      </c>
      <c r="AB1336" s="5">
        <v>44801</v>
      </c>
      <c r="AC1336">
        <f t="shared" si="109"/>
        <v>0</v>
      </c>
      <c r="AD1336" t="s">
        <v>38</v>
      </c>
      <c r="AE1336">
        <f>VLOOKUP(A1336,'Employee Engagement Survey'!A1320:B2789,2,FALSE)</f>
        <v>4</v>
      </c>
      <c r="AF1336">
        <f>VLOOKUP(A1336,'Employee Engagement Survey'!A1320:C2789,3,FALSE)</f>
        <v>2</v>
      </c>
      <c r="AG1336">
        <f>VLOOKUP(A1336,'Employee Engagement Survey'!A1320:D2789,4,FALSE)</f>
        <v>3</v>
      </c>
      <c r="AH1336">
        <f>VLOOKUP(A1336,'Employee Engagement Survey'!A1320:E2789,5,FALSE)</f>
        <v>3</v>
      </c>
      <c r="AI1336">
        <f t="shared" si="107"/>
        <v>3</v>
      </c>
    </row>
    <row r="1337" spans="1:35" hidden="1" x14ac:dyDescent="0.4">
      <c r="A1337">
        <v>2017</v>
      </c>
      <c r="B1337" t="s">
        <v>34</v>
      </c>
      <c r="C1337">
        <f t="shared" si="110"/>
        <v>1</v>
      </c>
      <c r="D1337" t="s">
        <v>60</v>
      </c>
      <c r="E1337">
        <f t="shared" si="106"/>
        <v>1</v>
      </c>
      <c r="F1337" t="s">
        <v>28</v>
      </c>
      <c r="G1337">
        <v>3</v>
      </c>
      <c r="H1337" s="1">
        <v>176928</v>
      </c>
      <c r="I1337" s="10">
        <v>0.25</v>
      </c>
      <c r="J1337">
        <v>37.5</v>
      </c>
      <c r="K1337" t="s">
        <v>26</v>
      </c>
      <c r="L1337">
        <v>37</v>
      </c>
      <c r="M1337" t="s">
        <v>47</v>
      </c>
      <c r="N1337" t="s">
        <v>42</v>
      </c>
      <c r="O1337" t="s">
        <v>31</v>
      </c>
      <c r="P1337">
        <v>10</v>
      </c>
      <c r="Q1337" t="s">
        <v>43</v>
      </c>
      <c r="R1337" t="s">
        <v>37</v>
      </c>
      <c r="S1337">
        <v>4</v>
      </c>
      <c r="T1337">
        <v>1</v>
      </c>
      <c r="U1337">
        <v>16</v>
      </c>
      <c r="V1337">
        <v>2</v>
      </c>
      <c r="W1337">
        <v>16</v>
      </c>
      <c r="X1337">
        <v>11</v>
      </c>
      <c r="Y1337">
        <v>6</v>
      </c>
      <c r="Z1337">
        <v>8</v>
      </c>
      <c r="AA1337" t="str">
        <f t="shared" si="108"/>
        <v>Long Tenure</v>
      </c>
      <c r="AB1337" s="5">
        <v>45501</v>
      </c>
      <c r="AC1337">
        <f t="shared" si="109"/>
        <v>1</v>
      </c>
      <c r="AD1337" t="s">
        <v>49</v>
      </c>
      <c r="AE1337">
        <f>VLOOKUP(A1337,'Employee Engagement Survey'!A1321:B2790,2,FALSE)</f>
        <v>3</v>
      </c>
      <c r="AF1337">
        <f>VLOOKUP(A1337,'Employee Engagement Survey'!A1321:C2790,3,FALSE)</f>
        <v>4</v>
      </c>
      <c r="AG1337">
        <f>VLOOKUP(A1337,'Employee Engagement Survey'!A1321:D2790,4,FALSE)</f>
        <v>1</v>
      </c>
      <c r="AH1337">
        <f>VLOOKUP(A1337,'Employee Engagement Survey'!A1321:E2790,5,FALSE)</f>
        <v>3</v>
      </c>
      <c r="AI1337">
        <f t="shared" si="107"/>
        <v>2.75</v>
      </c>
    </row>
    <row r="1338" spans="1:35" hidden="1" x14ac:dyDescent="0.4">
      <c r="A1338">
        <v>1865</v>
      </c>
      <c r="B1338" t="s">
        <v>34</v>
      </c>
      <c r="C1338">
        <f t="shared" si="110"/>
        <v>1</v>
      </c>
      <c r="D1338" t="s">
        <v>105</v>
      </c>
      <c r="E1338">
        <f t="shared" si="106"/>
        <v>0</v>
      </c>
      <c r="F1338" t="s">
        <v>59</v>
      </c>
      <c r="G1338">
        <v>5</v>
      </c>
      <c r="H1338" s="1">
        <v>57648</v>
      </c>
      <c r="I1338" s="10">
        <v>0.11</v>
      </c>
      <c r="J1338">
        <v>37.5</v>
      </c>
      <c r="K1338" t="s">
        <v>34</v>
      </c>
      <c r="L1338">
        <v>29</v>
      </c>
      <c r="M1338" t="s">
        <v>29</v>
      </c>
      <c r="N1338" t="s">
        <v>42</v>
      </c>
      <c r="O1338" t="s">
        <v>31</v>
      </c>
      <c r="P1338">
        <v>6</v>
      </c>
      <c r="Q1338" t="s">
        <v>32</v>
      </c>
      <c r="R1338" t="s">
        <v>33</v>
      </c>
      <c r="S1338">
        <v>3</v>
      </c>
      <c r="T1338">
        <v>0</v>
      </c>
      <c r="U1338">
        <v>1</v>
      </c>
      <c r="V1338">
        <v>3</v>
      </c>
      <c r="W1338">
        <v>1</v>
      </c>
      <c r="X1338">
        <v>0</v>
      </c>
      <c r="Y1338">
        <v>0</v>
      </c>
      <c r="Z1338">
        <v>0</v>
      </c>
      <c r="AA1338" t="str">
        <f t="shared" si="108"/>
        <v>Early Tenure</v>
      </c>
      <c r="AB1338" s="5">
        <v>45309</v>
      </c>
      <c r="AC1338">
        <f t="shared" si="109"/>
        <v>1</v>
      </c>
      <c r="AD1338" t="s">
        <v>49</v>
      </c>
      <c r="AE1338">
        <f>VLOOKUP(A1338,'Employee Engagement Survey'!A1322:B2791,2,FALSE)</f>
        <v>4</v>
      </c>
      <c r="AF1338">
        <f>VLOOKUP(A1338,'Employee Engagement Survey'!A1322:C2791,3,FALSE)</f>
        <v>2</v>
      </c>
      <c r="AG1338">
        <f>VLOOKUP(A1338,'Employee Engagement Survey'!A1322:D2791,4,FALSE)</f>
        <v>4</v>
      </c>
      <c r="AH1338">
        <f>VLOOKUP(A1338,'Employee Engagement Survey'!A1322:E2791,5,FALSE)</f>
        <v>3</v>
      </c>
      <c r="AI1338">
        <f t="shared" si="107"/>
        <v>3.25</v>
      </c>
    </row>
    <row r="1339" spans="1:35" hidden="1" x14ac:dyDescent="0.4">
      <c r="A1339">
        <v>1867</v>
      </c>
      <c r="B1339" t="s">
        <v>34</v>
      </c>
      <c r="C1339">
        <f t="shared" si="110"/>
        <v>1</v>
      </c>
      <c r="D1339" t="s">
        <v>60</v>
      </c>
      <c r="E1339">
        <f t="shared" si="106"/>
        <v>1</v>
      </c>
      <c r="F1339" t="s">
        <v>28</v>
      </c>
      <c r="G1339">
        <v>5</v>
      </c>
      <c r="H1339" s="1">
        <v>247980</v>
      </c>
      <c r="I1339" s="10">
        <v>0.12</v>
      </c>
      <c r="J1339">
        <v>37.5</v>
      </c>
      <c r="K1339" t="s">
        <v>34</v>
      </c>
      <c r="L1339">
        <v>48</v>
      </c>
      <c r="M1339" t="s">
        <v>29</v>
      </c>
      <c r="N1339" t="s">
        <v>42</v>
      </c>
      <c r="O1339" t="s">
        <v>31</v>
      </c>
      <c r="P1339">
        <v>10</v>
      </c>
      <c r="Q1339" t="s">
        <v>43</v>
      </c>
      <c r="R1339" t="s">
        <v>37</v>
      </c>
      <c r="S1339">
        <v>3</v>
      </c>
      <c r="T1339">
        <v>0</v>
      </c>
      <c r="U1339">
        <v>29</v>
      </c>
      <c r="V1339">
        <v>3</v>
      </c>
      <c r="W1339">
        <v>22</v>
      </c>
      <c r="X1339">
        <v>10</v>
      </c>
      <c r="Y1339">
        <v>12</v>
      </c>
      <c r="Z1339">
        <v>9</v>
      </c>
      <c r="AA1339" t="str">
        <f t="shared" si="108"/>
        <v>Long Tenure</v>
      </c>
      <c r="AB1339" s="5">
        <v>45630</v>
      </c>
      <c r="AC1339">
        <f t="shared" si="109"/>
        <v>1</v>
      </c>
      <c r="AD1339" t="s">
        <v>49</v>
      </c>
      <c r="AE1339">
        <f>VLOOKUP(A1339,'Employee Engagement Survey'!A1323:B2792,2,FALSE)</f>
        <v>4</v>
      </c>
      <c r="AF1339">
        <f>VLOOKUP(A1339,'Employee Engagement Survey'!A1323:C2792,3,FALSE)</f>
        <v>2</v>
      </c>
      <c r="AG1339">
        <f>VLOOKUP(A1339,'Employee Engagement Survey'!A1323:D2792,4,FALSE)</f>
        <v>4</v>
      </c>
      <c r="AH1339">
        <f>VLOOKUP(A1339,'Employee Engagement Survey'!A1323:E2792,5,FALSE)</f>
        <v>3</v>
      </c>
      <c r="AI1339">
        <f t="shared" si="107"/>
        <v>3.25</v>
      </c>
    </row>
    <row r="1340" spans="1:35" hidden="1" x14ac:dyDescent="0.4">
      <c r="A1340">
        <v>746</v>
      </c>
      <c r="B1340" t="s">
        <v>34</v>
      </c>
      <c r="C1340">
        <f t="shared" si="110"/>
        <v>1</v>
      </c>
      <c r="D1340" t="s">
        <v>57</v>
      </c>
      <c r="E1340">
        <f t="shared" si="106"/>
        <v>0</v>
      </c>
      <c r="F1340" t="s">
        <v>40</v>
      </c>
      <c r="G1340">
        <v>4</v>
      </c>
      <c r="H1340" s="1">
        <v>177240</v>
      </c>
      <c r="I1340" s="10">
        <v>0.12</v>
      </c>
      <c r="J1340">
        <v>37.5</v>
      </c>
      <c r="K1340" t="s">
        <v>26</v>
      </c>
      <c r="L1340">
        <v>47</v>
      </c>
      <c r="M1340" t="s">
        <v>47</v>
      </c>
      <c r="N1340" t="s">
        <v>48</v>
      </c>
      <c r="O1340" t="s">
        <v>44</v>
      </c>
      <c r="P1340">
        <v>3</v>
      </c>
      <c r="Q1340" t="s">
        <v>43</v>
      </c>
      <c r="R1340" t="s">
        <v>33</v>
      </c>
      <c r="S1340">
        <v>3</v>
      </c>
      <c r="T1340">
        <v>2</v>
      </c>
      <c r="U1340">
        <v>28</v>
      </c>
      <c r="V1340">
        <v>2</v>
      </c>
      <c r="W1340">
        <v>22</v>
      </c>
      <c r="X1340">
        <v>2</v>
      </c>
      <c r="Y1340">
        <v>11</v>
      </c>
      <c r="Z1340">
        <v>13</v>
      </c>
      <c r="AA1340" t="str">
        <f t="shared" si="108"/>
        <v>Long Tenure</v>
      </c>
      <c r="AB1340" s="5">
        <v>45441</v>
      </c>
      <c r="AC1340">
        <f t="shared" si="109"/>
        <v>1</v>
      </c>
      <c r="AD1340" t="s">
        <v>49</v>
      </c>
      <c r="AE1340">
        <f>VLOOKUP(A1340,'Employee Engagement Survey'!A1324:B2793,2,FALSE)</f>
        <v>4</v>
      </c>
      <c r="AF1340">
        <f>VLOOKUP(A1340,'Employee Engagement Survey'!A1324:C2793,3,FALSE)</f>
        <v>3</v>
      </c>
      <c r="AG1340">
        <f>VLOOKUP(A1340,'Employee Engagement Survey'!A1324:D2793,4,FALSE)</f>
        <v>4</v>
      </c>
      <c r="AH1340">
        <f>VLOOKUP(A1340,'Employee Engagement Survey'!A1324:E2793,5,FALSE)</f>
        <v>2</v>
      </c>
      <c r="AI1340">
        <f t="shared" si="107"/>
        <v>3.25</v>
      </c>
    </row>
    <row r="1341" spans="1:35" hidden="1" x14ac:dyDescent="0.4">
      <c r="A1341">
        <v>867</v>
      </c>
      <c r="B1341" t="s">
        <v>34</v>
      </c>
      <c r="C1341">
        <f t="shared" si="110"/>
        <v>1</v>
      </c>
      <c r="D1341" t="s">
        <v>54</v>
      </c>
      <c r="E1341">
        <f t="shared" si="106"/>
        <v>1</v>
      </c>
      <c r="F1341" t="s">
        <v>28</v>
      </c>
      <c r="G1341">
        <v>4</v>
      </c>
      <c r="H1341" s="1">
        <v>177912</v>
      </c>
      <c r="I1341" s="10">
        <v>0.22</v>
      </c>
      <c r="J1341">
        <v>37.5</v>
      </c>
      <c r="K1341" t="s">
        <v>34</v>
      </c>
      <c r="L1341">
        <v>52</v>
      </c>
      <c r="M1341" t="s">
        <v>47</v>
      </c>
      <c r="N1341" t="s">
        <v>42</v>
      </c>
      <c r="O1341" t="s">
        <v>44</v>
      </c>
      <c r="P1341">
        <v>25</v>
      </c>
      <c r="Q1341" t="s">
        <v>51</v>
      </c>
      <c r="R1341" t="s">
        <v>33</v>
      </c>
      <c r="S1341">
        <v>4</v>
      </c>
      <c r="T1341">
        <v>0</v>
      </c>
      <c r="U1341">
        <v>31</v>
      </c>
      <c r="V1341">
        <v>3</v>
      </c>
      <c r="W1341">
        <v>9</v>
      </c>
      <c r="X1341">
        <v>8</v>
      </c>
      <c r="Y1341">
        <v>0</v>
      </c>
      <c r="Z1341">
        <v>0</v>
      </c>
      <c r="AA1341" t="str">
        <f t="shared" si="108"/>
        <v>Mid Tenure</v>
      </c>
      <c r="AB1341" s="5">
        <v>45030</v>
      </c>
      <c r="AC1341">
        <f t="shared" si="109"/>
        <v>0</v>
      </c>
      <c r="AD1341" t="s">
        <v>38</v>
      </c>
      <c r="AE1341">
        <f>VLOOKUP(A1341,'Employee Engagement Survey'!A1325:B2794,2,FALSE)</f>
        <v>3</v>
      </c>
      <c r="AF1341">
        <f>VLOOKUP(A1341,'Employee Engagement Survey'!A1325:C2794,3,FALSE)</f>
        <v>4</v>
      </c>
      <c r="AG1341">
        <f>VLOOKUP(A1341,'Employee Engagement Survey'!A1325:D2794,4,FALSE)</f>
        <v>3</v>
      </c>
      <c r="AH1341">
        <f>VLOOKUP(A1341,'Employee Engagement Survey'!A1325:E2794,5,FALSE)</f>
        <v>3</v>
      </c>
      <c r="AI1341">
        <f t="shared" si="107"/>
        <v>3.25</v>
      </c>
    </row>
    <row r="1342" spans="1:35" hidden="1" x14ac:dyDescent="0.4">
      <c r="A1342">
        <v>431</v>
      </c>
      <c r="B1342" t="s">
        <v>34</v>
      </c>
      <c r="C1342">
        <f t="shared" si="110"/>
        <v>1</v>
      </c>
      <c r="D1342" t="s">
        <v>55</v>
      </c>
      <c r="E1342">
        <f t="shared" si="106"/>
        <v>0</v>
      </c>
      <c r="F1342" t="s">
        <v>28</v>
      </c>
      <c r="G1342">
        <v>4</v>
      </c>
      <c r="H1342" s="1">
        <v>179568</v>
      </c>
      <c r="I1342" s="10">
        <v>0.12</v>
      </c>
      <c r="J1342">
        <v>37.5</v>
      </c>
      <c r="K1342" t="s">
        <v>26</v>
      </c>
      <c r="L1342">
        <v>49</v>
      </c>
      <c r="M1342" t="s">
        <v>47</v>
      </c>
      <c r="N1342" t="s">
        <v>30</v>
      </c>
      <c r="O1342" t="s">
        <v>31</v>
      </c>
      <c r="P1342">
        <v>1</v>
      </c>
      <c r="Q1342" t="s">
        <v>36</v>
      </c>
      <c r="R1342" t="s">
        <v>45</v>
      </c>
      <c r="S1342">
        <v>3</v>
      </c>
      <c r="T1342">
        <v>0</v>
      </c>
      <c r="U1342">
        <v>25</v>
      </c>
      <c r="V1342">
        <v>2</v>
      </c>
      <c r="W1342">
        <v>7</v>
      </c>
      <c r="X1342">
        <v>1</v>
      </c>
      <c r="Y1342">
        <v>0</v>
      </c>
      <c r="Z1342">
        <v>7</v>
      </c>
      <c r="AA1342" t="str">
        <f t="shared" si="108"/>
        <v>Mid Tenure</v>
      </c>
      <c r="AB1342" s="5">
        <v>44667</v>
      </c>
      <c r="AC1342">
        <f t="shared" si="109"/>
        <v>0</v>
      </c>
      <c r="AD1342" t="s">
        <v>49</v>
      </c>
      <c r="AE1342">
        <f>VLOOKUP(A1342,'Employee Engagement Survey'!A1327:B2796,2,FALSE)</f>
        <v>3</v>
      </c>
      <c r="AF1342">
        <f>VLOOKUP(A1342,'Employee Engagement Survey'!A1327:C2796,3,FALSE)</f>
        <v>3</v>
      </c>
      <c r="AG1342">
        <f>VLOOKUP(A1342,'Employee Engagement Survey'!A1327:D2796,4,FALSE)</f>
        <v>4</v>
      </c>
      <c r="AH1342">
        <f>VLOOKUP(A1342,'Employee Engagement Survey'!A1327:E2796,5,FALSE)</f>
        <v>3</v>
      </c>
      <c r="AI1342">
        <f t="shared" si="107"/>
        <v>3.25</v>
      </c>
    </row>
    <row r="1343" spans="1:35" hidden="1" x14ac:dyDescent="0.4">
      <c r="A1343">
        <v>1661</v>
      </c>
      <c r="B1343" t="s">
        <v>34</v>
      </c>
      <c r="C1343">
        <f t="shared" si="110"/>
        <v>1</v>
      </c>
      <c r="D1343" t="s">
        <v>55</v>
      </c>
      <c r="E1343">
        <f t="shared" si="106"/>
        <v>0</v>
      </c>
      <c r="F1343" t="s">
        <v>28</v>
      </c>
      <c r="G1343">
        <v>4</v>
      </c>
      <c r="H1343" s="1">
        <v>179592</v>
      </c>
      <c r="I1343" s="10">
        <v>0.19</v>
      </c>
      <c r="J1343">
        <v>37.5</v>
      </c>
      <c r="K1343" t="s">
        <v>26</v>
      </c>
      <c r="L1343">
        <v>49</v>
      </c>
      <c r="M1343" t="s">
        <v>47</v>
      </c>
      <c r="N1343" t="s">
        <v>42</v>
      </c>
      <c r="O1343" t="s">
        <v>31</v>
      </c>
      <c r="P1343">
        <v>6</v>
      </c>
      <c r="Q1343" t="s">
        <v>32</v>
      </c>
      <c r="R1343" t="s">
        <v>37</v>
      </c>
      <c r="S1343">
        <v>3</v>
      </c>
      <c r="T1343">
        <v>1</v>
      </c>
      <c r="U1343">
        <v>30</v>
      </c>
      <c r="V1343">
        <v>3</v>
      </c>
      <c r="W1343">
        <v>15</v>
      </c>
      <c r="X1343">
        <v>11</v>
      </c>
      <c r="Y1343">
        <v>2</v>
      </c>
      <c r="Z1343">
        <v>12</v>
      </c>
      <c r="AA1343" t="str">
        <f t="shared" si="108"/>
        <v>Long Tenure</v>
      </c>
      <c r="AB1343" s="5">
        <v>45568</v>
      </c>
      <c r="AC1343">
        <f t="shared" si="109"/>
        <v>1</v>
      </c>
      <c r="AD1343" t="s">
        <v>49</v>
      </c>
      <c r="AE1343">
        <f>VLOOKUP(A1343,'Employee Engagement Survey'!A1328:B2797,2,FALSE)</f>
        <v>3</v>
      </c>
      <c r="AF1343">
        <f>VLOOKUP(A1343,'Employee Engagement Survey'!A1328:C2797,3,FALSE)</f>
        <v>3</v>
      </c>
      <c r="AG1343">
        <f>VLOOKUP(A1343,'Employee Engagement Survey'!A1328:D2797,4,FALSE)</f>
        <v>2</v>
      </c>
      <c r="AH1343">
        <f>VLOOKUP(A1343,'Employee Engagement Survey'!A1328:E2797,5,FALSE)</f>
        <v>3</v>
      </c>
      <c r="AI1343">
        <f t="shared" si="107"/>
        <v>2.75</v>
      </c>
    </row>
    <row r="1344" spans="1:35" hidden="1" x14ac:dyDescent="0.4">
      <c r="A1344">
        <v>1871</v>
      </c>
      <c r="B1344" t="s">
        <v>34</v>
      </c>
      <c r="C1344">
        <f t="shared" si="110"/>
        <v>1</v>
      </c>
      <c r="D1344" t="s">
        <v>27</v>
      </c>
      <c r="E1344">
        <f t="shared" si="106"/>
        <v>0</v>
      </c>
      <c r="F1344" t="s">
        <v>28</v>
      </c>
      <c r="G1344">
        <v>7</v>
      </c>
      <c r="H1344" s="1">
        <v>70824</v>
      </c>
      <c r="I1344" s="10">
        <v>0.14000000000000001</v>
      </c>
      <c r="J1344">
        <v>37.5</v>
      </c>
      <c r="K1344" t="s">
        <v>34</v>
      </c>
      <c r="L1344">
        <v>39</v>
      </c>
      <c r="M1344" t="s">
        <v>29</v>
      </c>
      <c r="N1344" t="s">
        <v>48</v>
      </c>
      <c r="O1344" t="s">
        <v>31</v>
      </c>
      <c r="P1344">
        <v>19</v>
      </c>
      <c r="Q1344" t="s">
        <v>51</v>
      </c>
      <c r="R1344" t="s">
        <v>53</v>
      </c>
      <c r="S1344">
        <v>3</v>
      </c>
      <c r="T1344">
        <v>3</v>
      </c>
      <c r="U1344">
        <v>7</v>
      </c>
      <c r="V1344">
        <v>2</v>
      </c>
      <c r="W1344">
        <v>2</v>
      </c>
      <c r="X1344">
        <v>2</v>
      </c>
      <c r="Y1344">
        <v>2</v>
      </c>
      <c r="Z1344">
        <v>2</v>
      </c>
      <c r="AA1344" t="str">
        <f t="shared" si="108"/>
        <v>Early Tenure</v>
      </c>
      <c r="AB1344" s="5">
        <v>46015</v>
      </c>
      <c r="AC1344">
        <f t="shared" si="109"/>
        <v>1</v>
      </c>
      <c r="AD1344" t="s">
        <v>49</v>
      </c>
      <c r="AE1344">
        <f>VLOOKUP(A1344,'Employee Engagement Survey'!A1329:B2798,2,FALSE)</f>
        <v>4</v>
      </c>
      <c r="AF1344">
        <f>VLOOKUP(A1344,'Employee Engagement Survey'!A1329:C2798,3,FALSE)</f>
        <v>4</v>
      </c>
      <c r="AG1344">
        <f>VLOOKUP(A1344,'Employee Engagement Survey'!A1329:D2798,4,FALSE)</f>
        <v>2</v>
      </c>
      <c r="AH1344">
        <f>VLOOKUP(A1344,'Employee Engagement Survey'!A1329:E2798,5,FALSE)</f>
        <v>3</v>
      </c>
      <c r="AI1344">
        <f t="shared" si="107"/>
        <v>3.25</v>
      </c>
    </row>
    <row r="1345" spans="1:35" hidden="1" x14ac:dyDescent="0.4">
      <c r="A1345">
        <v>1873</v>
      </c>
      <c r="B1345" t="s">
        <v>34</v>
      </c>
      <c r="C1345">
        <f t="shared" si="110"/>
        <v>1</v>
      </c>
      <c r="D1345" t="s">
        <v>27</v>
      </c>
      <c r="E1345">
        <f t="shared" si="106"/>
        <v>0</v>
      </c>
      <c r="F1345" t="s">
        <v>28</v>
      </c>
      <c r="G1345">
        <v>5</v>
      </c>
      <c r="H1345" s="1">
        <v>55944</v>
      </c>
      <c r="I1345" s="10">
        <v>0.2</v>
      </c>
      <c r="J1345">
        <v>37.5</v>
      </c>
      <c r="K1345" t="s">
        <v>34</v>
      </c>
      <c r="L1345">
        <v>55</v>
      </c>
      <c r="M1345" t="s">
        <v>29</v>
      </c>
      <c r="N1345" t="s">
        <v>42</v>
      </c>
      <c r="O1345" t="s">
        <v>31</v>
      </c>
      <c r="P1345">
        <v>2</v>
      </c>
      <c r="Q1345" t="s">
        <v>51</v>
      </c>
      <c r="R1345" t="s">
        <v>45</v>
      </c>
      <c r="S1345">
        <v>4</v>
      </c>
      <c r="T1345">
        <v>1</v>
      </c>
      <c r="U1345">
        <v>19</v>
      </c>
      <c r="V1345">
        <v>2</v>
      </c>
      <c r="W1345">
        <v>5</v>
      </c>
      <c r="X1345">
        <v>2</v>
      </c>
      <c r="Y1345">
        <v>0</v>
      </c>
      <c r="Z1345">
        <v>4</v>
      </c>
      <c r="AA1345" t="str">
        <f t="shared" si="108"/>
        <v>Mid Tenure</v>
      </c>
      <c r="AB1345" s="5">
        <v>45994</v>
      </c>
      <c r="AC1345">
        <f t="shared" si="109"/>
        <v>1</v>
      </c>
      <c r="AD1345" t="s">
        <v>38</v>
      </c>
      <c r="AE1345">
        <f>VLOOKUP(A1345,'Employee Engagement Survey'!A1330:B2799,2,FALSE)</f>
        <v>2</v>
      </c>
      <c r="AF1345">
        <f>VLOOKUP(A1345,'Employee Engagement Survey'!A1330:C2799,3,FALSE)</f>
        <v>4</v>
      </c>
      <c r="AG1345">
        <f>VLOOKUP(A1345,'Employee Engagement Survey'!A1330:D2799,4,FALSE)</f>
        <v>2</v>
      </c>
      <c r="AH1345">
        <f>VLOOKUP(A1345,'Employee Engagement Survey'!A1330:E2799,5,FALSE)</f>
        <v>4</v>
      </c>
      <c r="AI1345">
        <f t="shared" si="107"/>
        <v>3</v>
      </c>
    </row>
    <row r="1346" spans="1:35" hidden="1" x14ac:dyDescent="0.4">
      <c r="A1346">
        <v>901</v>
      </c>
      <c r="B1346" t="s">
        <v>34</v>
      </c>
      <c r="C1346">
        <f t="shared" si="110"/>
        <v>1</v>
      </c>
      <c r="D1346" t="s">
        <v>60</v>
      </c>
      <c r="E1346">
        <f t="shared" ref="E1346:E1409" si="111">IF(OR(D1346="Manager, HR", D1346="Manager, Sales", D1346="Manager, R&amp;D", D1346="Manufacturing Director",D1346="Research Director", D1346="VP, HR", D1346="CEO"),1,0)</f>
        <v>1</v>
      </c>
      <c r="F1346" t="s">
        <v>28</v>
      </c>
      <c r="G1346">
        <v>4</v>
      </c>
      <c r="H1346" s="1">
        <v>183300</v>
      </c>
      <c r="I1346" s="10">
        <v>0.18</v>
      </c>
      <c r="J1346">
        <v>37.5</v>
      </c>
      <c r="K1346" t="s">
        <v>34</v>
      </c>
      <c r="L1346">
        <v>53</v>
      </c>
      <c r="M1346" t="s">
        <v>47</v>
      </c>
      <c r="N1346" t="s">
        <v>30</v>
      </c>
      <c r="O1346" t="s">
        <v>31</v>
      </c>
      <c r="P1346">
        <v>23</v>
      </c>
      <c r="Q1346" t="s">
        <v>51</v>
      </c>
      <c r="R1346" t="s">
        <v>37</v>
      </c>
      <c r="S1346">
        <v>3</v>
      </c>
      <c r="T1346">
        <v>0</v>
      </c>
      <c r="U1346">
        <v>33</v>
      </c>
      <c r="V1346">
        <v>0</v>
      </c>
      <c r="W1346">
        <v>12</v>
      </c>
      <c r="X1346">
        <v>9</v>
      </c>
      <c r="Y1346">
        <v>3</v>
      </c>
      <c r="Z1346">
        <v>8</v>
      </c>
      <c r="AA1346" t="str">
        <f t="shared" si="108"/>
        <v>Long Tenure</v>
      </c>
      <c r="AB1346" s="5">
        <v>45902</v>
      </c>
      <c r="AC1346">
        <f t="shared" si="109"/>
        <v>1</v>
      </c>
      <c r="AD1346" t="s">
        <v>49</v>
      </c>
      <c r="AE1346">
        <f>VLOOKUP(A1346,'Employee Engagement Survey'!A1332:B2801,2,FALSE)</f>
        <v>4</v>
      </c>
      <c r="AF1346">
        <f>VLOOKUP(A1346,'Employee Engagement Survey'!A1332:C2801,3,FALSE)</f>
        <v>4</v>
      </c>
      <c r="AG1346">
        <f>VLOOKUP(A1346,'Employee Engagement Survey'!A1332:D2801,4,FALSE)</f>
        <v>3</v>
      </c>
      <c r="AH1346">
        <f>VLOOKUP(A1346,'Employee Engagement Survey'!A1332:E2801,5,FALSE)</f>
        <v>3</v>
      </c>
      <c r="AI1346">
        <f t="shared" ref="AI1346:AI1409" si="112">AVERAGE(AE1346:AH1346)</f>
        <v>3.5</v>
      </c>
    </row>
    <row r="1347" spans="1:35" hidden="1" x14ac:dyDescent="0.4">
      <c r="A1347">
        <v>1881</v>
      </c>
      <c r="B1347" t="s">
        <v>34</v>
      </c>
      <c r="C1347">
        <f t="shared" si="110"/>
        <v>1</v>
      </c>
      <c r="D1347" t="s">
        <v>46</v>
      </c>
      <c r="E1347">
        <f t="shared" si="111"/>
        <v>0</v>
      </c>
      <c r="F1347" t="s">
        <v>28</v>
      </c>
      <c r="G1347">
        <v>6</v>
      </c>
      <c r="H1347" s="1">
        <v>62364</v>
      </c>
      <c r="I1347" s="10">
        <v>0.11</v>
      </c>
      <c r="J1347">
        <v>37.5</v>
      </c>
      <c r="K1347" t="s">
        <v>34</v>
      </c>
      <c r="L1347">
        <v>31</v>
      </c>
      <c r="M1347" t="s">
        <v>29</v>
      </c>
      <c r="N1347" t="s">
        <v>48</v>
      </c>
      <c r="O1347" t="s">
        <v>31</v>
      </c>
      <c r="P1347">
        <v>20</v>
      </c>
      <c r="Q1347" t="s">
        <v>43</v>
      </c>
      <c r="R1347" t="s">
        <v>37</v>
      </c>
      <c r="S1347">
        <v>3</v>
      </c>
      <c r="T1347">
        <v>1</v>
      </c>
      <c r="U1347">
        <v>10</v>
      </c>
      <c r="V1347">
        <v>2</v>
      </c>
      <c r="W1347">
        <v>10</v>
      </c>
      <c r="X1347">
        <v>8</v>
      </c>
      <c r="Y1347">
        <v>0</v>
      </c>
      <c r="Z1347">
        <v>2</v>
      </c>
      <c r="AA1347" t="str">
        <f t="shared" ref="AA1347:AA1410" si="113">IF(W1347&lt;=2,"Early Tenure",IF(W1347&lt;=9,"Mid Tenure","Long Tenure"))</f>
        <v>Long Tenure</v>
      </c>
      <c r="AB1347" s="5">
        <v>45080</v>
      </c>
      <c r="AC1347">
        <f t="shared" ref="AC1347:AC1410" si="114">IF(AND(AB1347&lt;&gt;"",AB1347&gt;DATE(2024,1,1)),1,0)</f>
        <v>0</v>
      </c>
      <c r="AD1347" t="s">
        <v>49</v>
      </c>
      <c r="AE1347">
        <f>VLOOKUP(A1347,'Employee Engagement Survey'!A1333:B2802,2,FALSE)</f>
        <v>2</v>
      </c>
      <c r="AF1347">
        <f>VLOOKUP(A1347,'Employee Engagement Survey'!A1333:C2802,3,FALSE)</f>
        <v>3</v>
      </c>
      <c r="AG1347">
        <f>VLOOKUP(A1347,'Employee Engagement Survey'!A1333:D2802,4,FALSE)</f>
        <v>1</v>
      </c>
      <c r="AH1347">
        <f>VLOOKUP(A1347,'Employee Engagement Survey'!A1333:E2802,5,FALSE)</f>
        <v>3</v>
      </c>
      <c r="AI1347">
        <f t="shared" si="112"/>
        <v>2.25</v>
      </c>
    </row>
    <row r="1348" spans="1:35" hidden="1" x14ac:dyDescent="0.4">
      <c r="A1348">
        <v>1882</v>
      </c>
      <c r="B1348" t="s">
        <v>34</v>
      </c>
      <c r="C1348">
        <f t="shared" si="110"/>
        <v>1</v>
      </c>
      <c r="D1348" t="s">
        <v>57</v>
      </c>
      <c r="E1348">
        <f t="shared" si="111"/>
        <v>0</v>
      </c>
      <c r="F1348" t="s">
        <v>40</v>
      </c>
      <c r="G1348">
        <v>9</v>
      </c>
      <c r="H1348" s="1">
        <v>128556</v>
      </c>
      <c r="I1348" s="10">
        <v>0.13</v>
      </c>
      <c r="J1348">
        <v>37.5</v>
      </c>
      <c r="K1348" t="s">
        <v>26</v>
      </c>
      <c r="L1348">
        <v>34</v>
      </c>
      <c r="M1348" t="s">
        <v>29</v>
      </c>
      <c r="N1348" t="s">
        <v>42</v>
      </c>
      <c r="O1348" t="s">
        <v>31</v>
      </c>
      <c r="P1348">
        <v>4</v>
      </c>
      <c r="Q1348" t="s">
        <v>43</v>
      </c>
      <c r="R1348" t="s">
        <v>37</v>
      </c>
      <c r="S1348">
        <v>3</v>
      </c>
      <c r="T1348">
        <v>3</v>
      </c>
      <c r="U1348">
        <v>9</v>
      </c>
      <c r="V1348">
        <v>3</v>
      </c>
      <c r="W1348">
        <v>5</v>
      </c>
      <c r="X1348">
        <v>3</v>
      </c>
      <c r="Y1348">
        <v>1</v>
      </c>
      <c r="Z1348">
        <v>0</v>
      </c>
      <c r="AA1348" t="str">
        <f t="shared" si="113"/>
        <v>Mid Tenure</v>
      </c>
      <c r="AB1348" s="5">
        <v>45642</v>
      </c>
      <c r="AC1348">
        <f t="shared" si="114"/>
        <v>1</v>
      </c>
      <c r="AD1348" t="s">
        <v>49</v>
      </c>
      <c r="AE1348">
        <f>VLOOKUP(A1348,'Employee Engagement Survey'!A1334:B2803,2,FALSE)</f>
        <v>3</v>
      </c>
      <c r="AF1348">
        <f>VLOOKUP(A1348,'Employee Engagement Survey'!A1334:C2803,3,FALSE)</f>
        <v>4</v>
      </c>
      <c r="AG1348">
        <f>VLOOKUP(A1348,'Employee Engagement Survey'!A1334:D2803,4,FALSE)</f>
        <v>4</v>
      </c>
      <c r="AH1348">
        <f>VLOOKUP(A1348,'Employee Engagement Survey'!A1334:E2803,5,FALSE)</f>
        <v>3</v>
      </c>
      <c r="AI1348">
        <f t="shared" si="112"/>
        <v>3.5</v>
      </c>
    </row>
    <row r="1349" spans="1:35" hidden="1" x14ac:dyDescent="0.4">
      <c r="A1349">
        <v>1883</v>
      </c>
      <c r="B1349" t="s">
        <v>34</v>
      </c>
      <c r="C1349">
        <f t="shared" si="110"/>
        <v>1</v>
      </c>
      <c r="D1349" t="s">
        <v>46</v>
      </c>
      <c r="E1349">
        <f t="shared" si="111"/>
        <v>0</v>
      </c>
      <c r="F1349" t="s">
        <v>28</v>
      </c>
      <c r="G1349">
        <v>3</v>
      </c>
      <c r="H1349" s="1">
        <v>48744</v>
      </c>
      <c r="I1349" s="10">
        <v>0.14000000000000001</v>
      </c>
      <c r="J1349">
        <v>37.5</v>
      </c>
      <c r="K1349" t="s">
        <v>34</v>
      </c>
      <c r="L1349">
        <v>29</v>
      </c>
      <c r="M1349" t="s">
        <v>29</v>
      </c>
      <c r="N1349" t="s">
        <v>30</v>
      </c>
      <c r="O1349" t="s">
        <v>31</v>
      </c>
      <c r="P1349">
        <v>7</v>
      </c>
      <c r="Q1349" t="s">
        <v>43</v>
      </c>
      <c r="R1349" t="s">
        <v>37</v>
      </c>
      <c r="S1349">
        <v>3</v>
      </c>
      <c r="T1349">
        <v>0</v>
      </c>
      <c r="U1349">
        <v>11</v>
      </c>
      <c r="V1349">
        <v>2</v>
      </c>
      <c r="W1349">
        <v>3</v>
      </c>
      <c r="X1349">
        <v>2</v>
      </c>
      <c r="Y1349">
        <v>1</v>
      </c>
      <c r="Z1349">
        <v>2</v>
      </c>
      <c r="AA1349" t="str">
        <f t="shared" si="113"/>
        <v>Mid Tenure</v>
      </c>
      <c r="AB1349" s="5">
        <v>45266</v>
      </c>
      <c r="AC1349">
        <f t="shared" si="114"/>
        <v>0</v>
      </c>
      <c r="AD1349" t="s">
        <v>38</v>
      </c>
      <c r="AE1349">
        <f>VLOOKUP(A1349,'Employee Engagement Survey'!A1335:B2804,2,FALSE)</f>
        <v>4</v>
      </c>
      <c r="AF1349">
        <f>VLOOKUP(A1349,'Employee Engagement Survey'!A1335:C2804,3,FALSE)</f>
        <v>1</v>
      </c>
      <c r="AG1349">
        <f>VLOOKUP(A1349,'Employee Engagement Survey'!A1335:D2804,4,FALSE)</f>
        <v>2</v>
      </c>
      <c r="AH1349">
        <f>VLOOKUP(A1349,'Employee Engagement Survey'!A1335:E2804,5,FALSE)</f>
        <v>3</v>
      </c>
      <c r="AI1349">
        <f t="shared" si="112"/>
        <v>2.5</v>
      </c>
    </row>
    <row r="1350" spans="1:35" hidden="1" x14ac:dyDescent="0.4">
      <c r="A1350">
        <v>84</v>
      </c>
      <c r="B1350" t="s">
        <v>34</v>
      </c>
      <c r="C1350">
        <f t="shared" si="110"/>
        <v>1</v>
      </c>
      <c r="D1350" t="s">
        <v>109</v>
      </c>
      <c r="E1350">
        <f t="shared" si="111"/>
        <v>1</v>
      </c>
      <c r="F1350" t="s">
        <v>28</v>
      </c>
      <c r="G1350">
        <v>4</v>
      </c>
      <c r="H1350" s="1">
        <v>189072</v>
      </c>
      <c r="I1350" s="10">
        <v>0.14000000000000001</v>
      </c>
      <c r="J1350">
        <v>37.5</v>
      </c>
      <c r="K1350" t="s">
        <v>26</v>
      </c>
      <c r="L1350">
        <v>55</v>
      </c>
      <c r="M1350" t="s">
        <v>47</v>
      </c>
      <c r="N1350" t="s">
        <v>48</v>
      </c>
      <c r="O1350" t="s">
        <v>31</v>
      </c>
      <c r="P1350">
        <v>8</v>
      </c>
      <c r="Q1350" t="s">
        <v>43</v>
      </c>
      <c r="R1350" t="s">
        <v>33</v>
      </c>
      <c r="S1350">
        <v>3</v>
      </c>
      <c r="T1350">
        <v>3</v>
      </c>
      <c r="U1350">
        <v>21</v>
      </c>
      <c r="V1350">
        <v>2</v>
      </c>
      <c r="W1350">
        <v>5</v>
      </c>
      <c r="X1350">
        <v>0</v>
      </c>
      <c r="Y1350">
        <v>0</v>
      </c>
      <c r="Z1350">
        <v>2</v>
      </c>
      <c r="AA1350" t="str">
        <f t="shared" si="113"/>
        <v>Mid Tenure</v>
      </c>
      <c r="AB1350" s="5">
        <v>45708</v>
      </c>
      <c r="AC1350">
        <f t="shared" si="114"/>
        <v>1</v>
      </c>
      <c r="AD1350" t="s">
        <v>49</v>
      </c>
      <c r="AE1350">
        <f>VLOOKUP(A1350,'Employee Engagement Survey'!A1336:B2805,2,FALSE)</f>
        <v>4</v>
      </c>
      <c r="AF1350">
        <f>VLOOKUP(A1350,'Employee Engagement Survey'!A1336:C2805,3,FALSE)</f>
        <v>3</v>
      </c>
      <c r="AG1350">
        <f>VLOOKUP(A1350,'Employee Engagement Survey'!A1336:D2805,4,FALSE)</f>
        <v>3</v>
      </c>
      <c r="AH1350">
        <f>VLOOKUP(A1350,'Employee Engagement Survey'!A1336:E2805,5,FALSE)</f>
        <v>3</v>
      </c>
      <c r="AI1350">
        <f t="shared" si="112"/>
        <v>3.25</v>
      </c>
    </row>
    <row r="1351" spans="1:35" hidden="1" x14ac:dyDescent="0.4">
      <c r="A1351">
        <v>1885</v>
      </c>
      <c r="B1351" t="s">
        <v>34</v>
      </c>
      <c r="C1351">
        <f t="shared" si="110"/>
        <v>1</v>
      </c>
      <c r="D1351" t="s">
        <v>27</v>
      </c>
      <c r="E1351">
        <f t="shared" si="111"/>
        <v>0</v>
      </c>
      <c r="F1351" t="s">
        <v>28</v>
      </c>
      <c r="G1351">
        <v>6</v>
      </c>
      <c r="H1351" s="1">
        <v>63408</v>
      </c>
      <c r="I1351" s="10">
        <v>0.22</v>
      </c>
      <c r="J1351">
        <v>37.5</v>
      </c>
      <c r="K1351" t="s">
        <v>26</v>
      </c>
      <c r="L1351">
        <v>37</v>
      </c>
      <c r="M1351" t="s">
        <v>29</v>
      </c>
      <c r="N1351" t="s">
        <v>42</v>
      </c>
      <c r="O1351" t="s">
        <v>31</v>
      </c>
      <c r="P1351">
        <v>7</v>
      </c>
      <c r="Q1351" t="s">
        <v>51</v>
      </c>
      <c r="R1351" t="s">
        <v>33</v>
      </c>
      <c r="S1351">
        <v>4</v>
      </c>
      <c r="T1351">
        <v>1</v>
      </c>
      <c r="U1351">
        <v>16</v>
      </c>
      <c r="V1351">
        <v>2</v>
      </c>
      <c r="W1351">
        <v>5</v>
      </c>
      <c r="X1351">
        <v>3</v>
      </c>
      <c r="Y1351">
        <v>0</v>
      </c>
      <c r="Z1351">
        <v>4</v>
      </c>
      <c r="AA1351" t="str">
        <f t="shared" si="113"/>
        <v>Mid Tenure</v>
      </c>
      <c r="AB1351" s="5">
        <v>45646</v>
      </c>
      <c r="AC1351">
        <f t="shared" si="114"/>
        <v>1</v>
      </c>
      <c r="AD1351" t="s">
        <v>49</v>
      </c>
      <c r="AE1351">
        <f>VLOOKUP(A1351,'Employee Engagement Survey'!A1337:B2806,2,FALSE)</f>
        <v>4</v>
      </c>
      <c r="AF1351">
        <f>VLOOKUP(A1351,'Employee Engagement Survey'!A1337:C2806,3,FALSE)</f>
        <v>1</v>
      </c>
      <c r="AG1351">
        <f>VLOOKUP(A1351,'Employee Engagement Survey'!A1337:D2806,4,FALSE)</f>
        <v>3</v>
      </c>
      <c r="AH1351">
        <f>VLOOKUP(A1351,'Employee Engagement Survey'!A1337:E2806,5,FALSE)</f>
        <v>3</v>
      </c>
      <c r="AI1351">
        <f t="shared" si="112"/>
        <v>2.75</v>
      </c>
    </row>
    <row r="1352" spans="1:35" hidden="1" x14ac:dyDescent="0.4">
      <c r="A1352">
        <v>1890</v>
      </c>
      <c r="B1352" t="s">
        <v>34</v>
      </c>
      <c r="C1352">
        <f t="shared" si="110"/>
        <v>1</v>
      </c>
      <c r="D1352" t="s">
        <v>105</v>
      </c>
      <c r="E1352">
        <f t="shared" si="111"/>
        <v>0</v>
      </c>
      <c r="F1352" t="s">
        <v>59</v>
      </c>
      <c r="G1352">
        <v>7</v>
      </c>
      <c r="H1352" s="1">
        <v>70632</v>
      </c>
      <c r="I1352" s="10">
        <v>0.21</v>
      </c>
      <c r="J1352">
        <v>37.5</v>
      </c>
      <c r="K1352" t="s">
        <v>34</v>
      </c>
      <c r="L1352">
        <v>36</v>
      </c>
      <c r="M1352" t="s">
        <v>29</v>
      </c>
      <c r="N1352" t="s">
        <v>30</v>
      </c>
      <c r="O1352" t="s">
        <v>44</v>
      </c>
      <c r="P1352">
        <v>2</v>
      </c>
      <c r="Q1352" t="s">
        <v>32</v>
      </c>
      <c r="R1352" t="s">
        <v>59</v>
      </c>
      <c r="S1352">
        <v>4</v>
      </c>
      <c r="T1352">
        <v>0</v>
      </c>
      <c r="U1352">
        <v>10</v>
      </c>
      <c r="V1352">
        <v>2</v>
      </c>
      <c r="W1352">
        <v>10</v>
      </c>
      <c r="X1352">
        <v>1</v>
      </c>
      <c r="Y1352">
        <v>0</v>
      </c>
      <c r="Z1352">
        <v>8</v>
      </c>
      <c r="AA1352" t="str">
        <f t="shared" si="113"/>
        <v>Long Tenure</v>
      </c>
      <c r="AB1352" s="5">
        <v>45694</v>
      </c>
      <c r="AC1352">
        <f t="shared" si="114"/>
        <v>1</v>
      </c>
      <c r="AD1352" t="s">
        <v>38</v>
      </c>
      <c r="AE1352">
        <f>VLOOKUP(A1352,'Employee Engagement Survey'!A1338:B2807,2,FALSE)</f>
        <v>2</v>
      </c>
      <c r="AF1352">
        <f>VLOOKUP(A1352,'Employee Engagement Survey'!A1338:C2807,3,FALSE)</f>
        <v>4</v>
      </c>
      <c r="AG1352">
        <f>VLOOKUP(A1352,'Employee Engagement Survey'!A1338:D2807,4,FALSE)</f>
        <v>4</v>
      </c>
      <c r="AH1352">
        <f>VLOOKUP(A1352,'Employee Engagement Survey'!A1338:E2807,5,FALSE)</f>
        <v>2</v>
      </c>
      <c r="AI1352">
        <f t="shared" si="112"/>
        <v>3</v>
      </c>
    </row>
    <row r="1353" spans="1:35" hidden="1" x14ac:dyDescent="0.4">
      <c r="A1353">
        <v>1892</v>
      </c>
      <c r="B1353" t="s">
        <v>34</v>
      </c>
      <c r="C1353">
        <f t="shared" si="110"/>
        <v>1</v>
      </c>
      <c r="D1353" t="s">
        <v>109</v>
      </c>
      <c r="E1353">
        <f t="shared" si="111"/>
        <v>1</v>
      </c>
      <c r="F1353" t="s">
        <v>28</v>
      </c>
      <c r="G1353">
        <v>4</v>
      </c>
      <c r="H1353" s="1">
        <v>213876</v>
      </c>
      <c r="I1353" s="10">
        <v>0.11</v>
      </c>
      <c r="J1353">
        <v>37.5</v>
      </c>
      <c r="K1353" t="s">
        <v>34</v>
      </c>
      <c r="L1353">
        <v>40</v>
      </c>
      <c r="M1353" t="s">
        <v>29</v>
      </c>
      <c r="N1353" t="s">
        <v>48</v>
      </c>
      <c r="O1353" t="s">
        <v>31</v>
      </c>
      <c r="P1353">
        <v>1</v>
      </c>
      <c r="Q1353" t="s">
        <v>51</v>
      </c>
      <c r="R1353" t="s">
        <v>37</v>
      </c>
      <c r="S1353">
        <v>3</v>
      </c>
      <c r="T1353">
        <v>1</v>
      </c>
      <c r="U1353">
        <v>22</v>
      </c>
      <c r="V1353">
        <v>3</v>
      </c>
      <c r="W1353">
        <v>19</v>
      </c>
      <c r="X1353">
        <v>7</v>
      </c>
      <c r="Y1353">
        <v>11</v>
      </c>
      <c r="Z1353">
        <v>16</v>
      </c>
      <c r="AA1353" t="str">
        <f t="shared" si="113"/>
        <v>Long Tenure</v>
      </c>
      <c r="AB1353" s="5">
        <v>44696</v>
      </c>
      <c r="AC1353">
        <f t="shared" si="114"/>
        <v>0</v>
      </c>
      <c r="AD1353" t="s">
        <v>38</v>
      </c>
      <c r="AE1353">
        <f>VLOOKUP(A1353,'Employee Engagement Survey'!A1339:B2808,2,FALSE)</f>
        <v>1</v>
      </c>
      <c r="AF1353">
        <f>VLOOKUP(A1353,'Employee Engagement Survey'!A1339:C2808,3,FALSE)</f>
        <v>1</v>
      </c>
      <c r="AG1353">
        <f>VLOOKUP(A1353,'Employee Engagement Survey'!A1339:D2808,4,FALSE)</f>
        <v>1</v>
      </c>
      <c r="AH1353">
        <f>VLOOKUP(A1353,'Employee Engagement Survey'!A1339:E2808,5,FALSE)</f>
        <v>3</v>
      </c>
      <c r="AI1353">
        <f t="shared" si="112"/>
        <v>1.5</v>
      </c>
    </row>
    <row r="1354" spans="1:35" hidden="1" x14ac:dyDescent="0.4">
      <c r="A1354">
        <v>1903</v>
      </c>
      <c r="B1354" t="s">
        <v>34</v>
      </c>
      <c r="C1354">
        <f t="shared" si="110"/>
        <v>1</v>
      </c>
      <c r="D1354" t="s">
        <v>55</v>
      </c>
      <c r="E1354">
        <f t="shared" si="111"/>
        <v>0</v>
      </c>
      <c r="F1354" t="s">
        <v>28</v>
      </c>
      <c r="G1354">
        <v>7</v>
      </c>
      <c r="H1354" s="1">
        <v>72396</v>
      </c>
      <c r="I1354" s="10">
        <v>0.15</v>
      </c>
      <c r="J1354">
        <v>37.5</v>
      </c>
      <c r="K1354" t="s">
        <v>34</v>
      </c>
      <c r="L1354">
        <v>44</v>
      </c>
      <c r="M1354" t="s">
        <v>29</v>
      </c>
      <c r="N1354" t="s">
        <v>42</v>
      </c>
      <c r="O1354" t="s">
        <v>31</v>
      </c>
      <c r="P1354">
        <v>1</v>
      </c>
      <c r="Q1354" t="s">
        <v>51</v>
      </c>
      <c r="R1354" t="s">
        <v>37</v>
      </c>
      <c r="S1354">
        <v>3</v>
      </c>
      <c r="T1354">
        <v>1</v>
      </c>
      <c r="U1354">
        <v>10</v>
      </c>
      <c r="V1354">
        <v>5</v>
      </c>
      <c r="W1354">
        <v>2</v>
      </c>
      <c r="X1354">
        <v>0</v>
      </c>
      <c r="Y1354">
        <v>2</v>
      </c>
      <c r="Z1354">
        <v>2</v>
      </c>
      <c r="AA1354" t="str">
        <f t="shared" si="113"/>
        <v>Early Tenure</v>
      </c>
      <c r="AB1354" s="5">
        <v>45336</v>
      </c>
      <c r="AC1354">
        <f t="shared" si="114"/>
        <v>1</v>
      </c>
      <c r="AD1354" t="s">
        <v>38</v>
      </c>
      <c r="AE1354">
        <f>VLOOKUP(A1354,'Employee Engagement Survey'!A1340:B2809,2,FALSE)</f>
        <v>2</v>
      </c>
      <c r="AF1354">
        <f>VLOOKUP(A1354,'Employee Engagement Survey'!A1340:C2809,3,FALSE)</f>
        <v>1</v>
      </c>
      <c r="AG1354">
        <f>VLOOKUP(A1354,'Employee Engagement Survey'!A1340:D2809,4,FALSE)</f>
        <v>4</v>
      </c>
      <c r="AH1354">
        <f>VLOOKUP(A1354,'Employee Engagement Survey'!A1340:E2809,5,FALSE)</f>
        <v>3</v>
      </c>
      <c r="AI1354">
        <f t="shared" si="112"/>
        <v>2.5</v>
      </c>
    </row>
    <row r="1355" spans="1:35" hidden="1" x14ac:dyDescent="0.4">
      <c r="A1355">
        <v>664</v>
      </c>
      <c r="B1355" t="s">
        <v>34</v>
      </c>
      <c r="C1355">
        <f t="shared" si="110"/>
        <v>1</v>
      </c>
      <c r="D1355" t="s">
        <v>109</v>
      </c>
      <c r="E1355">
        <f t="shared" si="111"/>
        <v>1</v>
      </c>
      <c r="F1355" t="s">
        <v>28</v>
      </c>
      <c r="G1355">
        <v>4</v>
      </c>
      <c r="H1355" s="1">
        <v>196824</v>
      </c>
      <c r="I1355" s="10">
        <v>0.11</v>
      </c>
      <c r="J1355">
        <v>37.5</v>
      </c>
      <c r="K1355" t="s">
        <v>34</v>
      </c>
      <c r="L1355">
        <v>48</v>
      </c>
      <c r="M1355" t="s">
        <v>47</v>
      </c>
      <c r="N1355" t="s">
        <v>42</v>
      </c>
      <c r="O1355" t="s">
        <v>31</v>
      </c>
      <c r="P1355">
        <v>1</v>
      </c>
      <c r="Q1355" t="s">
        <v>51</v>
      </c>
      <c r="R1355" t="s">
        <v>37</v>
      </c>
      <c r="S1355">
        <v>3</v>
      </c>
      <c r="T1355">
        <v>1</v>
      </c>
      <c r="U1355">
        <v>21</v>
      </c>
      <c r="V1355">
        <v>3</v>
      </c>
      <c r="W1355">
        <v>3</v>
      </c>
      <c r="X1355">
        <v>2</v>
      </c>
      <c r="Y1355">
        <v>0</v>
      </c>
      <c r="Z1355">
        <v>2</v>
      </c>
      <c r="AA1355" t="str">
        <f t="shared" si="113"/>
        <v>Mid Tenure</v>
      </c>
      <c r="AB1355" s="5">
        <v>45353</v>
      </c>
      <c r="AC1355">
        <f t="shared" si="114"/>
        <v>1</v>
      </c>
      <c r="AD1355" t="s">
        <v>49</v>
      </c>
      <c r="AE1355">
        <f>VLOOKUP(A1355,'Employee Engagement Survey'!A1341:B2810,2,FALSE)</f>
        <v>4</v>
      </c>
      <c r="AF1355">
        <f>VLOOKUP(A1355,'Employee Engagement Survey'!A1341:C2810,3,FALSE)</f>
        <v>1</v>
      </c>
      <c r="AG1355">
        <f>VLOOKUP(A1355,'Employee Engagement Survey'!A1341:D2810,4,FALSE)</f>
        <v>1</v>
      </c>
      <c r="AH1355">
        <f>VLOOKUP(A1355,'Employee Engagement Survey'!A1341:E2810,5,FALSE)</f>
        <v>1</v>
      </c>
      <c r="AI1355">
        <f t="shared" si="112"/>
        <v>1.75</v>
      </c>
    </row>
    <row r="1356" spans="1:35" hidden="1" x14ac:dyDescent="0.4">
      <c r="A1356">
        <v>23</v>
      </c>
      <c r="B1356" t="s">
        <v>34</v>
      </c>
      <c r="C1356">
        <f t="shared" si="110"/>
        <v>1</v>
      </c>
      <c r="D1356" t="s">
        <v>110</v>
      </c>
      <c r="E1356">
        <f t="shared" si="111"/>
        <v>1</v>
      </c>
      <c r="F1356" t="s">
        <v>40</v>
      </c>
      <c r="G1356">
        <v>4</v>
      </c>
      <c r="H1356" s="1">
        <v>197124</v>
      </c>
      <c r="I1356" s="10">
        <v>0.16</v>
      </c>
      <c r="J1356">
        <v>37.5</v>
      </c>
      <c r="K1356" t="s">
        <v>34</v>
      </c>
      <c r="L1356">
        <v>53</v>
      </c>
      <c r="M1356" t="s">
        <v>47</v>
      </c>
      <c r="N1356" t="s">
        <v>42</v>
      </c>
      <c r="O1356" t="s">
        <v>31</v>
      </c>
      <c r="P1356">
        <v>2</v>
      </c>
      <c r="Q1356" t="s">
        <v>51</v>
      </c>
      <c r="R1356" t="s">
        <v>37</v>
      </c>
      <c r="S1356">
        <v>3</v>
      </c>
      <c r="T1356">
        <v>0</v>
      </c>
      <c r="U1356">
        <v>31</v>
      </c>
      <c r="V1356">
        <v>3</v>
      </c>
      <c r="W1356">
        <v>25</v>
      </c>
      <c r="X1356">
        <v>8</v>
      </c>
      <c r="Y1356">
        <v>3</v>
      </c>
      <c r="Z1356">
        <v>7</v>
      </c>
      <c r="AA1356" t="str">
        <f t="shared" si="113"/>
        <v>Long Tenure</v>
      </c>
      <c r="AB1356" s="5">
        <v>45501</v>
      </c>
      <c r="AC1356">
        <f t="shared" si="114"/>
        <v>1</v>
      </c>
      <c r="AD1356" t="s">
        <v>49</v>
      </c>
      <c r="AE1356">
        <f>VLOOKUP(A1356,'Employee Engagement Survey'!A1342:B2811,2,FALSE)</f>
        <v>1</v>
      </c>
      <c r="AF1356">
        <f>VLOOKUP(A1356,'Employee Engagement Survey'!A1342:C2811,3,FALSE)</f>
        <v>4</v>
      </c>
      <c r="AG1356">
        <f>VLOOKUP(A1356,'Employee Engagement Survey'!A1342:D2811,4,FALSE)</f>
        <v>3</v>
      </c>
      <c r="AH1356">
        <f>VLOOKUP(A1356,'Employee Engagement Survey'!A1342:E2811,5,FALSE)</f>
        <v>3</v>
      </c>
      <c r="AI1356">
        <f t="shared" si="112"/>
        <v>2.75</v>
      </c>
    </row>
    <row r="1357" spans="1:35" hidden="1" x14ac:dyDescent="0.4">
      <c r="A1357">
        <v>1676</v>
      </c>
      <c r="B1357" t="s">
        <v>34</v>
      </c>
      <c r="C1357">
        <f t="shared" si="110"/>
        <v>1</v>
      </c>
      <c r="D1357" t="s">
        <v>110</v>
      </c>
      <c r="E1357">
        <f t="shared" si="111"/>
        <v>1</v>
      </c>
      <c r="F1357" t="s">
        <v>40</v>
      </c>
      <c r="G1357">
        <v>4</v>
      </c>
      <c r="H1357" s="1">
        <v>203664</v>
      </c>
      <c r="I1357" s="10">
        <v>0.14000000000000001</v>
      </c>
      <c r="J1357">
        <v>37.5</v>
      </c>
      <c r="K1357" t="s">
        <v>34</v>
      </c>
      <c r="L1357">
        <v>47</v>
      </c>
      <c r="M1357" t="s">
        <v>47</v>
      </c>
      <c r="N1357" t="s">
        <v>48</v>
      </c>
      <c r="O1357" t="s">
        <v>31</v>
      </c>
      <c r="P1357">
        <v>2</v>
      </c>
      <c r="Q1357" t="s">
        <v>51</v>
      </c>
      <c r="R1357" t="s">
        <v>37</v>
      </c>
      <c r="S1357">
        <v>3</v>
      </c>
      <c r="T1357">
        <v>3</v>
      </c>
      <c r="U1357">
        <v>29</v>
      </c>
      <c r="V1357">
        <v>2</v>
      </c>
      <c r="W1357">
        <v>3</v>
      </c>
      <c r="X1357">
        <v>2</v>
      </c>
      <c r="Y1357">
        <v>1</v>
      </c>
      <c r="Z1357">
        <v>2</v>
      </c>
      <c r="AA1357" t="str">
        <f t="shared" si="113"/>
        <v>Mid Tenure</v>
      </c>
      <c r="AB1357" s="5">
        <v>44685</v>
      </c>
      <c r="AC1357">
        <f t="shared" si="114"/>
        <v>0</v>
      </c>
      <c r="AD1357" t="s">
        <v>49</v>
      </c>
      <c r="AE1357">
        <f>VLOOKUP(A1357,'Employee Engagement Survey'!A1344:B2813,2,FALSE)</f>
        <v>2</v>
      </c>
      <c r="AF1357">
        <f>VLOOKUP(A1357,'Employee Engagement Survey'!A1344:C2813,3,FALSE)</f>
        <v>2</v>
      </c>
      <c r="AG1357">
        <f>VLOOKUP(A1357,'Employee Engagement Survey'!A1344:D2813,4,FALSE)</f>
        <v>3</v>
      </c>
      <c r="AH1357">
        <f>VLOOKUP(A1357,'Employee Engagement Survey'!A1344:E2813,5,FALSE)</f>
        <v>3</v>
      </c>
      <c r="AI1357">
        <f t="shared" si="112"/>
        <v>2.5</v>
      </c>
    </row>
    <row r="1358" spans="1:35" x14ac:dyDescent="0.4">
      <c r="A1358">
        <v>468</v>
      </c>
      <c r="B1358" t="s">
        <v>34</v>
      </c>
      <c r="C1358">
        <f t="shared" si="110"/>
        <v>1</v>
      </c>
      <c r="D1358" t="s">
        <v>60</v>
      </c>
      <c r="E1358">
        <f t="shared" si="111"/>
        <v>1</v>
      </c>
      <c r="F1358" t="s">
        <v>28</v>
      </c>
      <c r="G1358">
        <v>4</v>
      </c>
      <c r="H1358" s="1">
        <v>203904</v>
      </c>
      <c r="I1358" s="10">
        <v>0.14000000000000001</v>
      </c>
      <c r="J1358">
        <v>37.5</v>
      </c>
      <c r="K1358" t="s">
        <v>34</v>
      </c>
      <c r="L1358">
        <v>42</v>
      </c>
      <c r="M1358" t="s">
        <v>47</v>
      </c>
      <c r="N1358" t="s">
        <v>30</v>
      </c>
      <c r="O1358" t="s">
        <v>31</v>
      </c>
      <c r="P1358">
        <v>23</v>
      </c>
      <c r="Q1358" t="s">
        <v>58</v>
      </c>
      <c r="R1358" t="s">
        <v>37</v>
      </c>
      <c r="S1358">
        <v>3</v>
      </c>
      <c r="T1358">
        <v>0</v>
      </c>
      <c r="U1358">
        <v>16</v>
      </c>
      <c r="V1358">
        <v>2</v>
      </c>
      <c r="W1358">
        <v>1</v>
      </c>
      <c r="X1358">
        <v>0</v>
      </c>
      <c r="Y1358">
        <v>0</v>
      </c>
      <c r="Z1358">
        <v>0</v>
      </c>
      <c r="AA1358" t="str">
        <f t="shared" si="113"/>
        <v>Early Tenure</v>
      </c>
      <c r="AB1358" s="5">
        <v>44608</v>
      </c>
      <c r="AC1358">
        <f t="shared" si="114"/>
        <v>0</v>
      </c>
      <c r="AD1358" t="s">
        <v>38</v>
      </c>
      <c r="AE1358">
        <f>VLOOKUP(A1358,'Employee Engagement Survey'!A1345:B2814,2,FALSE)</f>
        <v>1</v>
      </c>
      <c r="AF1358">
        <f>VLOOKUP(A1358,'Employee Engagement Survey'!A1345:C2814,3,FALSE)</f>
        <v>4</v>
      </c>
      <c r="AG1358">
        <f>VLOOKUP(A1358,'Employee Engagement Survey'!A1345:D2814,4,FALSE)</f>
        <v>2</v>
      </c>
      <c r="AH1358">
        <f>VLOOKUP(A1358,'Employee Engagement Survey'!A1345:E2814,5,FALSE)</f>
        <v>3</v>
      </c>
      <c r="AI1358">
        <f t="shared" si="112"/>
        <v>2.5</v>
      </c>
    </row>
    <row r="1359" spans="1:35" hidden="1" x14ac:dyDescent="0.4">
      <c r="A1359">
        <v>1520</v>
      </c>
      <c r="B1359" t="s">
        <v>34</v>
      </c>
      <c r="C1359">
        <f t="shared" si="110"/>
        <v>1</v>
      </c>
      <c r="D1359" t="s">
        <v>109</v>
      </c>
      <c r="E1359">
        <f t="shared" si="111"/>
        <v>1</v>
      </c>
      <c r="F1359" t="s">
        <v>28</v>
      </c>
      <c r="G1359">
        <v>4</v>
      </c>
      <c r="H1359" s="1">
        <v>204384</v>
      </c>
      <c r="I1359" s="10">
        <v>0.2</v>
      </c>
      <c r="J1359">
        <v>37.5</v>
      </c>
      <c r="K1359" t="s">
        <v>34</v>
      </c>
      <c r="L1359">
        <v>54</v>
      </c>
      <c r="M1359" t="s">
        <v>47</v>
      </c>
      <c r="N1359" t="s">
        <v>48</v>
      </c>
      <c r="O1359" t="s">
        <v>44</v>
      </c>
      <c r="P1359">
        <v>11</v>
      </c>
      <c r="Q1359" t="s">
        <v>51</v>
      </c>
      <c r="R1359" t="s">
        <v>33</v>
      </c>
      <c r="S1359">
        <v>4</v>
      </c>
      <c r="T1359">
        <v>1</v>
      </c>
      <c r="U1359">
        <v>26</v>
      </c>
      <c r="V1359">
        <v>2</v>
      </c>
      <c r="W1359">
        <v>14</v>
      </c>
      <c r="X1359">
        <v>9</v>
      </c>
      <c r="Y1359">
        <v>1</v>
      </c>
      <c r="Z1359">
        <v>12</v>
      </c>
      <c r="AA1359" t="str">
        <f t="shared" si="113"/>
        <v>Long Tenure</v>
      </c>
      <c r="AB1359" s="5">
        <v>44688</v>
      </c>
      <c r="AC1359">
        <f t="shared" si="114"/>
        <v>0</v>
      </c>
      <c r="AD1359" t="s">
        <v>49</v>
      </c>
      <c r="AE1359">
        <f>VLOOKUP(A1359,'Employee Engagement Survey'!A1347:B2816,2,FALSE)</f>
        <v>2</v>
      </c>
      <c r="AF1359">
        <f>VLOOKUP(A1359,'Employee Engagement Survey'!A1347:C2816,3,FALSE)</f>
        <v>4</v>
      </c>
      <c r="AG1359">
        <f>VLOOKUP(A1359,'Employee Engagement Survey'!A1347:D2816,4,FALSE)</f>
        <v>1</v>
      </c>
      <c r="AH1359">
        <f>VLOOKUP(A1359,'Employee Engagement Survey'!A1347:E2816,5,FALSE)</f>
        <v>3</v>
      </c>
      <c r="AI1359">
        <f t="shared" si="112"/>
        <v>2.5</v>
      </c>
    </row>
    <row r="1360" spans="1:35" hidden="1" x14ac:dyDescent="0.4">
      <c r="A1360">
        <v>327</v>
      </c>
      <c r="B1360" t="s">
        <v>34</v>
      </c>
      <c r="C1360">
        <f t="shared" si="110"/>
        <v>1</v>
      </c>
      <c r="D1360" t="s">
        <v>110</v>
      </c>
      <c r="E1360">
        <f t="shared" si="111"/>
        <v>1</v>
      </c>
      <c r="F1360" t="s">
        <v>40</v>
      </c>
      <c r="G1360">
        <v>4</v>
      </c>
      <c r="H1360" s="1">
        <v>204768</v>
      </c>
      <c r="I1360" s="10">
        <v>0.22</v>
      </c>
      <c r="J1360">
        <v>37.5</v>
      </c>
      <c r="K1360" t="s">
        <v>26</v>
      </c>
      <c r="L1360">
        <v>43</v>
      </c>
      <c r="M1360" t="s">
        <v>47</v>
      </c>
      <c r="N1360" t="s">
        <v>42</v>
      </c>
      <c r="O1360" t="s">
        <v>31</v>
      </c>
      <c r="P1360">
        <v>16</v>
      </c>
      <c r="Q1360" t="s">
        <v>43</v>
      </c>
      <c r="R1360" t="s">
        <v>56</v>
      </c>
      <c r="S1360">
        <v>4</v>
      </c>
      <c r="T1360">
        <v>1</v>
      </c>
      <c r="U1360">
        <v>22</v>
      </c>
      <c r="V1360">
        <v>3</v>
      </c>
      <c r="W1360">
        <v>17</v>
      </c>
      <c r="X1360">
        <v>13</v>
      </c>
      <c r="Y1360">
        <v>1</v>
      </c>
      <c r="Z1360">
        <v>9</v>
      </c>
      <c r="AA1360" t="str">
        <f t="shared" si="113"/>
        <v>Long Tenure</v>
      </c>
      <c r="AB1360" s="5">
        <v>45015</v>
      </c>
      <c r="AC1360">
        <f t="shared" si="114"/>
        <v>0</v>
      </c>
      <c r="AD1360" t="s">
        <v>49</v>
      </c>
      <c r="AE1360">
        <f>VLOOKUP(A1360,'Employee Engagement Survey'!A1348:B2817,2,FALSE)</f>
        <v>4</v>
      </c>
      <c r="AF1360">
        <f>VLOOKUP(A1360,'Employee Engagement Survey'!A1348:C2817,3,FALSE)</f>
        <v>4</v>
      </c>
      <c r="AG1360">
        <f>VLOOKUP(A1360,'Employee Engagement Survey'!A1348:D2817,4,FALSE)</f>
        <v>3</v>
      </c>
      <c r="AH1360">
        <f>VLOOKUP(A1360,'Employee Engagement Survey'!A1348:E2817,5,FALSE)</f>
        <v>3</v>
      </c>
      <c r="AI1360">
        <f t="shared" si="112"/>
        <v>3.5</v>
      </c>
    </row>
    <row r="1361" spans="1:35" hidden="1" x14ac:dyDescent="0.4">
      <c r="A1361">
        <v>1264</v>
      </c>
      <c r="B1361" t="s">
        <v>34</v>
      </c>
      <c r="C1361">
        <f t="shared" si="110"/>
        <v>1</v>
      </c>
      <c r="D1361" t="s">
        <v>60</v>
      </c>
      <c r="E1361">
        <f t="shared" si="111"/>
        <v>1</v>
      </c>
      <c r="F1361" t="s">
        <v>28</v>
      </c>
      <c r="G1361">
        <v>4</v>
      </c>
      <c r="H1361" s="1">
        <v>205488</v>
      </c>
      <c r="I1361" s="10">
        <v>0.14000000000000001</v>
      </c>
      <c r="J1361">
        <v>37.5</v>
      </c>
      <c r="K1361" t="s">
        <v>34</v>
      </c>
      <c r="L1361">
        <v>29</v>
      </c>
      <c r="M1361" t="s">
        <v>47</v>
      </c>
      <c r="N1361" t="s">
        <v>48</v>
      </c>
      <c r="O1361" t="s">
        <v>31</v>
      </c>
      <c r="P1361">
        <v>1</v>
      </c>
      <c r="Q1361" t="s">
        <v>43</v>
      </c>
      <c r="R1361" t="s">
        <v>37</v>
      </c>
      <c r="S1361">
        <v>3</v>
      </c>
      <c r="T1361">
        <v>2</v>
      </c>
      <c r="U1361">
        <v>9</v>
      </c>
      <c r="V1361">
        <v>2</v>
      </c>
      <c r="W1361">
        <v>7</v>
      </c>
      <c r="X1361">
        <v>7</v>
      </c>
      <c r="Y1361">
        <v>1</v>
      </c>
      <c r="Z1361">
        <v>7</v>
      </c>
      <c r="AA1361" t="str">
        <f t="shared" si="113"/>
        <v>Mid Tenure</v>
      </c>
      <c r="AB1361" s="5">
        <v>45694</v>
      </c>
      <c r="AC1361">
        <f t="shared" si="114"/>
        <v>1</v>
      </c>
      <c r="AD1361" t="s">
        <v>49</v>
      </c>
      <c r="AE1361">
        <f>VLOOKUP(A1361,'Employee Engagement Survey'!A1349:B2818,2,FALSE)</f>
        <v>4</v>
      </c>
      <c r="AF1361">
        <f>VLOOKUP(A1361,'Employee Engagement Survey'!A1349:C2818,3,FALSE)</f>
        <v>4</v>
      </c>
      <c r="AG1361">
        <f>VLOOKUP(A1361,'Employee Engagement Survey'!A1349:D2818,4,FALSE)</f>
        <v>2</v>
      </c>
      <c r="AH1361">
        <f>VLOOKUP(A1361,'Employee Engagement Survey'!A1349:E2818,5,FALSE)</f>
        <v>2</v>
      </c>
      <c r="AI1361">
        <f t="shared" si="112"/>
        <v>3</v>
      </c>
    </row>
    <row r="1362" spans="1:35" hidden="1" x14ac:dyDescent="0.4">
      <c r="A1362">
        <v>612</v>
      </c>
      <c r="B1362" t="s">
        <v>34</v>
      </c>
      <c r="C1362">
        <f t="shared" si="110"/>
        <v>1</v>
      </c>
      <c r="D1362" t="s">
        <v>60</v>
      </c>
      <c r="E1362">
        <f t="shared" si="111"/>
        <v>1</v>
      </c>
      <c r="F1362" t="s">
        <v>28</v>
      </c>
      <c r="G1362">
        <v>4</v>
      </c>
      <c r="H1362" s="1">
        <v>206208</v>
      </c>
      <c r="I1362" s="10">
        <v>0.19</v>
      </c>
      <c r="J1362">
        <v>37.5</v>
      </c>
      <c r="K1362" t="s">
        <v>34</v>
      </c>
      <c r="L1362">
        <v>33</v>
      </c>
      <c r="M1362" t="s">
        <v>47</v>
      </c>
      <c r="N1362" t="s">
        <v>48</v>
      </c>
      <c r="O1362" t="s">
        <v>31</v>
      </c>
      <c r="P1362">
        <v>1</v>
      </c>
      <c r="Q1362" t="s">
        <v>58</v>
      </c>
      <c r="R1362" t="s">
        <v>33</v>
      </c>
      <c r="S1362">
        <v>3</v>
      </c>
      <c r="T1362">
        <v>1</v>
      </c>
      <c r="U1362">
        <v>10</v>
      </c>
      <c r="V1362">
        <v>2</v>
      </c>
      <c r="W1362">
        <v>6</v>
      </c>
      <c r="X1362">
        <v>1</v>
      </c>
      <c r="Y1362">
        <v>0</v>
      </c>
      <c r="Z1362">
        <v>5</v>
      </c>
      <c r="AA1362" t="str">
        <f t="shared" si="113"/>
        <v>Mid Tenure</v>
      </c>
      <c r="AB1362" s="5">
        <v>45694</v>
      </c>
      <c r="AC1362">
        <f t="shared" si="114"/>
        <v>1</v>
      </c>
      <c r="AD1362" t="s">
        <v>38</v>
      </c>
      <c r="AE1362">
        <f>VLOOKUP(A1362,'Employee Engagement Survey'!A1350:B2819,2,FALSE)</f>
        <v>1</v>
      </c>
      <c r="AF1362">
        <f>VLOOKUP(A1362,'Employee Engagement Survey'!A1350:C2819,3,FALSE)</f>
        <v>3</v>
      </c>
      <c r="AG1362">
        <f>VLOOKUP(A1362,'Employee Engagement Survey'!A1350:D2819,4,FALSE)</f>
        <v>3</v>
      </c>
      <c r="AH1362">
        <f>VLOOKUP(A1362,'Employee Engagement Survey'!A1350:E2819,5,FALSE)</f>
        <v>3</v>
      </c>
      <c r="AI1362">
        <f t="shared" si="112"/>
        <v>2.5</v>
      </c>
    </row>
    <row r="1363" spans="1:35" hidden="1" x14ac:dyDescent="0.4">
      <c r="A1363">
        <v>1908</v>
      </c>
      <c r="B1363" t="s">
        <v>34</v>
      </c>
      <c r="C1363">
        <f t="shared" si="110"/>
        <v>1</v>
      </c>
      <c r="D1363" t="s">
        <v>57</v>
      </c>
      <c r="E1363">
        <f t="shared" si="111"/>
        <v>0</v>
      </c>
      <c r="F1363" t="s">
        <v>40</v>
      </c>
      <c r="G1363">
        <v>7</v>
      </c>
      <c r="H1363" s="1">
        <v>78084</v>
      </c>
      <c r="I1363" s="10">
        <v>0.16</v>
      </c>
      <c r="J1363">
        <v>37.5</v>
      </c>
      <c r="K1363" t="s">
        <v>34</v>
      </c>
      <c r="L1363">
        <v>36</v>
      </c>
      <c r="M1363" t="s">
        <v>29</v>
      </c>
      <c r="N1363" t="s">
        <v>42</v>
      </c>
      <c r="O1363" t="s">
        <v>31</v>
      </c>
      <c r="P1363">
        <v>17</v>
      </c>
      <c r="Q1363" t="s">
        <v>36</v>
      </c>
      <c r="R1363" t="s">
        <v>56</v>
      </c>
      <c r="S1363">
        <v>3</v>
      </c>
      <c r="T1363">
        <v>2</v>
      </c>
      <c r="U1363">
        <v>12</v>
      </c>
      <c r="V1363">
        <v>1</v>
      </c>
      <c r="W1363">
        <v>4</v>
      </c>
      <c r="X1363">
        <v>2</v>
      </c>
      <c r="Y1363">
        <v>1</v>
      </c>
      <c r="Z1363">
        <v>3</v>
      </c>
      <c r="AA1363" t="str">
        <f t="shared" si="113"/>
        <v>Mid Tenure</v>
      </c>
      <c r="AB1363" s="5">
        <v>44770</v>
      </c>
      <c r="AC1363">
        <f t="shared" si="114"/>
        <v>0</v>
      </c>
      <c r="AD1363" t="s">
        <v>38</v>
      </c>
      <c r="AE1363">
        <f>VLOOKUP(A1363,'Employee Engagement Survey'!A1351:B2820,2,FALSE)</f>
        <v>3</v>
      </c>
      <c r="AF1363">
        <f>VLOOKUP(A1363,'Employee Engagement Survey'!A1351:C2820,3,FALSE)</f>
        <v>2</v>
      </c>
      <c r="AG1363">
        <f>VLOOKUP(A1363,'Employee Engagement Survey'!A1351:D2820,4,FALSE)</f>
        <v>3</v>
      </c>
      <c r="AH1363">
        <f>VLOOKUP(A1363,'Employee Engagement Survey'!A1351:E2820,5,FALSE)</f>
        <v>1</v>
      </c>
      <c r="AI1363">
        <f t="shared" si="112"/>
        <v>2.25</v>
      </c>
    </row>
    <row r="1364" spans="1:35" hidden="1" x14ac:dyDescent="0.4">
      <c r="A1364">
        <v>851</v>
      </c>
      <c r="B1364" t="s">
        <v>34</v>
      </c>
      <c r="C1364">
        <f t="shared" si="110"/>
        <v>1</v>
      </c>
      <c r="D1364" t="s">
        <v>110</v>
      </c>
      <c r="E1364">
        <f t="shared" si="111"/>
        <v>1</v>
      </c>
      <c r="F1364" t="s">
        <v>40</v>
      </c>
      <c r="G1364">
        <v>4</v>
      </c>
      <c r="H1364" s="1">
        <v>207684</v>
      </c>
      <c r="I1364" s="10">
        <v>0.14000000000000001</v>
      </c>
      <c r="J1364">
        <v>37.5</v>
      </c>
      <c r="K1364" t="s">
        <v>34</v>
      </c>
      <c r="L1364">
        <v>51</v>
      </c>
      <c r="M1364" t="s">
        <v>47</v>
      </c>
      <c r="N1364" t="s">
        <v>42</v>
      </c>
      <c r="O1364" t="s">
        <v>31</v>
      </c>
      <c r="P1364">
        <v>26</v>
      </c>
      <c r="Q1364" t="s">
        <v>51</v>
      </c>
      <c r="R1364" t="s">
        <v>56</v>
      </c>
      <c r="S1364">
        <v>3</v>
      </c>
      <c r="T1364">
        <v>1</v>
      </c>
      <c r="U1364">
        <v>29</v>
      </c>
      <c r="V1364">
        <v>2</v>
      </c>
      <c r="W1364">
        <v>20</v>
      </c>
      <c r="X1364">
        <v>6</v>
      </c>
      <c r="Y1364">
        <v>4</v>
      </c>
      <c r="Z1364">
        <v>17</v>
      </c>
      <c r="AA1364" t="str">
        <f t="shared" si="113"/>
        <v>Long Tenure</v>
      </c>
      <c r="AB1364" s="5">
        <v>45278</v>
      </c>
      <c r="AC1364">
        <f t="shared" si="114"/>
        <v>0</v>
      </c>
      <c r="AD1364" t="s">
        <v>49</v>
      </c>
      <c r="AE1364">
        <f>VLOOKUP(A1364,'Employee Engagement Survey'!A1352:B2821,2,FALSE)</f>
        <v>1</v>
      </c>
      <c r="AF1364">
        <f>VLOOKUP(A1364,'Employee Engagement Survey'!A1352:C2821,3,FALSE)</f>
        <v>3</v>
      </c>
      <c r="AG1364">
        <f>VLOOKUP(A1364,'Employee Engagement Survey'!A1352:D2821,4,FALSE)</f>
        <v>3</v>
      </c>
      <c r="AH1364">
        <f>VLOOKUP(A1364,'Employee Engagement Survey'!A1352:E2821,5,FALSE)</f>
        <v>2</v>
      </c>
      <c r="AI1364">
        <f t="shared" si="112"/>
        <v>2.25</v>
      </c>
    </row>
    <row r="1365" spans="1:35" hidden="1" x14ac:dyDescent="0.4">
      <c r="A1365">
        <v>1911</v>
      </c>
      <c r="B1365" t="s">
        <v>34</v>
      </c>
      <c r="C1365">
        <f t="shared" si="110"/>
        <v>1</v>
      </c>
      <c r="D1365" t="s">
        <v>60</v>
      </c>
      <c r="E1365">
        <f t="shared" si="111"/>
        <v>1</v>
      </c>
      <c r="F1365" t="s">
        <v>28</v>
      </c>
      <c r="G1365">
        <v>10</v>
      </c>
      <c r="H1365" s="1">
        <v>172176</v>
      </c>
      <c r="I1365" s="10">
        <v>0.13</v>
      </c>
      <c r="J1365">
        <v>37.5</v>
      </c>
      <c r="K1365" t="s">
        <v>34</v>
      </c>
      <c r="L1365">
        <v>42</v>
      </c>
      <c r="M1365" t="s">
        <v>29</v>
      </c>
      <c r="N1365" t="s">
        <v>42</v>
      </c>
      <c r="O1365" t="s">
        <v>31</v>
      </c>
      <c r="P1365">
        <v>6</v>
      </c>
      <c r="Q1365" t="s">
        <v>43</v>
      </c>
      <c r="R1365" t="s">
        <v>33</v>
      </c>
      <c r="S1365">
        <v>3</v>
      </c>
      <c r="T1365">
        <v>1</v>
      </c>
      <c r="U1365">
        <v>18</v>
      </c>
      <c r="V1365">
        <v>3</v>
      </c>
      <c r="W1365">
        <v>13</v>
      </c>
      <c r="X1365">
        <v>7</v>
      </c>
      <c r="Y1365">
        <v>5</v>
      </c>
      <c r="Z1365">
        <v>7</v>
      </c>
      <c r="AA1365" t="str">
        <f t="shared" si="113"/>
        <v>Long Tenure</v>
      </c>
      <c r="AB1365" s="5">
        <v>44735</v>
      </c>
      <c r="AC1365">
        <f t="shared" si="114"/>
        <v>0</v>
      </c>
      <c r="AD1365" t="s">
        <v>49</v>
      </c>
      <c r="AE1365">
        <f>VLOOKUP(A1365,'Employee Engagement Survey'!A1353:B2822,2,FALSE)</f>
        <v>3</v>
      </c>
      <c r="AF1365">
        <f>VLOOKUP(A1365,'Employee Engagement Survey'!A1353:C2822,3,FALSE)</f>
        <v>1</v>
      </c>
      <c r="AG1365">
        <f>VLOOKUP(A1365,'Employee Engagement Survey'!A1353:D2822,4,FALSE)</f>
        <v>2</v>
      </c>
      <c r="AH1365">
        <f>VLOOKUP(A1365,'Employee Engagement Survey'!A1353:E2822,5,FALSE)</f>
        <v>4</v>
      </c>
      <c r="AI1365">
        <f t="shared" si="112"/>
        <v>2.5</v>
      </c>
    </row>
    <row r="1366" spans="1:35" hidden="1" x14ac:dyDescent="0.4">
      <c r="A1366">
        <v>1655</v>
      </c>
      <c r="B1366" t="s">
        <v>34</v>
      </c>
      <c r="C1366">
        <f t="shared" si="110"/>
        <v>1</v>
      </c>
      <c r="D1366" t="s">
        <v>60</v>
      </c>
      <c r="E1366">
        <f t="shared" si="111"/>
        <v>1</v>
      </c>
      <c r="F1366" t="s">
        <v>28</v>
      </c>
      <c r="G1366">
        <v>4</v>
      </c>
      <c r="H1366" s="1">
        <v>208956</v>
      </c>
      <c r="I1366" s="10">
        <v>0.16</v>
      </c>
      <c r="J1366">
        <v>37.5</v>
      </c>
      <c r="K1366" t="s">
        <v>34</v>
      </c>
      <c r="L1366">
        <v>49</v>
      </c>
      <c r="M1366" t="s">
        <v>47</v>
      </c>
      <c r="N1366" t="s">
        <v>42</v>
      </c>
      <c r="O1366" t="s">
        <v>31</v>
      </c>
      <c r="P1366">
        <v>22</v>
      </c>
      <c r="Q1366" t="s">
        <v>51</v>
      </c>
      <c r="R1366" t="s">
        <v>53</v>
      </c>
      <c r="S1366">
        <v>3</v>
      </c>
      <c r="T1366">
        <v>2</v>
      </c>
      <c r="U1366">
        <v>27</v>
      </c>
      <c r="V1366">
        <v>2</v>
      </c>
      <c r="W1366">
        <v>4</v>
      </c>
      <c r="X1366">
        <v>2</v>
      </c>
      <c r="Y1366">
        <v>1</v>
      </c>
      <c r="Z1366">
        <v>2</v>
      </c>
      <c r="AA1366" t="str">
        <f t="shared" si="113"/>
        <v>Mid Tenure</v>
      </c>
      <c r="AB1366" s="5">
        <v>45712</v>
      </c>
      <c r="AC1366">
        <f t="shared" si="114"/>
        <v>1</v>
      </c>
      <c r="AD1366" t="s">
        <v>49</v>
      </c>
      <c r="AE1366">
        <f>VLOOKUP(A1366,'Employee Engagement Survey'!A1354:B2823,2,FALSE)</f>
        <v>1</v>
      </c>
      <c r="AF1366">
        <f>VLOOKUP(A1366,'Employee Engagement Survey'!A1354:C2823,3,FALSE)</f>
        <v>2</v>
      </c>
      <c r="AG1366">
        <f>VLOOKUP(A1366,'Employee Engagement Survey'!A1354:D2823,4,FALSE)</f>
        <v>2</v>
      </c>
      <c r="AH1366">
        <f>VLOOKUP(A1366,'Employee Engagement Survey'!A1354:E2823,5,FALSE)</f>
        <v>3</v>
      </c>
      <c r="AI1366">
        <f t="shared" si="112"/>
        <v>2</v>
      </c>
    </row>
    <row r="1367" spans="1:35" hidden="1" x14ac:dyDescent="0.4">
      <c r="A1367">
        <v>1430</v>
      </c>
      <c r="B1367" t="s">
        <v>34</v>
      </c>
      <c r="C1367">
        <f t="shared" si="110"/>
        <v>1</v>
      </c>
      <c r="D1367" t="s">
        <v>60</v>
      </c>
      <c r="E1367">
        <f t="shared" si="111"/>
        <v>1</v>
      </c>
      <c r="F1367" t="s">
        <v>28</v>
      </c>
      <c r="G1367">
        <v>4</v>
      </c>
      <c r="H1367" s="1">
        <v>209064</v>
      </c>
      <c r="I1367" s="10">
        <v>0.11</v>
      </c>
      <c r="J1367">
        <v>37.5</v>
      </c>
      <c r="K1367" t="s">
        <v>34</v>
      </c>
      <c r="L1367">
        <v>31</v>
      </c>
      <c r="M1367" t="s">
        <v>47</v>
      </c>
      <c r="N1367" t="s">
        <v>30</v>
      </c>
      <c r="O1367" t="s">
        <v>31</v>
      </c>
      <c r="P1367">
        <v>8</v>
      </c>
      <c r="Q1367" t="s">
        <v>58</v>
      </c>
      <c r="R1367" t="s">
        <v>37</v>
      </c>
      <c r="S1367">
        <v>3</v>
      </c>
      <c r="T1367">
        <v>0</v>
      </c>
      <c r="U1367">
        <v>9</v>
      </c>
      <c r="V1367">
        <v>3</v>
      </c>
      <c r="W1367">
        <v>3</v>
      </c>
      <c r="X1367">
        <v>2</v>
      </c>
      <c r="Y1367">
        <v>1</v>
      </c>
      <c r="Z1367">
        <v>0</v>
      </c>
      <c r="AA1367" t="str">
        <f t="shared" si="113"/>
        <v>Mid Tenure</v>
      </c>
      <c r="AB1367" s="5">
        <v>44953</v>
      </c>
      <c r="AC1367">
        <f t="shared" si="114"/>
        <v>0</v>
      </c>
      <c r="AD1367" t="s">
        <v>38</v>
      </c>
      <c r="AE1367">
        <f>VLOOKUP(A1367,'Employee Engagement Survey'!A1355:B2824,2,FALSE)</f>
        <v>1</v>
      </c>
      <c r="AF1367">
        <f>VLOOKUP(A1367,'Employee Engagement Survey'!A1355:C2824,3,FALSE)</f>
        <v>2</v>
      </c>
      <c r="AG1367">
        <f>VLOOKUP(A1367,'Employee Engagement Survey'!A1355:D2824,4,FALSE)</f>
        <v>3</v>
      </c>
      <c r="AH1367">
        <f>VLOOKUP(A1367,'Employee Engagement Survey'!A1355:E2824,5,FALSE)</f>
        <v>4</v>
      </c>
      <c r="AI1367">
        <f t="shared" si="112"/>
        <v>2.5</v>
      </c>
    </row>
    <row r="1368" spans="1:35" hidden="1" x14ac:dyDescent="0.4">
      <c r="A1368">
        <v>1918</v>
      </c>
      <c r="B1368" t="s">
        <v>34</v>
      </c>
      <c r="C1368">
        <f t="shared" si="110"/>
        <v>1</v>
      </c>
      <c r="D1368" t="s">
        <v>46</v>
      </c>
      <c r="E1368">
        <f t="shared" si="111"/>
        <v>0</v>
      </c>
      <c r="F1368" t="s">
        <v>28</v>
      </c>
      <c r="G1368">
        <v>4</v>
      </c>
      <c r="H1368" s="1">
        <v>54528</v>
      </c>
      <c r="I1368" s="10">
        <v>0.18</v>
      </c>
      <c r="J1368">
        <v>37.5</v>
      </c>
      <c r="K1368" t="s">
        <v>34</v>
      </c>
      <c r="L1368">
        <v>26</v>
      </c>
      <c r="M1368" t="s">
        <v>29</v>
      </c>
      <c r="N1368" t="s">
        <v>42</v>
      </c>
      <c r="O1368" t="s">
        <v>44</v>
      </c>
      <c r="P1368">
        <v>6</v>
      </c>
      <c r="Q1368" t="s">
        <v>43</v>
      </c>
      <c r="R1368" t="s">
        <v>53</v>
      </c>
      <c r="S1368">
        <v>3</v>
      </c>
      <c r="T1368">
        <v>1</v>
      </c>
      <c r="U1368">
        <v>8</v>
      </c>
      <c r="V1368">
        <v>3</v>
      </c>
      <c r="W1368">
        <v>7</v>
      </c>
      <c r="X1368">
        <v>7</v>
      </c>
      <c r="Y1368">
        <v>7</v>
      </c>
      <c r="Z1368">
        <v>7</v>
      </c>
      <c r="AA1368" t="str">
        <f t="shared" si="113"/>
        <v>Mid Tenure</v>
      </c>
      <c r="AB1368" s="5">
        <v>44899</v>
      </c>
      <c r="AC1368">
        <f t="shared" si="114"/>
        <v>0</v>
      </c>
      <c r="AD1368" t="s">
        <v>49</v>
      </c>
      <c r="AE1368">
        <f>VLOOKUP(A1368,'Employee Engagement Survey'!A1356:B2825,2,FALSE)</f>
        <v>3</v>
      </c>
      <c r="AF1368">
        <f>VLOOKUP(A1368,'Employee Engagement Survey'!A1356:C2825,3,FALSE)</f>
        <v>4</v>
      </c>
      <c r="AG1368">
        <f>VLOOKUP(A1368,'Employee Engagement Survey'!A1356:D2825,4,FALSE)</f>
        <v>1</v>
      </c>
      <c r="AH1368">
        <f>VLOOKUP(A1368,'Employee Engagement Survey'!A1356:E2825,5,FALSE)</f>
        <v>3</v>
      </c>
      <c r="AI1368">
        <f t="shared" si="112"/>
        <v>2.75</v>
      </c>
    </row>
    <row r="1369" spans="1:35" hidden="1" x14ac:dyDescent="0.4">
      <c r="A1369">
        <v>546</v>
      </c>
      <c r="B1369" t="s">
        <v>34</v>
      </c>
      <c r="C1369">
        <f t="shared" si="110"/>
        <v>1</v>
      </c>
      <c r="D1369" t="s">
        <v>109</v>
      </c>
      <c r="E1369">
        <f t="shared" si="111"/>
        <v>1</v>
      </c>
      <c r="F1369" t="s">
        <v>28</v>
      </c>
      <c r="G1369">
        <v>4</v>
      </c>
      <c r="H1369" s="1">
        <v>210660</v>
      </c>
      <c r="I1369" s="10">
        <v>0.13</v>
      </c>
      <c r="J1369">
        <v>37.5</v>
      </c>
      <c r="K1369" t="s">
        <v>34</v>
      </c>
      <c r="L1369">
        <v>52</v>
      </c>
      <c r="M1369" t="s">
        <v>47</v>
      </c>
      <c r="N1369" t="s">
        <v>42</v>
      </c>
      <c r="O1369" t="s">
        <v>31</v>
      </c>
      <c r="P1369">
        <v>4</v>
      </c>
      <c r="Q1369" t="s">
        <v>36</v>
      </c>
      <c r="R1369" t="s">
        <v>37</v>
      </c>
      <c r="S1369">
        <v>3</v>
      </c>
      <c r="T1369">
        <v>0</v>
      </c>
      <c r="U1369">
        <v>31</v>
      </c>
      <c r="V1369">
        <v>2</v>
      </c>
      <c r="W1369">
        <v>5</v>
      </c>
      <c r="X1369">
        <v>2</v>
      </c>
      <c r="Y1369">
        <v>1</v>
      </c>
      <c r="Z1369">
        <v>4</v>
      </c>
      <c r="AA1369" t="str">
        <f t="shared" si="113"/>
        <v>Mid Tenure</v>
      </c>
      <c r="AB1369" s="5">
        <v>44772</v>
      </c>
      <c r="AC1369">
        <f t="shared" si="114"/>
        <v>0</v>
      </c>
      <c r="AD1369" t="s">
        <v>38</v>
      </c>
      <c r="AE1369">
        <f>VLOOKUP(A1369,'Employee Engagement Survey'!A1357:B2826,2,FALSE)</f>
        <v>4</v>
      </c>
      <c r="AF1369">
        <f>VLOOKUP(A1369,'Employee Engagement Survey'!A1357:C2826,3,FALSE)</f>
        <v>4</v>
      </c>
      <c r="AG1369">
        <f>VLOOKUP(A1369,'Employee Engagement Survey'!A1357:D2826,4,FALSE)</f>
        <v>4</v>
      </c>
      <c r="AH1369">
        <f>VLOOKUP(A1369,'Employee Engagement Survey'!A1357:E2826,5,FALSE)</f>
        <v>1</v>
      </c>
      <c r="AI1369">
        <f t="shared" si="112"/>
        <v>3.25</v>
      </c>
    </row>
    <row r="1370" spans="1:35" hidden="1" x14ac:dyDescent="0.4">
      <c r="A1370">
        <v>625</v>
      </c>
      <c r="B1370" t="s">
        <v>34</v>
      </c>
      <c r="C1370">
        <f t="shared" si="110"/>
        <v>1</v>
      </c>
      <c r="D1370" t="s">
        <v>110</v>
      </c>
      <c r="E1370">
        <f t="shared" si="111"/>
        <v>1</v>
      </c>
      <c r="F1370" t="s">
        <v>40</v>
      </c>
      <c r="G1370">
        <v>4</v>
      </c>
      <c r="H1370" s="1">
        <v>211140</v>
      </c>
      <c r="I1370" s="10">
        <v>0.16</v>
      </c>
      <c r="J1370">
        <v>37.5</v>
      </c>
      <c r="K1370" t="s">
        <v>34</v>
      </c>
      <c r="L1370">
        <v>41</v>
      </c>
      <c r="M1370" t="s">
        <v>47</v>
      </c>
      <c r="N1370" t="s">
        <v>42</v>
      </c>
      <c r="O1370" t="s">
        <v>31</v>
      </c>
      <c r="P1370">
        <v>2</v>
      </c>
      <c r="Q1370" t="s">
        <v>58</v>
      </c>
      <c r="R1370" t="s">
        <v>37</v>
      </c>
      <c r="S1370">
        <v>3</v>
      </c>
      <c r="T1370">
        <v>1</v>
      </c>
      <c r="U1370">
        <v>22</v>
      </c>
      <c r="V1370">
        <v>2</v>
      </c>
      <c r="W1370">
        <v>18</v>
      </c>
      <c r="X1370">
        <v>16</v>
      </c>
      <c r="Y1370">
        <v>11</v>
      </c>
      <c r="Z1370">
        <v>8</v>
      </c>
      <c r="AA1370" t="str">
        <f t="shared" si="113"/>
        <v>Long Tenure</v>
      </c>
      <c r="AB1370" s="5">
        <v>45225</v>
      </c>
      <c r="AC1370">
        <f t="shared" si="114"/>
        <v>0</v>
      </c>
      <c r="AD1370" t="s">
        <v>38</v>
      </c>
      <c r="AE1370">
        <f>VLOOKUP(A1370,'Employee Engagement Survey'!A1358:B2827,2,FALSE)</f>
        <v>2</v>
      </c>
      <c r="AF1370">
        <f>VLOOKUP(A1370,'Employee Engagement Survey'!A1358:C2827,3,FALSE)</f>
        <v>1</v>
      </c>
      <c r="AG1370">
        <f>VLOOKUP(A1370,'Employee Engagement Survey'!A1358:D2827,4,FALSE)</f>
        <v>2</v>
      </c>
      <c r="AH1370">
        <f>VLOOKUP(A1370,'Employee Engagement Survey'!A1358:E2827,5,FALSE)</f>
        <v>3</v>
      </c>
      <c r="AI1370">
        <f t="shared" si="112"/>
        <v>2</v>
      </c>
    </row>
    <row r="1371" spans="1:35" hidden="1" x14ac:dyDescent="0.4">
      <c r="A1371">
        <v>1922</v>
      </c>
      <c r="B1371" t="s">
        <v>34</v>
      </c>
      <c r="C1371">
        <f t="shared" si="110"/>
        <v>1</v>
      </c>
      <c r="D1371" t="s">
        <v>55</v>
      </c>
      <c r="E1371">
        <f t="shared" si="111"/>
        <v>0</v>
      </c>
      <c r="F1371" t="s">
        <v>28</v>
      </c>
      <c r="G1371">
        <v>7</v>
      </c>
      <c r="H1371" s="1">
        <v>76788</v>
      </c>
      <c r="I1371" s="10">
        <v>0.12</v>
      </c>
      <c r="J1371">
        <v>37.5</v>
      </c>
      <c r="K1371" t="s">
        <v>34</v>
      </c>
      <c r="L1371">
        <v>45</v>
      </c>
      <c r="M1371" t="s">
        <v>29</v>
      </c>
      <c r="N1371" t="s">
        <v>30</v>
      </c>
      <c r="O1371" t="s">
        <v>44</v>
      </c>
      <c r="P1371">
        <v>1</v>
      </c>
      <c r="Q1371" t="s">
        <v>51</v>
      </c>
      <c r="R1371" t="s">
        <v>33</v>
      </c>
      <c r="S1371">
        <v>3</v>
      </c>
      <c r="T1371">
        <v>0</v>
      </c>
      <c r="U1371">
        <v>12</v>
      </c>
      <c r="V1371">
        <v>3</v>
      </c>
      <c r="W1371">
        <v>4</v>
      </c>
      <c r="X1371">
        <v>2</v>
      </c>
      <c r="Y1371">
        <v>0</v>
      </c>
      <c r="Z1371">
        <v>3</v>
      </c>
      <c r="AA1371" t="str">
        <f t="shared" si="113"/>
        <v>Mid Tenure</v>
      </c>
      <c r="AB1371" s="5">
        <v>45652</v>
      </c>
      <c r="AC1371">
        <f t="shared" si="114"/>
        <v>1</v>
      </c>
      <c r="AD1371" t="s">
        <v>38</v>
      </c>
      <c r="AE1371">
        <f>VLOOKUP(A1371,'Employee Engagement Survey'!A1359:B2828,2,FALSE)</f>
        <v>2</v>
      </c>
      <c r="AF1371">
        <f>VLOOKUP(A1371,'Employee Engagement Survey'!A1359:C2828,3,FALSE)</f>
        <v>3</v>
      </c>
      <c r="AG1371">
        <f>VLOOKUP(A1371,'Employee Engagement Survey'!A1359:D2828,4,FALSE)</f>
        <v>3</v>
      </c>
      <c r="AH1371">
        <f>VLOOKUP(A1371,'Employee Engagement Survey'!A1359:E2828,5,FALSE)</f>
        <v>3</v>
      </c>
      <c r="AI1371">
        <f t="shared" si="112"/>
        <v>2.75</v>
      </c>
    </row>
    <row r="1372" spans="1:35" hidden="1" x14ac:dyDescent="0.4">
      <c r="A1372">
        <v>1527</v>
      </c>
      <c r="B1372" t="s">
        <v>34</v>
      </c>
      <c r="C1372">
        <f t="shared" si="110"/>
        <v>1</v>
      </c>
      <c r="D1372" t="s">
        <v>110</v>
      </c>
      <c r="E1372">
        <f t="shared" si="111"/>
        <v>1</v>
      </c>
      <c r="F1372" t="s">
        <v>40</v>
      </c>
      <c r="G1372">
        <v>4</v>
      </c>
      <c r="H1372" s="1">
        <v>211272</v>
      </c>
      <c r="I1372" s="10">
        <v>0.12</v>
      </c>
      <c r="J1372">
        <v>37.5</v>
      </c>
      <c r="K1372" t="s">
        <v>34</v>
      </c>
      <c r="L1372">
        <v>46</v>
      </c>
      <c r="M1372" t="s">
        <v>47</v>
      </c>
      <c r="N1372" t="s">
        <v>42</v>
      </c>
      <c r="O1372" t="s">
        <v>31</v>
      </c>
      <c r="P1372">
        <v>3</v>
      </c>
      <c r="Q1372" t="s">
        <v>43</v>
      </c>
      <c r="R1372" t="s">
        <v>37</v>
      </c>
      <c r="S1372">
        <v>3</v>
      </c>
      <c r="T1372">
        <v>1</v>
      </c>
      <c r="U1372">
        <v>23</v>
      </c>
      <c r="V1372">
        <v>2</v>
      </c>
      <c r="W1372">
        <v>13</v>
      </c>
      <c r="X1372">
        <v>12</v>
      </c>
      <c r="Y1372">
        <v>5</v>
      </c>
      <c r="Z1372">
        <v>1</v>
      </c>
      <c r="AA1372" t="str">
        <f t="shared" si="113"/>
        <v>Long Tenure</v>
      </c>
      <c r="AB1372" s="5">
        <v>45031</v>
      </c>
      <c r="AC1372">
        <f t="shared" si="114"/>
        <v>0</v>
      </c>
      <c r="AD1372" t="s">
        <v>49</v>
      </c>
      <c r="AE1372">
        <f>VLOOKUP(A1372,'Employee Engagement Survey'!A1360:B2829,2,FALSE)</f>
        <v>3</v>
      </c>
      <c r="AF1372">
        <f>VLOOKUP(A1372,'Employee Engagement Survey'!A1360:C2829,3,FALSE)</f>
        <v>2</v>
      </c>
      <c r="AG1372">
        <f>VLOOKUP(A1372,'Employee Engagement Survey'!A1360:D2829,4,FALSE)</f>
        <v>4</v>
      </c>
      <c r="AH1372">
        <f>VLOOKUP(A1372,'Employee Engagement Survey'!A1360:E2829,5,FALSE)</f>
        <v>4</v>
      </c>
      <c r="AI1372">
        <f t="shared" si="112"/>
        <v>3.25</v>
      </c>
    </row>
    <row r="1373" spans="1:35" hidden="1" x14ac:dyDescent="0.4">
      <c r="A1373">
        <v>1924</v>
      </c>
      <c r="B1373" t="s">
        <v>34</v>
      </c>
      <c r="C1373">
        <f t="shared" si="110"/>
        <v>1</v>
      </c>
      <c r="D1373" t="s">
        <v>57</v>
      </c>
      <c r="E1373">
        <f t="shared" si="111"/>
        <v>0</v>
      </c>
      <c r="F1373" t="s">
        <v>40</v>
      </c>
      <c r="G1373">
        <v>7</v>
      </c>
      <c r="H1373" s="1">
        <v>77844</v>
      </c>
      <c r="I1373" s="10">
        <v>0.14000000000000001</v>
      </c>
      <c r="J1373">
        <v>37.5</v>
      </c>
      <c r="K1373" t="s">
        <v>34</v>
      </c>
      <c r="L1373">
        <v>33</v>
      </c>
      <c r="M1373" t="s">
        <v>29</v>
      </c>
      <c r="N1373" t="s">
        <v>30</v>
      </c>
      <c r="O1373" t="s">
        <v>31</v>
      </c>
      <c r="P1373">
        <v>10</v>
      </c>
      <c r="Q1373" t="s">
        <v>51</v>
      </c>
      <c r="R1373" t="s">
        <v>56</v>
      </c>
      <c r="S1373">
        <v>3</v>
      </c>
      <c r="T1373">
        <v>0</v>
      </c>
      <c r="U1373">
        <v>10</v>
      </c>
      <c r="V1373">
        <v>2</v>
      </c>
      <c r="W1373">
        <v>10</v>
      </c>
      <c r="X1373">
        <v>4</v>
      </c>
      <c r="Y1373">
        <v>0</v>
      </c>
      <c r="Z1373">
        <v>9</v>
      </c>
      <c r="AA1373" t="str">
        <f t="shared" si="113"/>
        <v>Long Tenure</v>
      </c>
      <c r="AB1373" s="5">
        <v>45133</v>
      </c>
      <c r="AC1373">
        <f t="shared" si="114"/>
        <v>0</v>
      </c>
      <c r="AD1373" t="s">
        <v>49</v>
      </c>
      <c r="AE1373">
        <f>VLOOKUP(A1373,'Employee Engagement Survey'!A1361:B2830,2,FALSE)</f>
        <v>2</v>
      </c>
      <c r="AF1373">
        <f>VLOOKUP(A1373,'Employee Engagement Survey'!A1361:C2830,3,FALSE)</f>
        <v>3</v>
      </c>
      <c r="AG1373">
        <f>VLOOKUP(A1373,'Employee Engagement Survey'!A1361:D2830,4,FALSE)</f>
        <v>2</v>
      </c>
      <c r="AH1373">
        <f>VLOOKUP(A1373,'Employee Engagement Survey'!A1361:E2830,5,FALSE)</f>
        <v>2</v>
      </c>
      <c r="AI1373">
        <f t="shared" si="112"/>
        <v>2.25</v>
      </c>
    </row>
    <row r="1374" spans="1:35" hidden="1" x14ac:dyDescent="0.4">
      <c r="A1374">
        <v>505</v>
      </c>
      <c r="B1374" t="s">
        <v>34</v>
      </c>
      <c r="C1374">
        <f t="shared" si="110"/>
        <v>1</v>
      </c>
      <c r="D1374" t="s">
        <v>109</v>
      </c>
      <c r="E1374">
        <f t="shared" si="111"/>
        <v>1</v>
      </c>
      <c r="F1374" t="s">
        <v>28</v>
      </c>
      <c r="G1374">
        <v>4</v>
      </c>
      <c r="H1374" s="1">
        <v>211908</v>
      </c>
      <c r="I1374" s="10">
        <v>0.13</v>
      </c>
      <c r="J1374">
        <v>37.5</v>
      </c>
      <c r="K1374" t="s">
        <v>26</v>
      </c>
      <c r="L1374">
        <v>55</v>
      </c>
      <c r="M1374" t="s">
        <v>47</v>
      </c>
      <c r="N1374" t="s">
        <v>30</v>
      </c>
      <c r="O1374" t="s">
        <v>31</v>
      </c>
      <c r="P1374">
        <v>2</v>
      </c>
      <c r="Q1374" t="s">
        <v>43</v>
      </c>
      <c r="R1374" t="s">
        <v>37</v>
      </c>
      <c r="S1374">
        <v>3</v>
      </c>
      <c r="T1374">
        <v>0</v>
      </c>
      <c r="U1374">
        <v>30</v>
      </c>
      <c r="V1374">
        <v>2</v>
      </c>
      <c r="W1374">
        <v>5</v>
      </c>
      <c r="X1374">
        <v>4</v>
      </c>
      <c r="Y1374">
        <v>1</v>
      </c>
      <c r="Z1374">
        <v>2</v>
      </c>
      <c r="AA1374" t="str">
        <f t="shared" si="113"/>
        <v>Mid Tenure</v>
      </c>
      <c r="AB1374" s="5">
        <v>45440</v>
      </c>
      <c r="AC1374">
        <f t="shared" si="114"/>
        <v>1</v>
      </c>
      <c r="AD1374" t="s">
        <v>49</v>
      </c>
      <c r="AE1374">
        <f>VLOOKUP(A1374,'Employee Engagement Survey'!A1362:B2831,2,FALSE)</f>
        <v>3</v>
      </c>
      <c r="AF1374">
        <f>VLOOKUP(A1374,'Employee Engagement Survey'!A1362:C2831,3,FALSE)</f>
        <v>4</v>
      </c>
      <c r="AG1374">
        <f>VLOOKUP(A1374,'Employee Engagement Survey'!A1362:D2831,4,FALSE)</f>
        <v>3</v>
      </c>
      <c r="AH1374">
        <f>VLOOKUP(A1374,'Employee Engagement Survey'!A1362:E2831,5,FALSE)</f>
        <v>3</v>
      </c>
      <c r="AI1374">
        <f t="shared" si="112"/>
        <v>3.25</v>
      </c>
    </row>
    <row r="1375" spans="1:35" hidden="1" x14ac:dyDescent="0.4">
      <c r="A1375">
        <v>1719</v>
      </c>
      <c r="B1375" t="s">
        <v>34</v>
      </c>
      <c r="C1375">
        <f t="shared" si="110"/>
        <v>1</v>
      </c>
      <c r="D1375" t="s">
        <v>60</v>
      </c>
      <c r="E1375">
        <f t="shared" si="111"/>
        <v>1</v>
      </c>
      <c r="F1375" t="s">
        <v>28</v>
      </c>
      <c r="G1375">
        <v>4</v>
      </c>
      <c r="H1375" s="1">
        <v>212448</v>
      </c>
      <c r="I1375" s="10">
        <v>0.11</v>
      </c>
      <c r="J1375">
        <v>37.5</v>
      </c>
      <c r="K1375" t="s">
        <v>34</v>
      </c>
      <c r="L1375">
        <v>45</v>
      </c>
      <c r="M1375" t="s">
        <v>47</v>
      </c>
      <c r="N1375" t="s">
        <v>30</v>
      </c>
      <c r="O1375" t="s">
        <v>31</v>
      </c>
      <c r="P1375">
        <v>28</v>
      </c>
      <c r="Q1375" t="s">
        <v>36</v>
      </c>
      <c r="R1375" t="s">
        <v>45</v>
      </c>
      <c r="S1375">
        <v>3</v>
      </c>
      <c r="T1375">
        <v>0</v>
      </c>
      <c r="U1375">
        <v>21</v>
      </c>
      <c r="V1375">
        <v>2</v>
      </c>
      <c r="W1375">
        <v>21</v>
      </c>
      <c r="X1375">
        <v>6</v>
      </c>
      <c r="Y1375">
        <v>8</v>
      </c>
      <c r="Z1375">
        <v>6</v>
      </c>
      <c r="AA1375" t="str">
        <f t="shared" si="113"/>
        <v>Long Tenure</v>
      </c>
      <c r="AB1375" s="5">
        <v>45518</v>
      </c>
      <c r="AC1375">
        <f t="shared" si="114"/>
        <v>1</v>
      </c>
      <c r="AD1375" t="s">
        <v>38</v>
      </c>
      <c r="AE1375">
        <f>VLOOKUP(A1375,'Employee Engagement Survey'!A1363:B2832,2,FALSE)</f>
        <v>4</v>
      </c>
      <c r="AF1375">
        <f>VLOOKUP(A1375,'Employee Engagement Survey'!A1363:C2832,3,FALSE)</f>
        <v>2</v>
      </c>
      <c r="AG1375">
        <f>VLOOKUP(A1375,'Employee Engagement Survey'!A1363:D2832,4,FALSE)</f>
        <v>3</v>
      </c>
      <c r="AH1375">
        <f>VLOOKUP(A1375,'Employee Engagement Survey'!A1363:E2832,5,FALSE)</f>
        <v>3</v>
      </c>
      <c r="AI1375">
        <f t="shared" si="112"/>
        <v>3</v>
      </c>
    </row>
    <row r="1376" spans="1:35" hidden="1" x14ac:dyDescent="0.4">
      <c r="A1376">
        <v>820</v>
      </c>
      <c r="B1376" t="s">
        <v>34</v>
      </c>
      <c r="C1376">
        <f t="shared" si="110"/>
        <v>1</v>
      </c>
      <c r="D1376" t="s">
        <v>109</v>
      </c>
      <c r="E1376">
        <f t="shared" si="111"/>
        <v>1</v>
      </c>
      <c r="F1376" t="s">
        <v>28</v>
      </c>
      <c r="G1376">
        <v>4</v>
      </c>
      <c r="H1376" s="1">
        <v>213024</v>
      </c>
      <c r="I1376" s="10">
        <v>0.11</v>
      </c>
      <c r="J1376">
        <v>37.5</v>
      </c>
      <c r="K1376" t="s">
        <v>26</v>
      </c>
      <c r="L1376">
        <v>47</v>
      </c>
      <c r="M1376" t="s">
        <v>47</v>
      </c>
      <c r="N1376" t="s">
        <v>42</v>
      </c>
      <c r="O1376" t="s">
        <v>31</v>
      </c>
      <c r="P1376">
        <v>2</v>
      </c>
      <c r="Q1376" t="s">
        <v>36</v>
      </c>
      <c r="R1376" t="s">
        <v>53</v>
      </c>
      <c r="S1376">
        <v>3</v>
      </c>
      <c r="T1376">
        <v>1</v>
      </c>
      <c r="U1376">
        <v>26</v>
      </c>
      <c r="V1376">
        <v>3</v>
      </c>
      <c r="W1376">
        <v>26</v>
      </c>
      <c r="X1376">
        <v>14</v>
      </c>
      <c r="Y1376">
        <v>3</v>
      </c>
      <c r="Z1376">
        <v>0</v>
      </c>
      <c r="AA1376" t="str">
        <f t="shared" si="113"/>
        <v>Long Tenure</v>
      </c>
      <c r="AB1376" s="5">
        <v>45239</v>
      </c>
      <c r="AC1376">
        <f t="shared" si="114"/>
        <v>0</v>
      </c>
      <c r="AD1376" t="s">
        <v>49</v>
      </c>
      <c r="AE1376">
        <f>VLOOKUP(A1376,'Employee Engagement Survey'!A1364:B2833,2,FALSE)</f>
        <v>3</v>
      </c>
      <c r="AF1376">
        <f>VLOOKUP(A1376,'Employee Engagement Survey'!A1364:C2833,3,FALSE)</f>
        <v>4</v>
      </c>
      <c r="AG1376">
        <f>VLOOKUP(A1376,'Employee Engagement Survey'!A1364:D2833,4,FALSE)</f>
        <v>3</v>
      </c>
      <c r="AH1376">
        <f>VLOOKUP(A1376,'Employee Engagement Survey'!A1364:E2833,5,FALSE)</f>
        <v>2</v>
      </c>
      <c r="AI1376">
        <f t="shared" si="112"/>
        <v>3</v>
      </c>
    </row>
    <row r="1377" spans="1:35" hidden="1" x14ac:dyDescent="0.4">
      <c r="A1377">
        <v>1927</v>
      </c>
      <c r="B1377" t="s">
        <v>34</v>
      </c>
      <c r="C1377">
        <f t="shared" si="110"/>
        <v>1</v>
      </c>
      <c r="D1377" t="s">
        <v>57</v>
      </c>
      <c r="E1377">
        <f t="shared" si="111"/>
        <v>0</v>
      </c>
      <c r="F1377" t="s">
        <v>40</v>
      </c>
      <c r="G1377">
        <v>8</v>
      </c>
      <c r="H1377" s="1">
        <v>94008</v>
      </c>
      <c r="I1377" s="10">
        <v>0.12</v>
      </c>
      <c r="J1377">
        <v>37.5</v>
      </c>
      <c r="K1377" t="s">
        <v>26</v>
      </c>
      <c r="L1377">
        <v>28</v>
      </c>
      <c r="M1377" t="s">
        <v>29</v>
      </c>
      <c r="N1377" t="s">
        <v>42</v>
      </c>
      <c r="O1377" t="s">
        <v>44</v>
      </c>
      <c r="P1377">
        <v>1</v>
      </c>
      <c r="Q1377" t="s">
        <v>36</v>
      </c>
      <c r="R1377" t="s">
        <v>37</v>
      </c>
      <c r="S1377">
        <v>3</v>
      </c>
      <c r="T1377">
        <v>1</v>
      </c>
      <c r="U1377">
        <v>7</v>
      </c>
      <c r="V1377">
        <v>2</v>
      </c>
      <c r="W1377">
        <v>7</v>
      </c>
      <c r="X1377">
        <v>7</v>
      </c>
      <c r="Y1377">
        <v>0</v>
      </c>
      <c r="Z1377">
        <v>7</v>
      </c>
      <c r="AA1377" t="str">
        <f t="shared" si="113"/>
        <v>Mid Tenure</v>
      </c>
      <c r="AB1377" s="5">
        <v>45360</v>
      </c>
      <c r="AC1377">
        <f t="shared" si="114"/>
        <v>1</v>
      </c>
      <c r="AD1377" t="s">
        <v>38</v>
      </c>
      <c r="AE1377">
        <f>VLOOKUP(A1377,'Employee Engagement Survey'!A1365:B2834,2,FALSE)</f>
        <v>3</v>
      </c>
      <c r="AF1377">
        <f>VLOOKUP(A1377,'Employee Engagement Survey'!A1365:C2834,3,FALSE)</f>
        <v>4</v>
      </c>
      <c r="AG1377">
        <f>VLOOKUP(A1377,'Employee Engagement Survey'!A1365:D2834,4,FALSE)</f>
        <v>3</v>
      </c>
      <c r="AH1377">
        <f>VLOOKUP(A1377,'Employee Engagement Survey'!A1365:E2834,5,FALSE)</f>
        <v>3</v>
      </c>
      <c r="AI1377">
        <f t="shared" si="112"/>
        <v>3.25</v>
      </c>
    </row>
    <row r="1378" spans="1:35" hidden="1" x14ac:dyDescent="0.4">
      <c r="A1378">
        <v>1931</v>
      </c>
      <c r="B1378" t="s">
        <v>34</v>
      </c>
      <c r="C1378">
        <f t="shared" si="110"/>
        <v>1</v>
      </c>
      <c r="D1378" t="s">
        <v>27</v>
      </c>
      <c r="E1378">
        <f t="shared" si="111"/>
        <v>0</v>
      </c>
      <c r="F1378" t="s">
        <v>28</v>
      </c>
      <c r="G1378">
        <v>4</v>
      </c>
      <c r="H1378" s="1">
        <v>50712</v>
      </c>
      <c r="I1378" s="10">
        <v>0.11</v>
      </c>
      <c r="J1378">
        <v>37.5</v>
      </c>
      <c r="K1378" t="s">
        <v>34</v>
      </c>
      <c r="L1378">
        <v>27</v>
      </c>
      <c r="M1378" t="s">
        <v>29</v>
      </c>
      <c r="N1378" t="s">
        <v>42</v>
      </c>
      <c r="O1378" t="s">
        <v>31</v>
      </c>
      <c r="P1378">
        <v>2</v>
      </c>
      <c r="Q1378" t="s">
        <v>51</v>
      </c>
      <c r="R1378" t="s">
        <v>45</v>
      </c>
      <c r="S1378">
        <v>3</v>
      </c>
      <c r="T1378">
        <v>1</v>
      </c>
      <c r="U1378">
        <v>6</v>
      </c>
      <c r="V1378">
        <v>3</v>
      </c>
      <c r="W1378">
        <v>5</v>
      </c>
      <c r="X1378">
        <v>3</v>
      </c>
      <c r="Y1378">
        <v>1</v>
      </c>
      <c r="Z1378">
        <v>2</v>
      </c>
      <c r="AA1378" t="str">
        <f t="shared" si="113"/>
        <v>Mid Tenure</v>
      </c>
      <c r="AB1378" s="5">
        <v>44659</v>
      </c>
      <c r="AC1378">
        <f t="shared" si="114"/>
        <v>0</v>
      </c>
      <c r="AD1378" t="s">
        <v>38</v>
      </c>
      <c r="AE1378">
        <f>VLOOKUP(A1378,'Employee Engagement Survey'!A1366:B2835,2,FALSE)</f>
        <v>2</v>
      </c>
      <c r="AF1378">
        <f>VLOOKUP(A1378,'Employee Engagement Survey'!A1366:C2835,3,FALSE)</f>
        <v>2</v>
      </c>
      <c r="AG1378">
        <f>VLOOKUP(A1378,'Employee Engagement Survey'!A1366:D2835,4,FALSE)</f>
        <v>3</v>
      </c>
      <c r="AH1378">
        <f>VLOOKUP(A1378,'Employee Engagement Survey'!A1366:E2835,5,FALSE)</f>
        <v>2</v>
      </c>
      <c r="AI1378">
        <f t="shared" si="112"/>
        <v>2.25</v>
      </c>
    </row>
    <row r="1379" spans="1:35" hidden="1" x14ac:dyDescent="0.4">
      <c r="A1379">
        <v>1408</v>
      </c>
      <c r="B1379" t="s">
        <v>34</v>
      </c>
      <c r="C1379">
        <f t="shared" si="110"/>
        <v>1</v>
      </c>
      <c r="D1379" t="s">
        <v>108</v>
      </c>
      <c r="E1379">
        <f t="shared" si="111"/>
        <v>1</v>
      </c>
      <c r="F1379" t="s">
        <v>59</v>
      </c>
      <c r="G1379">
        <v>4</v>
      </c>
      <c r="H1379" s="1">
        <v>213588</v>
      </c>
      <c r="I1379" s="10">
        <v>0.14000000000000001</v>
      </c>
      <c r="J1379">
        <v>37.5</v>
      </c>
      <c r="K1379" t="s">
        <v>34</v>
      </c>
      <c r="L1379">
        <v>42</v>
      </c>
      <c r="M1379" t="s">
        <v>47</v>
      </c>
      <c r="N1379" t="s">
        <v>42</v>
      </c>
      <c r="O1379" t="s">
        <v>31</v>
      </c>
      <c r="P1379">
        <v>10</v>
      </c>
      <c r="Q1379" t="s">
        <v>43</v>
      </c>
      <c r="R1379" t="s">
        <v>59</v>
      </c>
      <c r="S1379">
        <v>3</v>
      </c>
      <c r="T1379">
        <v>1</v>
      </c>
      <c r="U1379">
        <v>21</v>
      </c>
      <c r="V1379">
        <v>5</v>
      </c>
      <c r="W1379">
        <v>20</v>
      </c>
      <c r="X1379">
        <v>7</v>
      </c>
      <c r="Y1379">
        <v>0</v>
      </c>
      <c r="Z1379">
        <v>9</v>
      </c>
      <c r="AA1379" t="str">
        <f t="shared" si="113"/>
        <v>Long Tenure</v>
      </c>
      <c r="AB1379" s="5">
        <v>44761</v>
      </c>
      <c r="AC1379">
        <f t="shared" si="114"/>
        <v>0</v>
      </c>
      <c r="AD1379" t="s">
        <v>38</v>
      </c>
      <c r="AE1379">
        <f>VLOOKUP(A1379,'Employee Engagement Survey'!A1367:B2836,2,FALSE)</f>
        <v>3</v>
      </c>
      <c r="AF1379">
        <f>VLOOKUP(A1379,'Employee Engagement Survey'!A1367:C2836,3,FALSE)</f>
        <v>1</v>
      </c>
      <c r="AG1379">
        <f>VLOOKUP(A1379,'Employee Engagement Survey'!A1367:D2836,4,FALSE)</f>
        <v>3</v>
      </c>
      <c r="AH1379">
        <f>VLOOKUP(A1379,'Employee Engagement Survey'!A1367:E2836,5,FALSE)</f>
        <v>3</v>
      </c>
      <c r="AI1379">
        <f t="shared" si="112"/>
        <v>2.5</v>
      </c>
    </row>
    <row r="1380" spans="1:35" hidden="1" x14ac:dyDescent="0.4">
      <c r="A1380">
        <v>1932</v>
      </c>
      <c r="B1380" t="s">
        <v>34</v>
      </c>
      <c r="C1380">
        <f t="shared" si="110"/>
        <v>1</v>
      </c>
      <c r="D1380" t="s">
        <v>27</v>
      </c>
      <c r="E1380">
        <f t="shared" si="111"/>
        <v>0</v>
      </c>
      <c r="F1380" t="s">
        <v>28</v>
      </c>
      <c r="G1380">
        <v>7</v>
      </c>
      <c r="H1380" s="1">
        <v>80964</v>
      </c>
      <c r="I1380" s="10">
        <v>0.15</v>
      </c>
      <c r="J1380">
        <v>37.5</v>
      </c>
      <c r="K1380" t="s">
        <v>26</v>
      </c>
      <c r="L1380">
        <v>34</v>
      </c>
      <c r="M1380" t="s">
        <v>29</v>
      </c>
      <c r="N1380" t="s">
        <v>42</v>
      </c>
      <c r="O1380" t="s">
        <v>44</v>
      </c>
      <c r="P1380">
        <v>22</v>
      </c>
      <c r="Q1380" t="s">
        <v>51</v>
      </c>
      <c r="R1380" t="s">
        <v>53</v>
      </c>
      <c r="S1380">
        <v>3</v>
      </c>
      <c r="T1380">
        <v>0</v>
      </c>
      <c r="U1380">
        <v>16</v>
      </c>
      <c r="V1380">
        <v>3</v>
      </c>
      <c r="W1380">
        <v>15</v>
      </c>
      <c r="X1380">
        <v>10</v>
      </c>
      <c r="Y1380">
        <v>6</v>
      </c>
      <c r="Z1380">
        <v>11</v>
      </c>
      <c r="AA1380" t="str">
        <f t="shared" si="113"/>
        <v>Long Tenure</v>
      </c>
      <c r="AB1380" s="5">
        <v>45006</v>
      </c>
      <c r="AC1380">
        <f t="shared" si="114"/>
        <v>0</v>
      </c>
      <c r="AD1380" t="s">
        <v>38</v>
      </c>
      <c r="AE1380">
        <f>VLOOKUP(A1380,'Employee Engagement Survey'!A1368:B2837,2,FALSE)</f>
        <v>3</v>
      </c>
      <c r="AF1380">
        <f>VLOOKUP(A1380,'Employee Engagement Survey'!A1368:C2837,3,FALSE)</f>
        <v>4</v>
      </c>
      <c r="AG1380">
        <f>VLOOKUP(A1380,'Employee Engagement Survey'!A1368:D2837,4,FALSE)</f>
        <v>2</v>
      </c>
      <c r="AH1380">
        <f>VLOOKUP(A1380,'Employee Engagement Survey'!A1368:E2837,5,FALSE)</f>
        <v>3</v>
      </c>
      <c r="AI1380">
        <f t="shared" si="112"/>
        <v>3</v>
      </c>
    </row>
    <row r="1381" spans="1:35" hidden="1" x14ac:dyDescent="0.4">
      <c r="A1381">
        <v>597</v>
      </c>
      <c r="B1381" t="s">
        <v>34</v>
      </c>
      <c r="C1381">
        <f t="shared" si="110"/>
        <v>1</v>
      </c>
      <c r="D1381" t="s">
        <v>110</v>
      </c>
      <c r="E1381">
        <f t="shared" si="111"/>
        <v>1</v>
      </c>
      <c r="F1381" t="s">
        <v>40</v>
      </c>
      <c r="G1381">
        <v>4</v>
      </c>
      <c r="H1381" s="1">
        <v>214020</v>
      </c>
      <c r="I1381" s="10">
        <v>0.23</v>
      </c>
      <c r="J1381">
        <v>37.5</v>
      </c>
      <c r="K1381" t="s">
        <v>34</v>
      </c>
      <c r="L1381">
        <v>55</v>
      </c>
      <c r="M1381" t="s">
        <v>47</v>
      </c>
      <c r="N1381" t="s">
        <v>30</v>
      </c>
      <c r="O1381" t="s">
        <v>31</v>
      </c>
      <c r="P1381">
        <v>18</v>
      </c>
      <c r="Q1381" t="s">
        <v>58</v>
      </c>
      <c r="R1381" t="s">
        <v>37</v>
      </c>
      <c r="S1381">
        <v>4</v>
      </c>
      <c r="T1381">
        <v>0</v>
      </c>
      <c r="U1381">
        <v>37</v>
      </c>
      <c r="V1381">
        <v>2</v>
      </c>
      <c r="W1381">
        <v>10</v>
      </c>
      <c r="X1381">
        <v>9</v>
      </c>
      <c r="Y1381">
        <v>7</v>
      </c>
      <c r="Z1381">
        <v>7</v>
      </c>
      <c r="AA1381" t="str">
        <f t="shared" si="113"/>
        <v>Long Tenure</v>
      </c>
      <c r="AB1381" s="5">
        <v>45885</v>
      </c>
      <c r="AC1381">
        <f t="shared" si="114"/>
        <v>1</v>
      </c>
      <c r="AD1381" t="s">
        <v>38</v>
      </c>
      <c r="AE1381">
        <f>VLOOKUP(A1381,'Employee Engagement Survey'!A1369:B2838,2,FALSE)</f>
        <v>1</v>
      </c>
      <c r="AF1381">
        <f>VLOOKUP(A1381,'Employee Engagement Survey'!A1369:C2838,3,FALSE)</f>
        <v>2</v>
      </c>
      <c r="AG1381">
        <f>VLOOKUP(A1381,'Employee Engagement Survey'!A1369:D2838,4,FALSE)</f>
        <v>4</v>
      </c>
      <c r="AH1381">
        <f>VLOOKUP(A1381,'Employee Engagement Survey'!A1369:E2838,5,FALSE)</f>
        <v>3</v>
      </c>
      <c r="AI1381">
        <f t="shared" si="112"/>
        <v>2.5</v>
      </c>
    </row>
    <row r="1382" spans="1:35" hidden="1" x14ac:dyDescent="0.4">
      <c r="A1382">
        <v>1934</v>
      </c>
      <c r="B1382" t="s">
        <v>34</v>
      </c>
      <c r="C1382">
        <f t="shared" si="110"/>
        <v>1</v>
      </c>
      <c r="D1382" t="s">
        <v>27</v>
      </c>
      <c r="E1382">
        <f t="shared" si="111"/>
        <v>0</v>
      </c>
      <c r="F1382" t="s">
        <v>28</v>
      </c>
      <c r="G1382">
        <v>7</v>
      </c>
      <c r="H1382" s="1">
        <v>77604</v>
      </c>
      <c r="I1382" s="10">
        <v>0.18</v>
      </c>
      <c r="J1382">
        <v>37.5</v>
      </c>
      <c r="K1382" t="s">
        <v>34</v>
      </c>
      <c r="L1382">
        <v>47</v>
      </c>
      <c r="M1382" t="s">
        <v>29</v>
      </c>
      <c r="N1382" t="s">
        <v>42</v>
      </c>
      <c r="O1382" t="s">
        <v>35</v>
      </c>
      <c r="P1382">
        <v>14</v>
      </c>
      <c r="Q1382" t="s">
        <v>51</v>
      </c>
      <c r="R1382" t="s">
        <v>45</v>
      </c>
      <c r="S1382">
        <v>3</v>
      </c>
      <c r="T1382">
        <v>1</v>
      </c>
      <c r="U1382">
        <v>16</v>
      </c>
      <c r="V1382">
        <v>4</v>
      </c>
      <c r="W1382">
        <v>8</v>
      </c>
      <c r="X1382">
        <v>7</v>
      </c>
      <c r="Y1382">
        <v>1</v>
      </c>
      <c r="Z1382">
        <v>7</v>
      </c>
      <c r="AA1382" t="str">
        <f t="shared" si="113"/>
        <v>Mid Tenure</v>
      </c>
      <c r="AB1382" s="5">
        <v>45791</v>
      </c>
      <c r="AC1382">
        <f t="shared" si="114"/>
        <v>1</v>
      </c>
      <c r="AD1382" t="s">
        <v>38</v>
      </c>
      <c r="AE1382">
        <f>VLOOKUP(A1382,'Employee Engagement Survey'!A1370:B2839,2,FALSE)</f>
        <v>3</v>
      </c>
      <c r="AF1382">
        <f>VLOOKUP(A1382,'Employee Engagement Survey'!A1370:C2839,3,FALSE)</f>
        <v>2</v>
      </c>
      <c r="AG1382">
        <f>VLOOKUP(A1382,'Employee Engagement Survey'!A1370:D2839,4,FALSE)</f>
        <v>3</v>
      </c>
      <c r="AH1382">
        <f>VLOOKUP(A1382,'Employee Engagement Survey'!A1370:E2839,5,FALSE)</f>
        <v>4</v>
      </c>
      <c r="AI1382">
        <f t="shared" si="112"/>
        <v>3</v>
      </c>
    </row>
    <row r="1383" spans="1:35" hidden="1" x14ac:dyDescent="0.4">
      <c r="A1383">
        <v>363</v>
      </c>
      <c r="B1383" t="s">
        <v>34</v>
      </c>
      <c r="C1383">
        <f t="shared" si="110"/>
        <v>1</v>
      </c>
      <c r="D1383" t="s">
        <v>110</v>
      </c>
      <c r="E1383">
        <f t="shared" si="111"/>
        <v>1</v>
      </c>
      <c r="F1383" t="s">
        <v>40</v>
      </c>
      <c r="G1383">
        <v>4</v>
      </c>
      <c r="H1383" s="1">
        <v>214464</v>
      </c>
      <c r="I1383" s="10">
        <v>0.12</v>
      </c>
      <c r="J1383">
        <v>37.5</v>
      </c>
      <c r="K1383" t="s">
        <v>26</v>
      </c>
      <c r="L1383">
        <v>46</v>
      </c>
      <c r="M1383" t="s">
        <v>47</v>
      </c>
      <c r="N1383" t="s">
        <v>42</v>
      </c>
      <c r="O1383" t="s">
        <v>31</v>
      </c>
      <c r="P1383">
        <v>2</v>
      </c>
      <c r="Q1383" t="s">
        <v>43</v>
      </c>
      <c r="R1383" t="s">
        <v>45</v>
      </c>
      <c r="S1383">
        <v>3</v>
      </c>
      <c r="T1383">
        <v>1</v>
      </c>
      <c r="U1383">
        <v>28</v>
      </c>
      <c r="V1383">
        <v>2</v>
      </c>
      <c r="W1383">
        <v>7</v>
      </c>
      <c r="X1383">
        <v>7</v>
      </c>
      <c r="Y1383">
        <v>7</v>
      </c>
      <c r="Z1383">
        <v>7</v>
      </c>
      <c r="AA1383" t="str">
        <f t="shared" si="113"/>
        <v>Mid Tenure</v>
      </c>
      <c r="AB1383" s="5">
        <v>45251</v>
      </c>
      <c r="AC1383">
        <f t="shared" si="114"/>
        <v>0</v>
      </c>
      <c r="AD1383" t="s">
        <v>38</v>
      </c>
      <c r="AE1383">
        <f>VLOOKUP(A1383,'Employee Engagement Survey'!A1371:B2840,2,FALSE)</f>
        <v>3</v>
      </c>
      <c r="AF1383">
        <f>VLOOKUP(A1383,'Employee Engagement Survey'!A1371:C2840,3,FALSE)</f>
        <v>2</v>
      </c>
      <c r="AG1383">
        <f>VLOOKUP(A1383,'Employee Engagement Survey'!A1371:D2840,4,FALSE)</f>
        <v>2</v>
      </c>
      <c r="AH1383">
        <f>VLOOKUP(A1383,'Employee Engagement Survey'!A1371:E2840,5,FALSE)</f>
        <v>2</v>
      </c>
      <c r="AI1383">
        <f t="shared" si="112"/>
        <v>2.25</v>
      </c>
    </row>
    <row r="1384" spans="1:35" hidden="1" x14ac:dyDescent="0.4">
      <c r="A1384">
        <v>1317</v>
      </c>
      <c r="B1384" t="s">
        <v>34</v>
      </c>
      <c r="C1384">
        <f t="shared" si="110"/>
        <v>1</v>
      </c>
      <c r="D1384" t="s">
        <v>60</v>
      </c>
      <c r="E1384">
        <f t="shared" si="111"/>
        <v>1</v>
      </c>
      <c r="F1384" t="s">
        <v>28</v>
      </c>
      <c r="G1384">
        <v>4</v>
      </c>
      <c r="H1384" s="1">
        <v>214560</v>
      </c>
      <c r="I1384" s="10">
        <v>0.11</v>
      </c>
      <c r="J1384">
        <v>37.5</v>
      </c>
      <c r="K1384" t="s">
        <v>26</v>
      </c>
      <c r="L1384">
        <v>50</v>
      </c>
      <c r="M1384" t="s">
        <v>47</v>
      </c>
      <c r="N1384" t="s">
        <v>42</v>
      </c>
      <c r="O1384" t="s">
        <v>31</v>
      </c>
      <c r="P1384">
        <v>28</v>
      </c>
      <c r="Q1384" t="s">
        <v>43</v>
      </c>
      <c r="R1384" t="s">
        <v>37</v>
      </c>
      <c r="S1384">
        <v>3</v>
      </c>
      <c r="T1384">
        <v>0</v>
      </c>
      <c r="U1384">
        <v>25</v>
      </c>
      <c r="V1384">
        <v>2</v>
      </c>
      <c r="W1384">
        <v>3</v>
      </c>
      <c r="X1384">
        <v>2</v>
      </c>
      <c r="Y1384">
        <v>1</v>
      </c>
      <c r="Z1384">
        <v>2</v>
      </c>
      <c r="AA1384" t="str">
        <f t="shared" si="113"/>
        <v>Mid Tenure</v>
      </c>
      <c r="AB1384" s="5">
        <v>45631</v>
      </c>
      <c r="AC1384">
        <f t="shared" si="114"/>
        <v>1</v>
      </c>
      <c r="AD1384" t="s">
        <v>38</v>
      </c>
      <c r="AE1384">
        <f>VLOOKUP(A1384,'Employee Engagement Survey'!A1372:B2841,2,FALSE)</f>
        <v>4</v>
      </c>
      <c r="AF1384">
        <f>VLOOKUP(A1384,'Employee Engagement Survey'!A1372:C2841,3,FALSE)</f>
        <v>1</v>
      </c>
      <c r="AG1384">
        <f>VLOOKUP(A1384,'Employee Engagement Survey'!A1372:D2841,4,FALSE)</f>
        <v>2</v>
      </c>
      <c r="AH1384">
        <f>VLOOKUP(A1384,'Employee Engagement Survey'!A1372:E2841,5,FALSE)</f>
        <v>3</v>
      </c>
      <c r="AI1384">
        <f t="shared" si="112"/>
        <v>2.5</v>
      </c>
    </row>
    <row r="1385" spans="1:35" hidden="1" x14ac:dyDescent="0.4">
      <c r="A1385">
        <v>1936</v>
      </c>
      <c r="B1385" t="s">
        <v>34</v>
      </c>
      <c r="C1385">
        <f t="shared" si="110"/>
        <v>1</v>
      </c>
      <c r="D1385" t="s">
        <v>54</v>
      </c>
      <c r="E1385">
        <f t="shared" si="111"/>
        <v>1</v>
      </c>
      <c r="F1385" t="s">
        <v>28</v>
      </c>
      <c r="G1385">
        <v>7</v>
      </c>
      <c r="H1385" s="1">
        <v>73812</v>
      </c>
      <c r="I1385" s="10">
        <v>0.25</v>
      </c>
      <c r="J1385">
        <v>37.5</v>
      </c>
      <c r="K1385" t="s">
        <v>34</v>
      </c>
      <c r="L1385">
        <v>39</v>
      </c>
      <c r="M1385" t="s">
        <v>29</v>
      </c>
      <c r="N1385" t="s">
        <v>42</v>
      </c>
      <c r="O1385" t="s">
        <v>31</v>
      </c>
      <c r="P1385">
        <v>9</v>
      </c>
      <c r="Q1385" t="s">
        <v>36</v>
      </c>
      <c r="R1385" t="s">
        <v>33</v>
      </c>
      <c r="S1385">
        <v>4</v>
      </c>
      <c r="T1385">
        <v>1</v>
      </c>
      <c r="U1385">
        <v>10</v>
      </c>
      <c r="V1385">
        <v>3</v>
      </c>
      <c r="W1385">
        <v>10</v>
      </c>
      <c r="X1385">
        <v>0</v>
      </c>
      <c r="Y1385">
        <v>7</v>
      </c>
      <c r="Z1385">
        <v>9</v>
      </c>
      <c r="AA1385" t="str">
        <f t="shared" si="113"/>
        <v>Long Tenure</v>
      </c>
      <c r="AB1385" s="5">
        <v>44763</v>
      </c>
      <c r="AC1385">
        <f t="shared" si="114"/>
        <v>0</v>
      </c>
      <c r="AD1385" t="s">
        <v>49</v>
      </c>
      <c r="AE1385">
        <f>VLOOKUP(A1385,'Employee Engagement Survey'!A1373:B2842,2,FALSE)</f>
        <v>1</v>
      </c>
      <c r="AF1385">
        <f>VLOOKUP(A1385,'Employee Engagement Survey'!A1373:C2842,3,FALSE)</f>
        <v>1</v>
      </c>
      <c r="AG1385">
        <f>VLOOKUP(A1385,'Employee Engagement Survey'!A1373:D2842,4,FALSE)</f>
        <v>4</v>
      </c>
      <c r="AH1385">
        <f>VLOOKUP(A1385,'Employee Engagement Survey'!A1373:E2842,5,FALSE)</f>
        <v>3</v>
      </c>
      <c r="AI1385">
        <f t="shared" si="112"/>
        <v>2.25</v>
      </c>
    </row>
    <row r="1386" spans="1:35" hidden="1" x14ac:dyDescent="0.4">
      <c r="A1386">
        <v>1940</v>
      </c>
      <c r="B1386" t="s">
        <v>34</v>
      </c>
      <c r="C1386">
        <f t="shared" si="110"/>
        <v>1</v>
      </c>
      <c r="D1386" t="s">
        <v>27</v>
      </c>
      <c r="E1386">
        <f t="shared" si="111"/>
        <v>0</v>
      </c>
      <c r="F1386" t="s">
        <v>28</v>
      </c>
      <c r="G1386">
        <v>6</v>
      </c>
      <c r="H1386" s="1">
        <v>69252</v>
      </c>
      <c r="I1386" s="10">
        <v>0.19</v>
      </c>
      <c r="J1386">
        <v>37.5</v>
      </c>
      <c r="K1386" t="s">
        <v>34</v>
      </c>
      <c r="L1386">
        <v>38</v>
      </c>
      <c r="M1386" t="s">
        <v>29</v>
      </c>
      <c r="N1386" t="s">
        <v>48</v>
      </c>
      <c r="O1386" t="s">
        <v>31</v>
      </c>
      <c r="P1386">
        <v>9</v>
      </c>
      <c r="Q1386" t="s">
        <v>36</v>
      </c>
      <c r="R1386" t="s">
        <v>37</v>
      </c>
      <c r="S1386">
        <v>3</v>
      </c>
      <c r="T1386">
        <v>2</v>
      </c>
      <c r="U1386">
        <v>10</v>
      </c>
      <c r="V1386">
        <v>0</v>
      </c>
      <c r="W1386">
        <v>5</v>
      </c>
      <c r="X1386">
        <v>2</v>
      </c>
      <c r="Y1386">
        <v>0</v>
      </c>
      <c r="Z1386">
        <v>3</v>
      </c>
      <c r="AA1386" t="str">
        <f t="shared" si="113"/>
        <v>Mid Tenure</v>
      </c>
      <c r="AB1386" s="5">
        <v>45985</v>
      </c>
      <c r="AC1386">
        <f t="shared" si="114"/>
        <v>1</v>
      </c>
      <c r="AD1386" t="s">
        <v>49</v>
      </c>
      <c r="AE1386">
        <f>VLOOKUP(A1386,'Employee Engagement Survey'!A1374:B2843,2,FALSE)</f>
        <v>2</v>
      </c>
      <c r="AF1386">
        <f>VLOOKUP(A1386,'Employee Engagement Survey'!A1374:C2843,3,FALSE)</f>
        <v>4</v>
      </c>
      <c r="AG1386">
        <f>VLOOKUP(A1386,'Employee Engagement Survey'!A1374:D2843,4,FALSE)</f>
        <v>4</v>
      </c>
      <c r="AH1386">
        <f>VLOOKUP(A1386,'Employee Engagement Survey'!A1374:E2843,5,FALSE)</f>
        <v>4</v>
      </c>
      <c r="AI1386">
        <f t="shared" si="112"/>
        <v>3.5</v>
      </c>
    </row>
    <row r="1387" spans="1:35" hidden="1" x14ac:dyDescent="0.4">
      <c r="A1387">
        <v>1941</v>
      </c>
      <c r="B1387" t="s">
        <v>34</v>
      </c>
      <c r="C1387">
        <f t="shared" si="110"/>
        <v>1</v>
      </c>
      <c r="D1387" t="s">
        <v>60</v>
      </c>
      <c r="E1387">
        <f t="shared" si="111"/>
        <v>1</v>
      </c>
      <c r="F1387" t="s">
        <v>28</v>
      </c>
      <c r="G1387">
        <v>5</v>
      </c>
      <c r="H1387" s="1">
        <v>241932</v>
      </c>
      <c r="I1387" s="10">
        <v>0.15</v>
      </c>
      <c r="J1387">
        <v>37.5</v>
      </c>
      <c r="K1387" t="s">
        <v>34</v>
      </c>
      <c r="L1387">
        <v>49</v>
      </c>
      <c r="M1387" t="s">
        <v>29</v>
      </c>
      <c r="N1387" t="s">
        <v>42</v>
      </c>
      <c r="O1387" t="s">
        <v>44</v>
      </c>
      <c r="P1387">
        <v>2</v>
      </c>
      <c r="Q1387" t="s">
        <v>32</v>
      </c>
      <c r="R1387" t="s">
        <v>37</v>
      </c>
      <c r="S1387">
        <v>3</v>
      </c>
      <c r="T1387">
        <v>0</v>
      </c>
      <c r="U1387">
        <v>28</v>
      </c>
      <c r="V1387">
        <v>3</v>
      </c>
      <c r="W1387">
        <v>5</v>
      </c>
      <c r="X1387">
        <v>4</v>
      </c>
      <c r="Y1387">
        <v>4</v>
      </c>
      <c r="Z1387">
        <v>3</v>
      </c>
      <c r="AA1387" t="str">
        <f t="shared" si="113"/>
        <v>Mid Tenure</v>
      </c>
      <c r="AB1387" s="5">
        <v>45929</v>
      </c>
      <c r="AC1387">
        <f t="shared" si="114"/>
        <v>1</v>
      </c>
      <c r="AD1387" t="s">
        <v>49</v>
      </c>
      <c r="AE1387">
        <f>VLOOKUP(A1387,'Employee Engagement Survey'!A1375:B2844,2,FALSE)</f>
        <v>2</v>
      </c>
      <c r="AF1387">
        <f>VLOOKUP(A1387,'Employee Engagement Survey'!A1375:C2844,3,FALSE)</f>
        <v>4</v>
      </c>
      <c r="AG1387">
        <f>VLOOKUP(A1387,'Employee Engagement Survey'!A1375:D2844,4,FALSE)</f>
        <v>4</v>
      </c>
      <c r="AH1387">
        <f>VLOOKUP(A1387,'Employee Engagement Survey'!A1375:E2844,5,FALSE)</f>
        <v>3</v>
      </c>
      <c r="AI1387">
        <f t="shared" si="112"/>
        <v>3.25</v>
      </c>
    </row>
    <row r="1388" spans="1:35" hidden="1" x14ac:dyDescent="0.4">
      <c r="A1388">
        <v>1943</v>
      </c>
      <c r="B1388" t="s">
        <v>34</v>
      </c>
      <c r="C1388">
        <f t="shared" si="110"/>
        <v>1</v>
      </c>
      <c r="D1388" t="s">
        <v>57</v>
      </c>
      <c r="E1388">
        <f t="shared" si="111"/>
        <v>0</v>
      </c>
      <c r="F1388" t="s">
        <v>40</v>
      </c>
      <c r="G1388">
        <v>7</v>
      </c>
      <c r="H1388" s="1">
        <v>73044</v>
      </c>
      <c r="I1388" s="10">
        <v>0.12</v>
      </c>
      <c r="J1388">
        <v>37.5</v>
      </c>
      <c r="K1388" t="s">
        <v>26</v>
      </c>
      <c r="L1388">
        <v>42</v>
      </c>
      <c r="M1388" t="s">
        <v>29</v>
      </c>
      <c r="N1388" t="s">
        <v>48</v>
      </c>
      <c r="O1388" t="s">
        <v>31</v>
      </c>
      <c r="P1388">
        <v>12</v>
      </c>
      <c r="Q1388" t="s">
        <v>51</v>
      </c>
      <c r="R1388" t="s">
        <v>56</v>
      </c>
      <c r="S1388">
        <v>3</v>
      </c>
      <c r="T1388">
        <v>2</v>
      </c>
      <c r="U1388">
        <v>14</v>
      </c>
      <c r="V1388">
        <v>4</v>
      </c>
      <c r="W1388">
        <v>0</v>
      </c>
      <c r="X1388">
        <v>0</v>
      </c>
      <c r="Y1388">
        <v>0</v>
      </c>
      <c r="Z1388">
        <v>0</v>
      </c>
      <c r="AA1388" t="str">
        <f t="shared" si="113"/>
        <v>Early Tenure</v>
      </c>
      <c r="AB1388" s="5">
        <v>45001</v>
      </c>
      <c r="AC1388">
        <f t="shared" si="114"/>
        <v>0</v>
      </c>
      <c r="AD1388" t="s">
        <v>38</v>
      </c>
      <c r="AE1388">
        <f>VLOOKUP(A1388,'Employee Engagement Survey'!A1376:B2845,2,FALSE)</f>
        <v>2</v>
      </c>
      <c r="AF1388">
        <f>VLOOKUP(A1388,'Employee Engagement Survey'!A1376:C2845,3,FALSE)</f>
        <v>4</v>
      </c>
      <c r="AG1388">
        <f>VLOOKUP(A1388,'Employee Engagement Survey'!A1376:D2845,4,FALSE)</f>
        <v>3</v>
      </c>
      <c r="AH1388">
        <f>VLOOKUP(A1388,'Employee Engagement Survey'!A1376:E2845,5,FALSE)</f>
        <v>3</v>
      </c>
      <c r="AI1388">
        <f t="shared" si="112"/>
        <v>3</v>
      </c>
    </row>
    <row r="1389" spans="1:35" hidden="1" x14ac:dyDescent="0.4">
      <c r="A1389">
        <v>1204</v>
      </c>
      <c r="B1389" t="s">
        <v>34</v>
      </c>
      <c r="C1389">
        <f t="shared" si="110"/>
        <v>1</v>
      </c>
      <c r="D1389" t="s">
        <v>110</v>
      </c>
      <c r="E1389">
        <f t="shared" si="111"/>
        <v>1</v>
      </c>
      <c r="F1389" t="s">
        <v>40</v>
      </c>
      <c r="G1389">
        <v>4</v>
      </c>
      <c r="H1389" s="1">
        <v>216576</v>
      </c>
      <c r="I1389" s="10">
        <v>0.23</v>
      </c>
      <c r="J1389">
        <v>37.5</v>
      </c>
      <c r="K1389" t="s">
        <v>34</v>
      </c>
      <c r="L1389">
        <v>46</v>
      </c>
      <c r="M1389" t="s">
        <v>47</v>
      </c>
      <c r="N1389" t="s">
        <v>42</v>
      </c>
      <c r="O1389" t="s">
        <v>31</v>
      </c>
      <c r="P1389">
        <v>2</v>
      </c>
      <c r="Q1389" t="s">
        <v>43</v>
      </c>
      <c r="R1389" t="s">
        <v>56</v>
      </c>
      <c r="S1389">
        <v>4</v>
      </c>
      <c r="T1389">
        <v>0</v>
      </c>
      <c r="U1389">
        <v>28</v>
      </c>
      <c r="V1389">
        <v>2</v>
      </c>
      <c r="W1389">
        <v>26</v>
      </c>
      <c r="X1389">
        <v>15</v>
      </c>
      <c r="Y1389">
        <v>15</v>
      </c>
      <c r="Z1389">
        <v>9</v>
      </c>
      <c r="AA1389" t="str">
        <f t="shared" si="113"/>
        <v>Long Tenure</v>
      </c>
      <c r="AB1389" s="5">
        <v>46015</v>
      </c>
      <c r="AC1389">
        <f t="shared" si="114"/>
        <v>1</v>
      </c>
      <c r="AD1389" t="s">
        <v>49</v>
      </c>
      <c r="AE1389">
        <f>VLOOKUP(A1389,'Employee Engagement Survey'!A1377:B2846,2,FALSE)</f>
        <v>3</v>
      </c>
      <c r="AF1389">
        <f>VLOOKUP(A1389,'Employee Engagement Survey'!A1377:C2846,3,FALSE)</f>
        <v>1</v>
      </c>
      <c r="AG1389">
        <f>VLOOKUP(A1389,'Employee Engagement Survey'!A1377:D2846,4,FALSE)</f>
        <v>1</v>
      </c>
      <c r="AH1389">
        <f>VLOOKUP(A1389,'Employee Engagement Survey'!A1377:E2846,5,FALSE)</f>
        <v>3</v>
      </c>
      <c r="AI1389">
        <f t="shared" si="112"/>
        <v>2</v>
      </c>
    </row>
    <row r="1390" spans="1:35" hidden="1" x14ac:dyDescent="0.4">
      <c r="A1390">
        <v>1945</v>
      </c>
      <c r="B1390" t="s">
        <v>34</v>
      </c>
      <c r="C1390">
        <f t="shared" si="110"/>
        <v>1</v>
      </c>
      <c r="D1390" t="s">
        <v>57</v>
      </c>
      <c r="E1390">
        <f t="shared" si="111"/>
        <v>0</v>
      </c>
      <c r="F1390" t="s">
        <v>40</v>
      </c>
      <c r="G1390">
        <v>7</v>
      </c>
      <c r="H1390" s="1">
        <v>78732</v>
      </c>
      <c r="I1390" s="10">
        <v>0.16</v>
      </c>
      <c r="J1390">
        <v>37.5</v>
      </c>
      <c r="K1390" t="s">
        <v>34</v>
      </c>
      <c r="L1390">
        <v>35</v>
      </c>
      <c r="M1390" t="s">
        <v>29</v>
      </c>
      <c r="N1390" t="s">
        <v>42</v>
      </c>
      <c r="O1390" t="s">
        <v>31</v>
      </c>
      <c r="P1390">
        <v>18</v>
      </c>
      <c r="Q1390" t="s">
        <v>51</v>
      </c>
      <c r="R1390" t="s">
        <v>33</v>
      </c>
      <c r="S1390">
        <v>3</v>
      </c>
      <c r="T1390">
        <v>1</v>
      </c>
      <c r="U1390">
        <v>6</v>
      </c>
      <c r="V1390">
        <v>2</v>
      </c>
      <c r="W1390">
        <v>5</v>
      </c>
      <c r="X1390">
        <v>3</v>
      </c>
      <c r="Y1390">
        <v>0</v>
      </c>
      <c r="Z1390">
        <v>4</v>
      </c>
      <c r="AA1390" t="str">
        <f t="shared" si="113"/>
        <v>Mid Tenure</v>
      </c>
      <c r="AB1390" s="5">
        <v>45227</v>
      </c>
      <c r="AC1390">
        <f t="shared" si="114"/>
        <v>0</v>
      </c>
      <c r="AD1390" t="s">
        <v>49</v>
      </c>
      <c r="AE1390">
        <f>VLOOKUP(A1390,'Employee Engagement Survey'!A1378:B2847,2,FALSE)</f>
        <v>2</v>
      </c>
      <c r="AF1390">
        <f>VLOOKUP(A1390,'Employee Engagement Survey'!A1378:C2847,3,FALSE)</f>
        <v>1</v>
      </c>
      <c r="AG1390">
        <f>VLOOKUP(A1390,'Employee Engagement Survey'!A1378:D2847,4,FALSE)</f>
        <v>4</v>
      </c>
      <c r="AH1390">
        <f>VLOOKUP(A1390,'Employee Engagement Survey'!A1378:E2847,5,FALSE)</f>
        <v>1</v>
      </c>
      <c r="AI1390">
        <f t="shared" si="112"/>
        <v>2</v>
      </c>
    </row>
    <row r="1391" spans="1:35" hidden="1" x14ac:dyDescent="0.4">
      <c r="A1391">
        <v>1947</v>
      </c>
      <c r="B1391" t="s">
        <v>34</v>
      </c>
      <c r="C1391">
        <f t="shared" si="110"/>
        <v>1</v>
      </c>
      <c r="D1391" t="s">
        <v>27</v>
      </c>
      <c r="E1391">
        <f t="shared" si="111"/>
        <v>0</v>
      </c>
      <c r="F1391" t="s">
        <v>28</v>
      </c>
      <c r="G1391">
        <v>3</v>
      </c>
      <c r="H1391" s="1">
        <v>49728</v>
      </c>
      <c r="I1391" s="10">
        <v>0.14000000000000001</v>
      </c>
      <c r="J1391">
        <v>37.5</v>
      </c>
      <c r="K1391" t="s">
        <v>34</v>
      </c>
      <c r="L1391">
        <v>28</v>
      </c>
      <c r="M1391" t="s">
        <v>29</v>
      </c>
      <c r="N1391" t="s">
        <v>30</v>
      </c>
      <c r="O1391" t="s">
        <v>35</v>
      </c>
      <c r="P1391">
        <v>16</v>
      </c>
      <c r="Q1391" t="s">
        <v>43</v>
      </c>
      <c r="R1391" t="s">
        <v>33</v>
      </c>
      <c r="S1391">
        <v>3</v>
      </c>
      <c r="T1391">
        <v>0</v>
      </c>
      <c r="U1391">
        <v>5</v>
      </c>
      <c r="V1391">
        <v>3</v>
      </c>
      <c r="W1391">
        <v>5</v>
      </c>
      <c r="X1391">
        <v>3</v>
      </c>
      <c r="Y1391">
        <v>1</v>
      </c>
      <c r="Z1391">
        <v>4</v>
      </c>
      <c r="AA1391" t="str">
        <f t="shared" si="113"/>
        <v>Mid Tenure</v>
      </c>
      <c r="AB1391" s="5">
        <v>45891</v>
      </c>
      <c r="AC1391">
        <f t="shared" si="114"/>
        <v>1</v>
      </c>
      <c r="AD1391" t="s">
        <v>49</v>
      </c>
      <c r="AE1391">
        <f>VLOOKUP(A1391,'Employee Engagement Survey'!A1379:B2848,2,FALSE)</f>
        <v>3</v>
      </c>
      <c r="AF1391">
        <f>VLOOKUP(A1391,'Employee Engagement Survey'!A1379:C2848,3,FALSE)</f>
        <v>3</v>
      </c>
      <c r="AG1391">
        <f>VLOOKUP(A1391,'Employee Engagement Survey'!A1379:D2848,4,FALSE)</f>
        <v>3</v>
      </c>
      <c r="AH1391">
        <f>VLOOKUP(A1391,'Employee Engagement Survey'!A1379:E2848,5,FALSE)</f>
        <v>2</v>
      </c>
      <c r="AI1391">
        <f t="shared" si="112"/>
        <v>2.75</v>
      </c>
    </row>
    <row r="1392" spans="1:35" hidden="1" x14ac:dyDescent="0.4">
      <c r="A1392">
        <v>1307</v>
      </c>
      <c r="B1392" t="s">
        <v>34</v>
      </c>
      <c r="C1392">
        <f t="shared" si="110"/>
        <v>1</v>
      </c>
      <c r="D1392" t="s">
        <v>109</v>
      </c>
      <c r="E1392">
        <f t="shared" si="111"/>
        <v>1</v>
      </c>
      <c r="F1392" t="s">
        <v>28</v>
      </c>
      <c r="G1392">
        <v>4</v>
      </c>
      <c r="H1392" s="1">
        <v>217476</v>
      </c>
      <c r="I1392" s="10">
        <v>0.13</v>
      </c>
      <c r="J1392">
        <v>37.5</v>
      </c>
      <c r="K1392" t="s">
        <v>26</v>
      </c>
      <c r="L1392">
        <v>39</v>
      </c>
      <c r="M1392" t="s">
        <v>47</v>
      </c>
      <c r="N1392" t="s">
        <v>48</v>
      </c>
      <c r="O1392" t="s">
        <v>31</v>
      </c>
      <c r="P1392">
        <v>13</v>
      </c>
      <c r="Q1392" t="s">
        <v>51</v>
      </c>
      <c r="R1392" t="s">
        <v>33</v>
      </c>
      <c r="S1392">
        <v>3</v>
      </c>
      <c r="T1392">
        <v>2</v>
      </c>
      <c r="U1392">
        <v>21</v>
      </c>
      <c r="V1392">
        <v>4</v>
      </c>
      <c r="W1392">
        <v>19</v>
      </c>
      <c r="X1392">
        <v>9</v>
      </c>
      <c r="Y1392">
        <v>15</v>
      </c>
      <c r="Z1392">
        <v>2</v>
      </c>
      <c r="AA1392" t="str">
        <f t="shared" si="113"/>
        <v>Long Tenure</v>
      </c>
      <c r="AB1392" s="5">
        <v>44917</v>
      </c>
      <c r="AC1392">
        <f t="shared" si="114"/>
        <v>0</v>
      </c>
      <c r="AD1392" t="s">
        <v>49</v>
      </c>
      <c r="AE1392">
        <f>VLOOKUP(A1392,'Employee Engagement Survey'!A1380:B2849,2,FALSE)</f>
        <v>3</v>
      </c>
      <c r="AF1392">
        <f>VLOOKUP(A1392,'Employee Engagement Survey'!A1380:C2849,3,FALSE)</f>
        <v>2</v>
      </c>
      <c r="AG1392">
        <f>VLOOKUP(A1392,'Employee Engagement Survey'!A1380:D2849,4,FALSE)</f>
        <v>4</v>
      </c>
      <c r="AH1392">
        <f>VLOOKUP(A1392,'Employee Engagement Survey'!A1380:E2849,5,FALSE)</f>
        <v>3</v>
      </c>
      <c r="AI1392">
        <f t="shared" si="112"/>
        <v>3</v>
      </c>
    </row>
    <row r="1393" spans="1:35" hidden="1" x14ac:dyDescent="0.4">
      <c r="A1393">
        <v>1948</v>
      </c>
      <c r="B1393" t="s">
        <v>34</v>
      </c>
      <c r="C1393">
        <f t="shared" si="110"/>
        <v>1</v>
      </c>
      <c r="D1393" t="s">
        <v>27</v>
      </c>
      <c r="E1393">
        <f t="shared" si="111"/>
        <v>0</v>
      </c>
      <c r="F1393" t="s">
        <v>28</v>
      </c>
      <c r="G1393">
        <v>6</v>
      </c>
      <c r="H1393" s="1">
        <v>60780</v>
      </c>
      <c r="I1393" s="10">
        <v>0.13</v>
      </c>
      <c r="J1393">
        <v>37.5</v>
      </c>
      <c r="K1393" t="s">
        <v>26</v>
      </c>
      <c r="L1393">
        <v>31</v>
      </c>
      <c r="M1393" t="s">
        <v>29</v>
      </c>
      <c r="N1393" t="s">
        <v>48</v>
      </c>
      <c r="O1393" t="s">
        <v>35</v>
      </c>
      <c r="P1393">
        <v>3</v>
      </c>
      <c r="Q1393" t="s">
        <v>36</v>
      </c>
      <c r="R1393" t="s">
        <v>33</v>
      </c>
      <c r="S1393">
        <v>3</v>
      </c>
      <c r="T1393">
        <v>1</v>
      </c>
      <c r="U1393">
        <v>4</v>
      </c>
      <c r="V1393">
        <v>3</v>
      </c>
      <c r="W1393">
        <v>4</v>
      </c>
      <c r="X1393">
        <v>2</v>
      </c>
      <c r="Y1393">
        <v>2</v>
      </c>
      <c r="Z1393">
        <v>3</v>
      </c>
      <c r="AA1393" t="str">
        <f t="shared" si="113"/>
        <v>Mid Tenure</v>
      </c>
      <c r="AB1393" s="5">
        <v>45261</v>
      </c>
      <c r="AC1393">
        <f t="shared" si="114"/>
        <v>0</v>
      </c>
      <c r="AD1393" t="s">
        <v>38</v>
      </c>
      <c r="AE1393">
        <f>VLOOKUP(A1393,'Employee Engagement Survey'!A1381:B2850,2,FALSE)</f>
        <v>3</v>
      </c>
      <c r="AF1393">
        <f>VLOOKUP(A1393,'Employee Engagement Survey'!A1381:C2850,3,FALSE)</f>
        <v>1</v>
      </c>
      <c r="AG1393">
        <f>VLOOKUP(A1393,'Employee Engagement Survey'!A1381:D2850,4,FALSE)</f>
        <v>4</v>
      </c>
      <c r="AH1393">
        <f>VLOOKUP(A1393,'Employee Engagement Survey'!A1381:E2850,5,FALSE)</f>
        <v>4</v>
      </c>
      <c r="AI1393">
        <f t="shared" si="112"/>
        <v>3</v>
      </c>
    </row>
    <row r="1394" spans="1:35" hidden="1" x14ac:dyDescent="0.4">
      <c r="A1394">
        <v>1443</v>
      </c>
      <c r="B1394" t="s">
        <v>34</v>
      </c>
      <c r="C1394">
        <f t="shared" ref="C1394:C1457" si="115">IF(B1394="No",1,0)</f>
        <v>1</v>
      </c>
      <c r="D1394" t="s">
        <v>60</v>
      </c>
      <c r="E1394">
        <f t="shared" si="111"/>
        <v>1</v>
      </c>
      <c r="F1394" t="s">
        <v>28</v>
      </c>
      <c r="G1394">
        <v>4</v>
      </c>
      <c r="H1394" s="1">
        <v>218028</v>
      </c>
      <c r="I1394" s="10">
        <v>0.19</v>
      </c>
      <c r="J1394">
        <v>37.5</v>
      </c>
      <c r="K1394" t="s">
        <v>34</v>
      </c>
      <c r="L1394">
        <v>47</v>
      </c>
      <c r="M1394" t="s">
        <v>47</v>
      </c>
      <c r="N1394" t="s">
        <v>42</v>
      </c>
      <c r="O1394" t="s">
        <v>31</v>
      </c>
      <c r="P1394">
        <v>2</v>
      </c>
      <c r="Q1394" t="s">
        <v>51</v>
      </c>
      <c r="R1394" t="s">
        <v>33</v>
      </c>
      <c r="S1394">
        <v>3</v>
      </c>
      <c r="T1394">
        <v>2</v>
      </c>
      <c r="U1394">
        <v>26</v>
      </c>
      <c r="V1394">
        <v>2</v>
      </c>
      <c r="W1394">
        <v>20</v>
      </c>
      <c r="X1394">
        <v>17</v>
      </c>
      <c r="Y1394">
        <v>5</v>
      </c>
      <c r="Z1394">
        <v>6</v>
      </c>
      <c r="AA1394" t="str">
        <f t="shared" si="113"/>
        <v>Long Tenure</v>
      </c>
      <c r="AB1394" s="5">
        <v>45441</v>
      </c>
      <c r="AC1394">
        <f t="shared" si="114"/>
        <v>1</v>
      </c>
      <c r="AD1394" t="s">
        <v>49</v>
      </c>
      <c r="AE1394">
        <f>VLOOKUP(A1394,'Employee Engagement Survey'!A1382:B2851,2,FALSE)</f>
        <v>1</v>
      </c>
      <c r="AF1394">
        <f>VLOOKUP(A1394,'Employee Engagement Survey'!A1382:C2851,3,FALSE)</f>
        <v>3</v>
      </c>
      <c r="AG1394">
        <f>VLOOKUP(A1394,'Employee Engagement Survey'!A1382:D2851,4,FALSE)</f>
        <v>2</v>
      </c>
      <c r="AH1394">
        <f>VLOOKUP(A1394,'Employee Engagement Survey'!A1382:E2851,5,FALSE)</f>
        <v>4</v>
      </c>
      <c r="AI1394">
        <f t="shared" si="112"/>
        <v>2.5</v>
      </c>
    </row>
    <row r="1395" spans="1:35" hidden="1" x14ac:dyDescent="0.4">
      <c r="A1395">
        <v>1900</v>
      </c>
      <c r="B1395" t="s">
        <v>34</v>
      </c>
      <c r="C1395">
        <f t="shared" si="115"/>
        <v>1</v>
      </c>
      <c r="D1395" t="s">
        <v>109</v>
      </c>
      <c r="E1395">
        <f t="shared" si="111"/>
        <v>1</v>
      </c>
      <c r="F1395" t="s">
        <v>28</v>
      </c>
      <c r="G1395">
        <v>4</v>
      </c>
      <c r="H1395" s="1">
        <v>218088</v>
      </c>
      <c r="I1395" s="10">
        <v>0.11</v>
      </c>
      <c r="J1395">
        <v>37.5</v>
      </c>
      <c r="K1395" t="s">
        <v>34</v>
      </c>
      <c r="L1395">
        <v>48</v>
      </c>
      <c r="M1395" t="s">
        <v>47</v>
      </c>
      <c r="N1395" t="s">
        <v>48</v>
      </c>
      <c r="O1395" t="s">
        <v>44</v>
      </c>
      <c r="P1395">
        <v>22</v>
      </c>
      <c r="Q1395" t="s">
        <v>43</v>
      </c>
      <c r="R1395" t="s">
        <v>33</v>
      </c>
      <c r="S1395">
        <v>3</v>
      </c>
      <c r="T1395">
        <v>1</v>
      </c>
      <c r="U1395">
        <v>24</v>
      </c>
      <c r="V1395">
        <v>3</v>
      </c>
      <c r="W1395">
        <v>22</v>
      </c>
      <c r="X1395">
        <v>17</v>
      </c>
      <c r="Y1395">
        <v>4</v>
      </c>
      <c r="Z1395">
        <v>7</v>
      </c>
      <c r="AA1395" t="str">
        <f t="shared" si="113"/>
        <v>Long Tenure</v>
      </c>
      <c r="AB1395" s="5">
        <v>45172</v>
      </c>
      <c r="AC1395">
        <f t="shared" si="114"/>
        <v>0</v>
      </c>
      <c r="AD1395" t="s">
        <v>49</v>
      </c>
      <c r="AE1395">
        <f>VLOOKUP(A1395,'Employee Engagement Survey'!A1383:B2852,2,FALSE)</f>
        <v>4</v>
      </c>
      <c r="AF1395">
        <f>VLOOKUP(A1395,'Employee Engagement Survey'!A1383:C2852,3,FALSE)</f>
        <v>4</v>
      </c>
      <c r="AG1395">
        <f>VLOOKUP(A1395,'Employee Engagement Survey'!A1383:D2852,4,FALSE)</f>
        <v>2</v>
      </c>
      <c r="AH1395">
        <f>VLOOKUP(A1395,'Employee Engagement Survey'!A1383:E2852,5,FALSE)</f>
        <v>3</v>
      </c>
      <c r="AI1395">
        <f t="shared" si="112"/>
        <v>3.25</v>
      </c>
    </row>
    <row r="1396" spans="1:35" hidden="1" x14ac:dyDescent="0.4">
      <c r="A1396">
        <v>1949</v>
      </c>
      <c r="B1396" t="s">
        <v>34</v>
      </c>
      <c r="C1396">
        <f t="shared" si="115"/>
        <v>1</v>
      </c>
      <c r="D1396" t="s">
        <v>46</v>
      </c>
      <c r="E1396">
        <f t="shared" si="111"/>
        <v>0</v>
      </c>
      <c r="F1396" t="s">
        <v>28</v>
      </c>
      <c r="G1396">
        <v>5</v>
      </c>
      <c r="H1396" s="1">
        <v>57720</v>
      </c>
      <c r="I1396" s="10">
        <v>0.22</v>
      </c>
      <c r="J1396">
        <v>37.5</v>
      </c>
      <c r="K1396" t="s">
        <v>34</v>
      </c>
      <c r="L1396">
        <v>36</v>
      </c>
      <c r="M1396" t="s">
        <v>29</v>
      </c>
      <c r="N1396" t="s">
        <v>42</v>
      </c>
      <c r="O1396" t="s">
        <v>35</v>
      </c>
      <c r="P1396">
        <v>9</v>
      </c>
      <c r="Q1396" t="s">
        <v>51</v>
      </c>
      <c r="R1396" t="s">
        <v>37</v>
      </c>
      <c r="S1396">
        <v>4</v>
      </c>
      <c r="T1396">
        <v>0</v>
      </c>
      <c r="U1396">
        <v>5</v>
      </c>
      <c r="V1396">
        <v>3</v>
      </c>
      <c r="W1396">
        <v>5</v>
      </c>
      <c r="X1396">
        <v>4</v>
      </c>
      <c r="Y1396">
        <v>0</v>
      </c>
      <c r="Z1396">
        <v>2</v>
      </c>
      <c r="AA1396" t="str">
        <f t="shared" si="113"/>
        <v>Mid Tenure</v>
      </c>
      <c r="AB1396" s="5">
        <v>45132</v>
      </c>
      <c r="AC1396">
        <f t="shared" si="114"/>
        <v>0</v>
      </c>
      <c r="AD1396" t="s">
        <v>49</v>
      </c>
      <c r="AE1396">
        <f>VLOOKUP(A1396,'Employee Engagement Survey'!A1384:B2853,2,FALSE)</f>
        <v>1</v>
      </c>
      <c r="AF1396">
        <f>VLOOKUP(A1396,'Employee Engagement Survey'!A1384:C2853,3,FALSE)</f>
        <v>2</v>
      </c>
      <c r="AG1396">
        <f>VLOOKUP(A1396,'Employee Engagement Survey'!A1384:D2853,4,FALSE)</f>
        <v>2</v>
      </c>
      <c r="AH1396">
        <f>VLOOKUP(A1396,'Employee Engagement Survey'!A1384:E2853,5,FALSE)</f>
        <v>3</v>
      </c>
      <c r="AI1396">
        <f t="shared" si="112"/>
        <v>2</v>
      </c>
    </row>
    <row r="1397" spans="1:35" hidden="1" x14ac:dyDescent="0.4">
      <c r="A1397">
        <v>148</v>
      </c>
      <c r="B1397" t="s">
        <v>34</v>
      </c>
      <c r="C1397">
        <f t="shared" si="115"/>
        <v>1</v>
      </c>
      <c r="D1397" t="s">
        <v>108</v>
      </c>
      <c r="E1397">
        <f t="shared" si="111"/>
        <v>1</v>
      </c>
      <c r="F1397" t="s">
        <v>59</v>
      </c>
      <c r="G1397">
        <v>4</v>
      </c>
      <c r="H1397" s="1">
        <v>219936</v>
      </c>
      <c r="I1397" s="10">
        <v>0.12</v>
      </c>
      <c r="J1397">
        <v>37.5</v>
      </c>
      <c r="K1397" t="s">
        <v>26</v>
      </c>
      <c r="L1397">
        <v>54</v>
      </c>
      <c r="M1397" t="s">
        <v>47</v>
      </c>
      <c r="N1397" t="s">
        <v>30</v>
      </c>
      <c r="O1397" t="s">
        <v>35</v>
      </c>
      <c r="P1397">
        <v>26</v>
      </c>
      <c r="Q1397" t="s">
        <v>43</v>
      </c>
      <c r="R1397" t="s">
        <v>59</v>
      </c>
      <c r="S1397">
        <v>3</v>
      </c>
      <c r="T1397">
        <v>0</v>
      </c>
      <c r="U1397">
        <v>23</v>
      </c>
      <c r="V1397">
        <v>3</v>
      </c>
      <c r="W1397">
        <v>5</v>
      </c>
      <c r="X1397">
        <v>3</v>
      </c>
      <c r="Y1397">
        <v>4</v>
      </c>
      <c r="Z1397">
        <v>4</v>
      </c>
      <c r="AA1397" t="str">
        <f t="shared" si="113"/>
        <v>Mid Tenure</v>
      </c>
      <c r="AB1397" s="5">
        <v>45936</v>
      </c>
      <c r="AC1397">
        <f t="shared" si="114"/>
        <v>1</v>
      </c>
      <c r="AD1397" t="s">
        <v>38</v>
      </c>
      <c r="AE1397">
        <f>VLOOKUP(A1397,'Employee Engagement Survey'!A1385:B2854,2,FALSE)</f>
        <v>4</v>
      </c>
      <c r="AF1397">
        <f>VLOOKUP(A1397,'Employee Engagement Survey'!A1385:C2854,3,FALSE)</f>
        <v>4</v>
      </c>
      <c r="AG1397">
        <f>VLOOKUP(A1397,'Employee Engagement Survey'!A1385:D2854,4,FALSE)</f>
        <v>3</v>
      </c>
      <c r="AH1397">
        <f>VLOOKUP(A1397,'Employee Engagement Survey'!A1385:E2854,5,FALSE)</f>
        <v>3</v>
      </c>
      <c r="AI1397">
        <f t="shared" si="112"/>
        <v>3.5</v>
      </c>
    </row>
    <row r="1398" spans="1:35" hidden="1" x14ac:dyDescent="0.4">
      <c r="A1398">
        <v>1422</v>
      </c>
      <c r="B1398" t="s">
        <v>34</v>
      </c>
      <c r="C1398">
        <f t="shared" si="115"/>
        <v>1</v>
      </c>
      <c r="D1398" t="s">
        <v>60</v>
      </c>
      <c r="E1398">
        <f t="shared" si="111"/>
        <v>1</v>
      </c>
      <c r="F1398" t="s">
        <v>28</v>
      </c>
      <c r="G1398">
        <v>4</v>
      </c>
      <c r="H1398" s="1">
        <v>219936</v>
      </c>
      <c r="I1398" s="10">
        <v>0.19</v>
      </c>
      <c r="J1398">
        <v>37.5</v>
      </c>
      <c r="K1398" t="s">
        <v>34</v>
      </c>
      <c r="L1398">
        <v>54</v>
      </c>
      <c r="M1398" t="s">
        <v>47</v>
      </c>
      <c r="N1398" t="s">
        <v>30</v>
      </c>
      <c r="O1398" t="s">
        <v>31</v>
      </c>
      <c r="P1398">
        <v>1</v>
      </c>
      <c r="Q1398" t="s">
        <v>43</v>
      </c>
      <c r="R1398" t="s">
        <v>33</v>
      </c>
      <c r="S1398">
        <v>3</v>
      </c>
      <c r="T1398">
        <v>0</v>
      </c>
      <c r="U1398">
        <v>29</v>
      </c>
      <c r="V1398">
        <v>3</v>
      </c>
      <c r="W1398">
        <v>20</v>
      </c>
      <c r="X1398">
        <v>7</v>
      </c>
      <c r="Y1398">
        <v>12</v>
      </c>
      <c r="Z1398">
        <v>7</v>
      </c>
      <c r="AA1398" t="str">
        <f t="shared" si="113"/>
        <v>Long Tenure</v>
      </c>
      <c r="AB1398" s="5">
        <v>45192</v>
      </c>
      <c r="AC1398">
        <f t="shared" si="114"/>
        <v>0</v>
      </c>
      <c r="AD1398" t="s">
        <v>38</v>
      </c>
      <c r="AE1398">
        <f>VLOOKUP(A1398,'Employee Engagement Survey'!A1386:B2855,2,FALSE)</f>
        <v>4</v>
      </c>
      <c r="AF1398">
        <f>VLOOKUP(A1398,'Employee Engagement Survey'!A1386:C2855,3,FALSE)</f>
        <v>4</v>
      </c>
      <c r="AG1398">
        <f>VLOOKUP(A1398,'Employee Engagement Survey'!A1386:D2855,4,FALSE)</f>
        <v>4</v>
      </c>
      <c r="AH1398">
        <f>VLOOKUP(A1398,'Employee Engagement Survey'!A1386:E2855,5,FALSE)</f>
        <v>2</v>
      </c>
      <c r="AI1398">
        <f t="shared" si="112"/>
        <v>3.5</v>
      </c>
    </row>
    <row r="1399" spans="1:35" hidden="1" x14ac:dyDescent="0.4">
      <c r="A1399">
        <v>1950</v>
      </c>
      <c r="B1399" t="s">
        <v>34</v>
      </c>
      <c r="C1399">
        <f t="shared" si="115"/>
        <v>1</v>
      </c>
      <c r="D1399" t="s">
        <v>57</v>
      </c>
      <c r="E1399">
        <f t="shared" si="111"/>
        <v>0</v>
      </c>
      <c r="F1399" t="s">
        <v>40</v>
      </c>
      <c r="G1399">
        <v>9</v>
      </c>
      <c r="H1399" s="1">
        <v>130656</v>
      </c>
      <c r="I1399" s="10">
        <v>0.21</v>
      </c>
      <c r="J1399">
        <v>37.5</v>
      </c>
      <c r="K1399" t="s">
        <v>34</v>
      </c>
      <c r="L1399">
        <v>34</v>
      </c>
      <c r="M1399" t="s">
        <v>29</v>
      </c>
      <c r="N1399" t="s">
        <v>30</v>
      </c>
      <c r="O1399" t="s">
        <v>31</v>
      </c>
      <c r="P1399">
        <v>1</v>
      </c>
      <c r="Q1399" t="s">
        <v>43</v>
      </c>
      <c r="R1399" t="s">
        <v>56</v>
      </c>
      <c r="S1399">
        <v>4</v>
      </c>
      <c r="T1399">
        <v>0</v>
      </c>
      <c r="U1399">
        <v>14</v>
      </c>
      <c r="V1399">
        <v>3</v>
      </c>
      <c r="W1399">
        <v>14</v>
      </c>
      <c r="X1399">
        <v>8</v>
      </c>
      <c r="Y1399">
        <v>2</v>
      </c>
      <c r="Z1399">
        <v>1</v>
      </c>
      <c r="AA1399" t="str">
        <f t="shared" si="113"/>
        <v>Long Tenure</v>
      </c>
      <c r="AB1399" s="5">
        <v>45949</v>
      </c>
      <c r="AC1399">
        <f t="shared" si="114"/>
        <v>1</v>
      </c>
      <c r="AD1399" t="s">
        <v>38</v>
      </c>
      <c r="AE1399">
        <f>VLOOKUP(A1399,'Employee Engagement Survey'!A1387:B2856,2,FALSE)</f>
        <v>1</v>
      </c>
      <c r="AF1399">
        <f>VLOOKUP(A1399,'Employee Engagement Survey'!A1387:C2856,3,FALSE)</f>
        <v>4</v>
      </c>
      <c r="AG1399">
        <f>VLOOKUP(A1399,'Employee Engagement Survey'!A1387:D2856,4,FALSE)</f>
        <v>1</v>
      </c>
      <c r="AH1399">
        <f>VLOOKUP(A1399,'Employee Engagement Survey'!A1387:E2856,5,FALSE)</f>
        <v>2</v>
      </c>
      <c r="AI1399">
        <f t="shared" si="112"/>
        <v>2</v>
      </c>
    </row>
    <row r="1400" spans="1:35" hidden="1" x14ac:dyDescent="0.4">
      <c r="A1400">
        <v>1665</v>
      </c>
      <c r="B1400" t="s">
        <v>34</v>
      </c>
      <c r="C1400">
        <f t="shared" si="115"/>
        <v>1</v>
      </c>
      <c r="D1400" t="s">
        <v>109</v>
      </c>
      <c r="E1400">
        <f t="shared" si="111"/>
        <v>1</v>
      </c>
      <c r="F1400" t="s">
        <v>28</v>
      </c>
      <c r="G1400">
        <v>4</v>
      </c>
      <c r="H1400" s="1">
        <v>221112</v>
      </c>
      <c r="I1400" s="10">
        <v>0.25</v>
      </c>
      <c r="J1400">
        <v>37.5</v>
      </c>
      <c r="K1400" t="s">
        <v>34</v>
      </c>
      <c r="L1400">
        <v>54</v>
      </c>
      <c r="M1400" t="s">
        <v>47</v>
      </c>
      <c r="N1400" t="s">
        <v>42</v>
      </c>
      <c r="O1400" t="s">
        <v>31</v>
      </c>
      <c r="P1400">
        <v>22</v>
      </c>
      <c r="Q1400" t="s">
        <v>58</v>
      </c>
      <c r="R1400" t="s">
        <v>33</v>
      </c>
      <c r="S1400">
        <v>4</v>
      </c>
      <c r="T1400">
        <v>1</v>
      </c>
      <c r="U1400">
        <v>36</v>
      </c>
      <c r="V1400">
        <v>6</v>
      </c>
      <c r="W1400">
        <v>10</v>
      </c>
      <c r="X1400">
        <v>8</v>
      </c>
      <c r="Y1400">
        <v>4</v>
      </c>
      <c r="Z1400">
        <v>7</v>
      </c>
      <c r="AA1400" t="str">
        <f t="shared" si="113"/>
        <v>Long Tenure</v>
      </c>
      <c r="AB1400" s="5">
        <v>44878</v>
      </c>
      <c r="AC1400">
        <f t="shared" si="114"/>
        <v>0</v>
      </c>
      <c r="AD1400" t="s">
        <v>49</v>
      </c>
      <c r="AE1400">
        <f>VLOOKUP(A1400,'Employee Engagement Survey'!A1388:B2857,2,FALSE)</f>
        <v>2</v>
      </c>
      <c r="AF1400">
        <f>VLOOKUP(A1400,'Employee Engagement Survey'!A1388:C2857,3,FALSE)</f>
        <v>3</v>
      </c>
      <c r="AG1400">
        <f>VLOOKUP(A1400,'Employee Engagement Survey'!A1388:D2857,4,FALSE)</f>
        <v>3</v>
      </c>
      <c r="AH1400">
        <f>VLOOKUP(A1400,'Employee Engagement Survey'!A1388:E2857,5,FALSE)</f>
        <v>3</v>
      </c>
      <c r="AI1400">
        <f t="shared" si="112"/>
        <v>2.75</v>
      </c>
    </row>
    <row r="1401" spans="1:35" hidden="1" x14ac:dyDescent="0.4">
      <c r="A1401">
        <v>1951</v>
      </c>
      <c r="B1401" t="s">
        <v>34</v>
      </c>
      <c r="C1401">
        <f t="shared" si="115"/>
        <v>1</v>
      </c>
      <c r="D1401" t="s">
        <v>57</v>
      </c>
      <c r="E1401">
        <f t="shared" si="111"/>
        <v>0</v>
      </c>
      <c r="F1401" t="s">
        <v>40</v>
      </c>
      <c r="G1401">
        <v>9</v>
      </c>
      <c r="H1401" s="1">
        <v>115536</v>
      </c>
      <c r="I1401" s="10">
        <v>0.18</v>
      </c>
      <c r="J1401">
        <v>37.5</v>
      </c>
      <c r="K1401" t="s">
        <v>34</v>
      </c>
      <c r="L1401">
        <v>34</v>
      </c>
      <c r="M1401" t="s">
        <v>29</v>
      </c>
      <c r="N1401" t="s">
        <v>48</v>
      </c>
      <c r="O1401" t="s">
        <v>31</v>
      </c>
      <c r="P1401">
        <v>13</v>
      </c>
      <c r="Q1401" t="s">
        <v>51</v>
      </c>
      <c r="R1401" t="s">
        <v>33</v>
      </c>
      <c r="S1401">
        <v>3</v>
      </c>
      <c r="T1401">
        <v>1</v>
      </c>
      <c r="U1401">
        <v>9</v>
      </c>
      <c r="V1401">
        <v>2</v>
      </c>
      <c r="W1401">
        <v>8</v>
      </c>
      <c r="X1401">
        <v>7</v>
      </c>
      <c r="Y1401">
        <v>1</v>
      </c>
      <c r="Z1401">
        <v>1</v>
      </c>
      <c r="AA1401" t="str">
        <f t="shared" si="113"/>
        <v>Mid Tenure</v>
      </c>
      <c r="AB1401" s="5">
        <v>44907</v>
      </c>
      <c r="AC1401">
        <f t="shared" si="114"/>
        <v>0</v>
      </c>
      <c r="AD1401" t="s">
        <v>49</v>
      </c>
      <c r="AE1401">
        <f>VLOOKUP(A1401,'Employee Engagement Survey'!A1389:B2858,2,FALSE)</f>
        <v>4</v>
      </c>
      <c r="AF1401">
        <f>VLOOKUP(A1401,'Employee Engagement Survey'!A1389:C2858,3,FALSE)</f>
        <v>3</v>
      </c>
      <c r="AG1401">
        <f>VLOOKUP(A1401,'Employee Engagement Survey'!A1389:D2858,4,FALSE)</f>
        <v>3</v>
      </c>
      <c r="AH1401">
        <f>VLOOKUP(A1401,'Employee Engagement Survey'!A1389:E2858,5,FALSE)</f>
        <v>2</v>
      </c>
      <c r="AI1401">
        <f t="shared" si="112"/>
        <v>3</v>
      </c>
    </row>
    <row r="1402" spans="1:35" hidden="1" x14ac:dyDescent="0.4">
      <c r="A1402">
        <v>1952</v>
      </c>
      <c r="B1402" t="s">
        <v>34</v>
      </c>
      <c r="C1402">
        <f t="shared" si="115"/>
        <v>1</v>
      </c>
      <c r="D1402" t="s">
        <v>46</v>
      </c>
      <c r="E1402">
        <f t="shared" si="111"/>
        <v>0</v>
      </c>
      <c r="F1402" t="s">
        <v>28</v>
      </c>
      <c r="G1402">
        <v>5</v>
      </c>
      <c r="H1402" s="1">
        <v>58404</v>
      </c>
      <c r="I1402" s="10">
        <v>0.13</v>
      </c>
      <c r="J1402">
        <v>37.5</v>
      </c>
      <c r="K1402" t="s">
        <v>34</v>
      </c>
      <c r="L1402">
        <v>26</v>
      </c>
      <c r="M1402" t="s">
        <v>29</v>
      </c>
      <c r="N1402" t="s">
        <v>30</v>
      </c>
      <c r="O1402" t="s">
        <v>31</v>
      </c>
      <c r="P1402">
        <v>1</v>
      </c>
      <c r="Q1402" t="s">
        <v>43</v>
      </c>
      <c r="R1402" t="s">
        <v>33</v>
      </c>
      <c r="S1402">
        <v>3</v>
      </c>
      <c r="T1402">
        <v>0</v>
      </c>
      <c r="U1402">
        <v>8</v>
      </c>
      <c r="V1402">
        <v>6</v>
      </c>
      <c r="W1402">
        <v>7</v>
      </c>
      <c r="X1402">
        <v>7</v>
      </c>
      <c r="Y1402">
        <v>7</v>
      </c>
      <c r="Z1402">
        <v>6</v>
      </c>
      <c r="AA1402" t="str">
        <f t="shared" si="113"/>
        <v>Mid Tenure</v>
      </c>
      <c r="AB1402" s="5">
        <v>45578</v>
      </c>
      <c r="AC1402">
        <f t="shared" si="114"/>
        <v>1</v>
      </c>
      <c r="AD1402" t="s">
        <v>49</v>
      </c>
      <c r="AE1402">
        <f>VLOOKUP(A1402,'Employee Engagement Survey'!A1390:B2859,2,FALSE)</f>
        <v>3</v>
      </c>
      <c r="AF1402">
        <f>VLOOKUP(A1402,'Employee Engagement Survey'!A1390:C2859,3,FALSE)</f>
        <v>1</v>
      </c>
      <c r="AG1402">
        <f>VLOOKUP(A1402,'Employee Engagement Survey'!A1390:D2859,4,FALSE)</f>
        <v>4</v>
      </c>
      <c r="AH1402">
        <f>VLOOKUP(A1402,'Employee Engagement Survey'!A1390:E2859,5,FALSE)</f>
        <v>2</v>
      </c>
      <c r="AI1402">
        <f t="shared" si="112"/>
        <v>2.5</v>
      </c>
    </row>
    <row r="1403" spans="1:35" hidden="1" x14ac:dyDescent="0.4">
      <c r="A1403">
        <v>1954</v>
      </c>
      <c r="B1403" t="s">
        <v>34</v>
      </c>
      <c r="C1403">
        <f t="shared" si="115"/>
        <v>1</v>
      </c>
      <c r="D1403" t="s">
        <v>55</v>
      </c>
      <c r="E1403">
        <f t="shared" si="111"/>
        <v>0</v>
      </c>
      <c r="F1403" t="s">
        <v>28</v>
      </c>
      <c r="G1403">
        <v>7</v>
      </c>
      <c r="H1403" s="1">
        <v>76476</v>
      </c>
      <c r="I1403" s="10">
        <v>0.12</v>
      </c>
      <c r="J1403">
        <v>37.5</v>
      </c>
      <c r="K1403" t="s">
        <v>34</v>
      </c>
      <c r="L1403">
        <v>29</v>
      </c>
      <c r="M1403" t="s">
        <v>29</v>
      </c>
      <c r="N1403" t="s">
        <v>42</v>
      </c>
      <c r="O1403" t="s">
        <v>31</v>
      </c>
      <c r="P1403">
        <v>1</v>
      </c>
      <c r="Q1403" t="s">
        <v>43</v>
      </c>
      <c r="R1403" t="s">
        <v>37</v>
      </c>
      <c r="S1403">
        <v>3</v>
      </c>
      <c r="T1403">
        <v>1</v>
      </c>
      <c r="U1403">
        <v>6</v>
      </c>
      <c r="V1403">
        <v>5</v>
      </c>
      <c r="W1403">
        <v>5</v>
      </c>
      <c r="X1403">
        <v>3</v>
      </c>
      <c r="Y1403">
        <v>0</v>
      </c>
      <c r="Z1403">
        <v>2</v>
      </c>
      <c r="AA1403" t="str">
        <f t="shared" si="113"/>
        <v>Mid Tenure</v>
      </c>
      <c r="AB1403" s="5">
        <v>45230</v>
      </c>
      <c r="AC1403">
        <f t="shared" si="114"/>
        <v>0</v>
      </c>
      <c r="AD1403" t="s">
        <v>38</v>
      </c>
      <c r="AE1403">
        <f>VLOOKUP(A1403,'Employee Engagement Survey'!A1391:B2860,2,FALSE)</f>
        <v>1</v>
      </c>
      <c r="AF1403">
        <f>VLOOKUP(A1403,'Employee Engagement Survey'!A1391:C2860,3,FALSE)</f>
        <v>1</v>
      </c>
      <c r="AG1403">
        <f>VLOOKUP(A1403,'Employee Engagement Survey'!A1391:D2860,4,FALSE)</f>
        <v>1</v>
      </c>
      <c r="AH1403">
        <f>VLOOKUP(A1403,'Employee Engagement Survey'!A1391:E2860,5,FALSE)</f>
        <v>2</v>
      </c>
      <c r="AI1403">
        <f t="shared" si="112"/>
        <v>1.25</v>
      </c>
    </row>
    <row r="1404" spans="1:35" hidden="1" x14ac:dyDescent="0.4">
      <c r="A1404">
        <v>1956</v>
      </c>
      <c r="B1404" t="s">
        <v>34</v>
      </c>
      <c r="C1404">
        <f t="shared" si="115"/>
        <v>1</v>
      </c>
      <c r="D1404" t="s">
        <v>27</v>
      </c>
      <c r="E1404">
        <f t="shared" si="111"/>
        <v>0</v>
      </c>
      <c r="F1404" t="s">
        <v>28</v>
      </c>
      <c r="G1404">
        <v>7</v>
      </c>
      <c r="H1404" s="1">
        <v>72036</v>
      </c>
      <c r="I1404" s="10">
        <v>0.21</v>
      </c>
      <c r="J1404">
        <v>37.5</v>
      </c>
      <c r="K1404" t="s">
        <v>34</v>
      </c>
      <c r="L1404">
        <v>31</v>
      </c>
      <c r="M1404" t="s">
        <v>29</v>
      </c>
      <c r="N1404" t="s">
        <v>42</v>
      </c>
      <c r="O1404" t="s">
        <v>44</v>
      </c>
      <c r="P1404">
        <v>1</v>
      </c>
      <c r="Q1404" t="s">
        <v>43</v>
      </c>
      <c r="R1404" t="s">
        <v>37</v>
      </c>
      <c r="S1404">
        <v>4</v>
      </c>
      <c r="T1404">
        <v>0</v>
      </c>
      <c r="U1404">
        <v>10</v>
      </c>
      <c r="V1404">
        <v>6</v>
      </c>
      <c r="W1404">
        <v>10</v>
      </c>
      <c r="X1404">
        <v>8</v>
      </c>
      <c r="Y1404">
        <v>8</v>
      </c>
      <c r="Z1404">
        <v>7</v>
      </c>
      <c r="AA1404" t="str">
        <f t="shared" si="113"/>
        <v>Long Tenure</v>
      </c>
      <c r="AB1404" s="5">
        <v>45900</v>
      </c>
      <c r="AC1404">
        <f t="shared" si="114"/>
        <v>1</v>
      </c>
      <c r="AD1404" t="s">
        <v>49</v>
      </c>
      <c r="AE1404">
        <f>VLOOKUP(A1404,'Employee Engagement Survey'!A1392:B2861,2,FALSE)</f>
        <v>4</v>
      </c>
      <c r="AF1404">
        <f>VLOOKUP(A1404,'Employee Engagement Survey'!A1392:C2861,3,FALSE)</f>
        <v>1</v>
      </c>
      <c r="AG1404">
        <f>VLOOKUP(A1404,'Employee Engagement Survey'!A1392:D2861,4,FALSE)</f>
        <v>2</v>
      </c>
      <c r="AH1404">
        <f>VLOOKUP(A1404,'Employee Engagement Survey'!A1392:E2861,5,FALSE)</f>
        <v>3</v>
      </c>
      <c r="AI1404">
        <f t="shared" si="112"/>
        <v>2.5</v>
      </c>
    </row>
    <row r="1405" spans="1:35" hidden="1" x14ac:dyDescent="0.4">
      <c r="A1405">
        <v>1961</v>
      </c>
      <c r="B1405" t="s">
        <v>34</v>
      </c>
      <c r="C1405">
        <f t="shared" si="115"/>
        <v>1</v>
      </c>
      <c r="D1405" t="s">
        <v>39</v>
      </c>
      <c r="E1405">
        <f t="shared" si="111"/>
        <v>0</v>
      </c>
      <c r="F1405" t="s">
        <v>40</v>
      </c>
      <c r="G1405">
        <v>5</v>
      </c>
      <c r="H1405" s="1">
        <v>58296</v>
      </c>
      <c r="I1405" s="10">
        <v>0.14000000000000001</v>
      </c>
      <c r="J1405">
        <v>37.5</v>
      </c>
      <c r="K1405" t="s">
        <v>34</v>
      </c>
      <c r="L1405">
        <v>38</v>
      </c>
      <c r="M1405" t="s">
        <v>29</v>
      </c>
      <c r="N1405" t="s">
        <v>30</v>
      </c>
      <c r="O1405" t="s">
        <v>31</v>
      </c>
      <c r="P1405">
        <v>1</v>
      </c>
      <c r="Q1405" t="s">
        <v>43</v>
      </c>
      <c r="R1405" t="s">
        <v>37</v>
      </c>
      <c r="S1405">
        <v>3</v>
      </c>
      <c r="T1405">
        <v>0</v>
      </c>
      <c r="U1405">
        <v>20</v>
      </c>
      <c r="V1405">
        <v>3</v>
      </c>
      <c r="W1405">
        <v>1</v>
      </c>
      <c r="X1405">
        <v>0</v>
      </c>
      <c r="Y1405">
        <v>0</v>
      </c>
      <c r="Z1405">
        <v>0</v>
      </c>
      <c r="AA1405" t="str">
        <f t="shared" si="113"/>
        <v>Early Tenure</v>
      </c>
      <c r="AB1405" s="5">
        <v>45345</v>
      </c>
      <c r="AC1405">
        <f t="shared" si="114"/>
        <v>1</v>
      </c>
      <c r="AD1405" t="s">
        <v>38</v>
      </c>
      <c r="AE1405">
        <f>VLOOKUP(A1405,'Employee Engagement Survey'!A1394:B2863,2,FALSE)</f>
        <v>1</v>
      </c>
      <c r="AF1405">
        <f>VLOOKUP(A1405,'Employee Engagement Survey'!A1394:C2863,3,FALSE)</f>
        <v>1</v>
      </c>
      <c r="AG1405">
        <f>VLOOKUP(A1405,'Employee Engagement Survey'!A1394:D2863,4,FALSE)</f>
        <v>1</v>
      </c>
      <c r="AH1405">
        <f>VLOOKUP(A1405,'Employee Engagement Survey'!A1394:E2863,5,FALSE)</f>
        <v>2</v>
      </c>
      <c r="AI1405">
        <f t="shared" si="112"/>
        <v>1.25</v>
      </c>
    </row>
    <row r="1406" spans="1:35" hidden="1" x14ac:dyDescent="0.4">
      <c r="A1406">
        <v>1045</v>
      </c>
      <c r="B1406" t="s">
        <v>34</v>
      </c>
      <c r="C1406">
        <f t="shared" si="115"/>
        <v>1</v>
      </c>
      <c r="D1406" t="s">
        <v>110</v>
      </c>
      <c r="E1406">
        <f t="shared" si="111"/>
        <v>1</v>
      </c>
      <c r="F1406" t="s">
        <v>40</v>
      </c>
      <c r="G1406">
        <v>4</v>
      </c>
      <c r="H1406" s="1">
        <v>223800</v>
      </c>
      <c r="I1406" s="10">
        <v>0.13</v>
      </c>
      <c r="J1406">
        <v>37.5</v>
      </c>
      <c r="K1406" t="s">
        <v>34</v>
      </c>
      <c r="L1406">
        <v>45</v>
      </c>
      <c r="M1406" t="s">
        <v>47</v>
      </c>
      <c r="N1406" t="s">
        <v>42</v>
      </c>
      <c r="O1406" t="s">
        <v>31</v>
      </c>
      <c r="P1406">
        <v>11</v>
      </c>
      <c r="Q1406" t="s">
        <v>36</v>
      </c>
      <c r="R1406" t="s">
        <v>37</v>
      </c>
      <c r="S1406">
        <v>3</v>
      </c>
      <c r="T1406">
        <v>1</v>
      </c>
      <c r="U1406">
        <v>26</v>
      </c>
      <c r="V1406">
        <v>4</v>
      </c>
      <c r="W1406">
        <v>9</v>
      </c>
      <c r="X1406">
        <v>3</v>
      </c>
      <c r="Y1406">
        <v>1</v>
      </c>
      <c r="Z1406">
        <v>1</v>
      </c>
      <c r="AA1406" t="str">
        <f t="shared" si="113"/>
        <v>Mid Tenure</v>
      </c>
      <c r="AB1406" s="5">
        <v>45799</v>
      </c>
      <c r="AC1406">
        <f t="shared" si="114"/>
        <v>1</v>
      </c>
      <c r="AD1406" t="s">
        <v>38</v>
      </c>
      <c r="AE1406">
        <f>VLOOKUP(A1406,'Employee Engagement Survey'!A1395:B2864,2,FALSE)</f>
        <v>4</v>
      </c>
      <c r="AF1406">
        <f>VLOOKUP(A1406,'Employee Engagement Survey'!A1395:C2864,3,FALSE)</f>
        <v>4</v>
      </c>
      <c r="AG1406">
        <f>VLOOKUP(A1406,'Employee Engagement Survey'!A1395:D2864,4,FALSE)</f>
        <v>2</v>
      </c>
      <c r="AH1406">
        <f>VLOOKUP(A1406,'Employee Engagement Survey'!A1395:E2864,5,FALSE)</f>
        <v>4</v>
      </c>
      <c r="AI1406">
        <f t="shared" si="112"/>
        <v>3.5</v>
      </c>
    </row>
    <row r="1407" spans="1:35" hidden="1" x14ac:dyDescent="0.4">
      <c r="A1407">
        <v>1965</v>
      </c>
      <c r="B1407" t="s">
        <v>34</v>
      </c>
      <c r="C1407">
        <f t="shared" si="115"/>
        <v>1</v>
      </c>
      <c r="D1407" t="s">
        <v>57</v>
      </c>
      <c r="E1407">
        <f t="shared" si="111"/>
        <v>0</v>
      </c>
      <c r="F1407" t="s">
        <v>40</v>
      </c>
      <c r="G1407">
        <v>6</v>
      </c>
      <c r="H1407" s="1">
        <v>61260</v>
      </c>
      <c r="I1407" s="10">
        <v>0.14000000000000001</v>
      </c>
      <c r="J1407">
        <v>37.5</v>
      </c>
      <c r="K1407" t="s">
        <v>34</v>
      </c>
      <c r="L1407">
        <v>27</v>
      </c>
      <c r="M1407" t="s">
        <v>29</v>
      </c>
      <c r="N1407" t="s">
        <v>30</v>
      </c>
      <c r="O1407" t="s">
        <v>31</v>
      </c>
      <c r="P1407">
        <v>9</v>
      </c>
      <c r="Q1407" t="s">
        <v>43</v>
      </c>
      <c r="R1407" t="s">
        <v>56</v>
      </c>
      <c r="S1407">
        <v>3</v>
      </c>
      <c r="T1407">
        <v>0</v>
      </c>
      <c r="U1407">
        <v>7</v>
      </c>
      <c r="V1407">
        <v>5</v>
      </c>
      <c r="W1407">
        <v>7</v>
      </c>
      <c r="X1407">
        <v>7</v>
      </c>
      <c r="Y1407">
        <v>0</v>
      </c>
      <c r="Z1407">
        <v>7</v>
      </c>
      <c r="AA1407" t="str">
        <f t="shared" si="113"/>
        <v>Mid Tenure</v>
      </c>
      <c r="AB1407" s="5">
        <v>45002</v>
      </c>
      <c r="AC1407">
        <f t="shared" si="114"/>
        <v>0</v>
      </c>
      <c r="AD1407" t="s">
        <v>49</v>
      </c>
      <c r="AE1407">
        <f>VLOOKUP(A1407,'Employee Engagement Survey'!A1396:B2865,2,FALSE)</f>
        <v>4</v>
      </c>
      <c r="AF1407">
        <f>VLOOKUP(A1407,'Employee Engagement Survey'!A1396:C2865,3,FALSE)</f>
        <v>4</v>
      </c>
      <c r="AG1407">
        <f>VLOOKUP(A1407,'Employee Engagement Survey'!A1396:D2865,4,FALSE)</f>
        <v>1</v>
      </c>
      <c r="AH1407">
        <f>VLOOKUP(A1407,'Employee Engagement Survey'!A1396:E2865,5,FALSE)</f>
        <v>3</v>
      </c>
      <c r="AI1407">
        <f t="shared" si="112"/>
        <v>3</v>
      </c>
    </row>
    <row r="1408" spans="1:35" x14ac:dyDescent="0.4">
      <c r="A1408">
        <v>1966</v>
      </c>
      <c r="B1408" t="s">
        <v>34</v>
      </c>
      <c r="C1408">
        <f t="shared" si="115"/>
        <v>1</v>
      </c>
      <c r="D1408" t="s">
        <v>54</v>
      </c>
      <c r="E1408">
        <f t="shared" si="111"/>
        <v>1</v>
      </c>
      <c r="F1408" t="s">
        <v>28</v>
      </c>
      <c r="G1408">
        <v>9</v>
      </c>
      <c r="H1408" s="1">
        <v>128148</v>
      </c>
      <c r="I1408" s="10">
        <v>0.24</v>
      </c>
      <c r="J1408">
        <v>37.5</v>
      </c>
      <c r="K1408" t="s">
        <v>34</v>
      </c>
      <c r="L1408">
        <v>32</v>
      </c>
      <c r="M1408" t="s">
        <v>29</v>
      </c>
      <c r="N1408" t="s">
        <v>30</v>
      </c>
      <c r="O1408" t="s">
        <v>31</v>
      </c>
      <c r="P1408">
        <v>5</v>
      </c>
      <c r="Q1408" t="s">
        <v>51</v>
      </c>
      <c r="R1408" t="s">
        <v>37</v>
      </c>
      <c r="S1408">
        <v>4</v>
      </c>
      <c r="T1408">
        <v>0</v>
      </c>
      <c r="U1408">
        <v>8</v>
      </c>
      <c r="V1408">
        <v>1</v>
      </c>
      <c r="W1408">
        <v>1</v>
      </c>
      <c r="X1408">
        <v>0</v>
      </c>
      <c r="Y1408">
        <v>0</v>
      </c>
      <c r="Z1408">
        <v>0</v>
      </c>
      <c r="AA1408" t="str">
        <f t="shared" si="113"/>
        <v>Early Tenure</v>
      </c>
      <c r="AB1408" s="5">
        <v>44668</v>
      </c>
      <c r="AC1408">
        <f t="shared" si="114"/>
        <v>0</v>
      </c>
      <c r="AD1408" t="s">
        <v>49</v>
      </c>
      <c r="AE1408">
        <f>VLOOKUP(A1408,'Employee Engagement Survey'!A1397:B2866,2,FALSE)</f>
        <v>4</v>
      </c>
      <c r="AF1408">
        <f>VLOOKUP(A1408,'Employee Engagement Survey'!A1397:C2866,3,FALSE)</f>
        <v>4</v>
      </c>
      <c r="AG1408">
        <f>VLOOKUP(A1408,'Employee Engagement Survey'!A1397:D2866,4,FALSE)</f>
        <v>2</v>
      </c>
      <c r="AH1408">
        <f>VLOOKUP(A1408,'Employee Engagement Survey'!A1397:E2866,5,FALSE)</f>
        <v>3</v>
      </c>
      <c r="AI1408">
        <f t="shared" si="112"/>
        <v>3.25</v>
      </c>
    </row>
    <row r="1409" spans="1:35" x14ac:dyDescent="0.4">
      <c r="A1409">
        <v>1215</v>
      </c>
      <c r="B1409" t="s">
        <v>34</v>
      </c>
      <c r="C1409">
        <f t="shared" si="115"/>
        <v>1</v>
      </c>
      <c r="D1409" t="s">
        <v>109</v>
      </c>
      <c r="E1409">
        <f t="shared" si="111"/>
        <v>1</v>
      </c>
      <c r="F1409" t="s">
        <v>28</v>
      </c>
      <c r="G1409">
        <v>4</v>
      </c>
      <c r="H1409" s="1">
        <v>226272</v>
      </c>
      <c r="I1409" s="10">
        <v>0.22</v>
      </c>
      <c r="J1409">
        <v>37.5</v>
      </c>
      <c r="K1409" t="s">
        <v>34</v>
      </c>
      <c r="L1409">
        <v>50</v>
      </c>
      <c r="M1409" t="s">
        <v>47</v>
      </c>
      <c r="N1409" t="s">
        <v>42</v>
      </c>
      <c r="O1409" t="s">
        <v>44</v>
      </c>
      <c r="P1409">
        <v>2</v>
      </c>
      <c r="Q1409" t="s">
        <v>43</v>
      </c>
      <c r="R1409" t="s">
        <v>33</v>
      </c>
      <c r="S1409">
        <v>4</v>
      </c>
      <c r="T1409">
        <v>1</v>
      </c>
      <c r="U1409">
        <v>32</v>
      </c>
      <c r="V1409">
        <v>3</v>
      </c>
      <c r="W1409">
        <v>2</v>
      </c>
      <c r="X1409">
        <v>2</v>
      </c>
      <c r="Y1409">
        <v>2</v>
      </c>
      <c r="Z1409">
        <v>2</v>
      </c>
      <c r="AA1409" t="str">
        <f t="shared" si="113"/>
        <v>Early Tenure</v>
      </c>
      <c r="AB1409" s="5">
        <v>45019</v>
      </c>
      <c r="AC1409">
        <f t="shared" si="114"/>
        <v>0</v>
      </c>
      <c r="AD1409" t="s">
        <v>38</v>
      </c>
      <c r="AE1409">
        <f>VLOOKUP(A1409,'Employee Engagement Survey'!A1398:B2867,2,FALSE)</f>
        <v>4</v>
      </c>
      <c r="AF1409">
        <f>VLOOKUP(A1409,'Employee Engagement Survey'!A1398:C2867,3,FALSE)</f>
        <v>1</v>
      </c>
      <c r="AG1409">
        <f>VLOOKUP(A1409,'Employee Engagement Survey'!A1398:D2867,4,FALSE)</f>
        <v>3</v>
      </c>
      <c r="AH1409">
        <f>VLOOKUP(A1409,'Employee Engagement Survey'!A1398:E2867,5,FALSE)</f>
        <v>3</v>
      </c>
      <c r="AI1409">
        <f t="shared" si="112"/>
        <v>2.75</v>
      </c>
    </row>
    <row r="1410" spans="1:35" x14ac:dyDescent="0.4">
      <c r="A1410">
        <v>1938</v>
      </c>
      <c r="B1410" t="s">
        <v>34</v>
      </c>
      <c r="C1410">
        <f t="shared" si="115"/>
        <v>1</v>
      </c>
      <c r="D1410" t="s">
        <v>110</v>
      </c>
      <c r="E1410">
        <f t="shared" ref="E1410:E1472" si="116">IF(OR(D1410="Manager, HR", D1410="Manager, Sales", D1410="Manager, R&amp;D", D1410="Manufacturing Director",D1410="Research Director", D1410="VP, HR", D1410="CEO"),1,0)</f>
        <v>1</v>
      </c>
      <c r="F1410" t="s">
        <v>40</v>
      </c>
      <c r="G1410">
        <v>4</v>
      </c>
      <c r="H1410" s="1">
        <v>226500</v>
      </c>
      <c r="I1410" s="10">
        <v>0.13</v>
      </c>
      <c r="J1410">
        <v>37.5</v>
      </c>
      <c r="K1410" t="s">
        <v>26</v>
      </c>
      <c r="L1410">
        <v>58</v>
      </c>
      <c r="M1410" t="s">
        <v>47</v>
      </c>
      <c r="N1410" t="s">
        <v>42</v>
      </c>
      <c r="O1410" t="s">
        <v>31</v>
      </c>
      <c r="P1410">
        <v>21</v>
      </c>
      <c r="Q1410" t="s">
        <v>43</v>
      </c>
      <c r="R1410" t="s">
        <v>37</v>
      </c>
      <c r="S1410">
        <v>3</v>
      </c>
      <c r="T1410">
        <v>1</v>
      </c>
      <c r="U1410">
        <v>29</v>
      </c>
      <c r="V1410">
        <v>2</v>
      </c>
      <c r="W1410">
        <v>1</v>
      </c>
      <c r="X1410">
        <v>0</v>
      </c>
      <c r="Y1410">
        <v>0</v>
      </c>
      <c r="Z1410">
        <v>0</v>
      </c>
      <c r="AA1410" t="str">
        <f t="shared" si="113"/>
        <v>Early Tenure</v>
      </c>
      <c r="AB1410" s="5">
        <v>45598</v>
      </c>
      <c r="AC1410">
        <f t="shared" si="114"/>
        <v>1</v>
      </c>
      <c r="AD1410" t="s">
        <v>38</v>
      </c>
      <c r="AE1410">
        <f>VLOOKUP(A1410,'Employee Engagement Survey'!A1401:B2870,2,FALSE)</f>
        <v>4</v>
      </c>
      <c r="AF1410">
        <f>VLOOKUP(A1410,'Employee Engagement Survey'!A1401:C2870,3,FALSE)</f>
        <v>4</v>
      </c>
      <c r="AG1410">
        <f>VLOOKUP(A1410,'Employee Engagement Survey'!A1401:D2870,4,FALSE)</f>
        <v>3</v>
      </c>
      <c r="AH1410">
        <f>VLOOKUP(A1410,'Employee Engagement Survey'!A1401:E2870,5,FALSE)</f>
        <v>2</v>
      </c>
      <c r="AI1410">
        <f t="shared" ref="AI1410:AI1472" si="117">AVERAGE(AE1410:AH1410)</f>
        <v>3.25</v>
      </c>
    </row>
    <row r="1411" spans="1:35" hidden="1" x14ac:dyDescent="0.4">
      <c r="A1411">
        <v>1970</v>
      </c>
      <c r="B1411" t="s">
        <v>34</v>
      </c>
      <c r="C1411">
        <f t="shared" si="115"/>
        <v>1</v>
      </c>
      <c r="D1411" t="s">
        <v>55</v>
      </c>
      <c r="E1411">
        <f t="shared" si="116"/>
        <v>0</v>
      </c>
      <c r="F1411" t="s">
        <v>28</v>
      </c>
      <c r="G1411">
        <v>7</v>
      </c>
      <c r="H1411" s="1">
        <v>83616</v>
      </c>
      <c r="I1411" s="10">
        <v>0.2</v>
      </c>
      <c r="J1411">
        <v>37.5</v>
      </c>
      <c r="K1411" t="s">
        <v>34</v>
      </c>
      <c r="L1411">
        <v>33</v>
      </c>
      <c r="M1411" t="s">
        <v>29</v>
      </c>
      <c r="N1411" t="s">
        <v>48</v>
      </c>
      <c r="O1411" t="s">
        <v>44</v>
      </c>
      <c r="P1411">
        <v>7</v>
      </c>
      <c r="Q1411" t="s">
        <v>36</v>
      </c>
      <c r="R1411" t="s">
        <v>37</v>
      </c>
      <c r="S1411">
        <v>4</v>
      </c>
      <c r="T1411">
        <v>3</v>
      </c>
      <c r="U1411">
        <v>9</v>
      </c>
      <c r="V1411">
        <v>2</v>
      </c>
      <c r="W1411">
        <v>9</v>
      </c>
      <c r="X1411">
        <v>7</v>
      </c>
      <c r="Y1411">
        <v>2</v>
      </c>
      <c r="Z1411">
        <v>8</v>
      </c>
      <c r="AA1411" t="str">
        <f t="shared" ref="AA1411:AA1472" si="118">IF(W1411&lt;=2,"Early Tenure",IF(W1411&lt;=9,"Mid Tenure","Long Tenure"))</f>
        <v>Mid Tenure</v>
      </c>
      <c r="AB1411" s="5">
        <v>45793</v>
      </c>
      <c r="AC1411">
        <f t="shared" ref="AC1411:AC1472" si="119">IF(AND(AB1411&lt;&gt;"",AB1411&gt;DATE(2024,1,1)),1,0)</f>
        <v>1</v>
      </c>
      <c r="AD1411" t="s">
        <v>49</v>
      </c>
      <c r="AE1411">
        <f>VLOOKUP(A1411,'Employee Engagement Survey'!A1402:B2871,2,FALSE)</f>
        <v>4</v>
      </c>
      <c r="AF1411">
        <f>VLOOKUP(A1411,'Employee Engagement Survey'!A1402:C2871,3,FALSE)</f>
        <v>3</v>
      </c>
      <c r="AG1411">
        <f>VLOOKUP(A1411,'Employee Engagement Survey'!A1402:D2871,4,FALSE)</f>
        <v>3</v>
      </c>
      <c r="AH1411">
        <f>VLOOKUP(A1411,'Employee Engagement Survey'!A1402:E2871,5,FALSE)</f>
        <v>3</v>
      </c>
      <c r="AI1411">
        <f t="shared" si="117"/>
        <v>3.25</v>
      </c>
    </row>
    <row r="1412" spans="1:35" hidden="1" x14ac:dyDescent="0.4">
      <c r="A1412">
        <v>558</v>
      </c>
      <c r="B1412" t="s">
        <v>34</v>
      </c>
      <c r="C1412">
        <f t="shared" si="115"/>
        <v>1</v>
      </c>
      <c r="D1412" t="s">
        <v>110</v>
      </c>
      <c r="E1412">
        <f t="shared" si="116"/>
        <v>1</v>
      </c>
      <c r="F1412" t="s">
        <v>40</v>
      </c>
      <c r="G1412">
        <v>5</v>
      </c>
      <c r="H1412" s="1">
        <v>228492</v>
      </c>
      <c r="I1412" s="10">
        <v>0.14000000000000001</v>
      </c>
      <c r="J1412">
        <v>37.5</v>
      </c>
      <c r="K1412" t="s">
        <v>34</v>
      </c>
      <c r="L1412">
        <v>40</v>
      </c>
      <c r="M1412" t="s">
        <v>47</v>
      </c>
      <c r="N1412" t="s">
        <v>42</v>
      </c>
      <c r="O1412" t="s">
        <v>31</v>
      </c>
      <c r="P1412">
        <v>2</v>
      </c>
      <c r="Q1412" t="s">
        <v>51</v>
      </c>
      <c r="R1412" t="s">
        <v>37</v>
      </c>
      <c r="S1412">
        <v>3</v>
      </c>
      <c r="T1412">
        <v>0</v>
      </c>
      <c r="U1412">
        <v>21</v>
      </c>
      <c r="V1412">
        <v>2</v>
      </c>
      <c r="W1412">
        <v>20</v>
      </c>
      <c r="X1412">
        <v>15</v>
      </c>
      <c r="Y1412">
        <v>1</v>
      </c>
      <c r="Z1412">
        <v>12</v>
      </c>
      <c r="AA1412" t="str">
        <f t="shared" si="118"/>
        <v>Long Tenure</v>
      </c>
      <c r="AB1412" s="5">
        <v>45359</v>
      </c>
      <c r="AC1412">
        <f t="shared" si="119"/>
        <v>1</v>
      </c>
      <c r="AD1412" t="s">
        <v>49</v>
      </c>
      <c r="AE1412">
        <f>VLOOKUP(A1412,'Employee Engagement Survey'!A1403:B2872,2,FALSE)</f>
        <v>3</v>
      </c>
      <c r="AF1412">
        <f>VLOOKUP(A1412,'Employee Engagement Survey'!A1403:C2872,3,FALSE)</f>
        <v>3</v>
      </c>
      <c r="AG1412">
        <f>VLOOKUP(A1412,'Employee Engagement Survey'!A1403:D2872,4,FALSE)</f>
        <v>4</v>
      </c>
      <c r="AH1412">
        <f>VLOOKUP(A1412,'Employee Engagement Survey'!A1403:E2872,5,FALSE)</f>
        <v>3</v>
      </c>
      <c r="AI1412">
        <f t="shared" si="117"/>
        <v>3.25</v>
      </c>
    </row>
    <row r="1413" spans="1:35" x14ac:dyDescent="0.4">
      <c r="A1413">
        <v>1306</v>
      </c>
      <c r="B1413" t="s">
        <v>34</v>
      </c>
      <c r="C1413">
        <f t="shared" si="115"/>
        <v>1</v>
      </c>
      <c r="D1413" t="s">
        <v>109</v>
      </c>
      <c r="E1413">
        <f t="shared" si="116"/>
        <v>1</v>
      </c>
      <c r="F1413" t="s">
        <v>28</v>
      </c>
      <c r="G1413">
        <v>5</v>
      </c>
      <c r="H1413" s="1">
        <v>228732</v>
      </c>
      <c r="I1413" s="10">
        <v>0.22</v>
      </c>
      <c r="J1413">
        <v>37.5</v>
      </c>
      <c r="K1413" t="s">
        <v>34</v>
      </c>
      <c r="L1413">
        <v>45</v>
      </c>
      <c r="M1413" t="s">
        <v>47</v>
      </c>
      <c r="N1413" t="s">
        <v>30</v>
      </c>
      <c r="O1413" t="s">
        <v>44</v>
      </c>
      <c r="P1413">
        <v>25</v>
      </c>
      <c r="Q1413" t="s">
        <v>43</v>
      </c>
      <c r="R1413" t="s">
        <v>33</v>
      </c>
      <c r="S1413">
        <v>4</v>
      </c>
      <c r="T1413">
        <v>0</v>
      </c>
      <c r="U1413">
        <v>22</v>
      </c>
      <c r="V1413">
        <v>4</v>
      </c>
      <c r="W1413">
        <v>0</v>
      </c>
      <c r="X1413">
        <v>0</v>
      </c>
      <c r="Y1413">
        <v>0</v>
      </c>
      <c r="Z1413">
        <v>0</v>
      </c>
      <c r="AA1413" t="str">
        <f t="shared" si="118"/>
        <v>Early Tenure</v>
      </c>
      <c r="AB1413" s="5">
        <v>45182</v>
      </c>
      <c r="AC1413">
        <f t="shared" si="119"/>
        <v>0</v>
      </c>
      <c r="AD1413" t="s">
        <v>49</v>
      </c>
      <c r="AE1413">
        <f>VLOOKUP(A1413,'Employee Engagement Survey'!A1404:B2873,2,FALSE)</f>
        <v>2</v>
      </c>
      <c r="AF1413">
        <f>VLOOKUP(A1413,'Employee Engagement Survey'!A1404:C2873,3,FALSE)</f>
        <v>2</v>
      </c>
      <c r="AG1413">
        <f>VLOOKUP(A1413,'Employee Engagement Survey'!A1404:D2873,4,FALSE)</f>
        <v>3</v>
      </c>
      <c r="AH1413">
        <f>VLOOKUP(A1413,'Employee Engagement Survey'!A1404:E2873,5,FALSE)</f>
        <v>3</v>
      </c>
      <c r="AI1413">
        <f t="shared" si="117"/>
        <v>2.5</v>
      </c>
    </row>
    <row r="1414" spans="1:35" hidden="1" x14ac:dyDescent="0.4">
      <c r="A1414">
        <v>141</v>
      </c>
      <c r="B1414" t="s">
        <v>34</v>
      </c>
      <c r="C1414">
        <f t="shared" si="115"/>
        <v>1</v>
      </c>
      <c r="D1414" t="s">
        <v>60</v>
      </c>
      <c r="E1414">
        <f t="shared" si="116"/>
        <v>1</v>
      </c>
      <c r="F1414" t="s">
        <v>28</v>
      </c>
      <c r="G1414">
        <v>5</v>
      </c>
      <c r="H1414" s="1">
        <v>230064</v>
      </c>
      <c r="I1414" s="10">
        <v>0.19</v>
      </c>
      <c r="J1414">
        <v>37.5</v>
      </c>
      <c r="K1414" t="s">
        <v>26</v>
      </c>
      <c r="L1414">
        <v>50</v>
      </c>
      <c r="M1414" t="s">
        <v>47</v>
      </c>
      <c r="N1414" t="s">
        <v>42</v>
      </c>
      <c r="O1414" t="s">
        <v>44</v>
      </c>
      <c r="P1414">
        <v>1</v>
      </c>
      <c r="Q1414" t="s">
        <v>43</v>
      </c>
      <c r="R1414" t="s">
        <v>37</v>
      </c>
      <c r="S1414">
        <v>3</v>
      </c>
      <c r="T1414">
        <v>0</v>
      </c>
      <c r="U1414">
        <v>28</v>
      </c>
      <c r="V1414">
        <v>1</v>
      </c>
      <c r="W1414">
        <v>8</v>
      </c>
      <c r="X1414">
        <v>3</v>
      </c>
      <c r="Y1414">
        <v>0</v>
      </c>
      <c r="Z1414">
        <v>7</v>
      </c>
      <c r="AA1414" t="str">
        <f t="shared" si="118"/>
        <v>Mid Tenure</v>
      </c>
      <c r="AB1414" s="5">
        <v>45597</v>
      </c>
      <c r="AC1414">
        <f t="shared" si="119"/>
        <v>1</v>
      </c>
      <c r="AD1414" t="s">
        <v>38</v>
      </c>
      <c r="AE1414">
        <f>VLOOKUP(A1414,'Employee Engagement Survey'!A1405:B2874,2,FALSE)</f>
        <v>1</v>
      </c>
      <c r="AF1414">
        <f>VLOOKUP(A1414,'Employee Engagement Survey'!A1405:C2874,3,FALSE)</f>
        <v>2</v>
      </c>
      <c r="AG1414">
        <f>VLOOKUP(A1414,'Employee Engagement Survey'!A1405:D2874,4,FALSE)</f>
        <v>1</v>
      </c>
      <c r="AH1414">
        <f>VLOOKUP(A1414,'Employee Engagement Survey'!A1405:E2874,5,FALSE)</f>
        <v>2</v>
      </c>
      <c r="AI1414">
        <f t="shared" si="117"/>
        <v>1.5</v>
      </c>
    </row>
    <row r="1415" spans="1:35" hidden="1" x14ac:dyDescent="0.4">
      <c r="A1415">
        <v>1971</v>
      </c>
      <c r="B1415" t="s">
        <v>34</v>
      </c>
      <c r="C1415">
        <f t="shared" si="115"/>
        <v>1</v>
      </c>
      <c r="D1415" t="s">
        <v>55</v>
      </c>
      <c r="E1415">
        <f t="shared" si="116"/>
        <v>0</v>
      </c>
      <c r="F1415" t="s">
        <v>28</v>
      </c>
      <c r="G1415">
        <v>9</v>
      </c>
      <c r="H1415" s="1">
        <v>102120</v>
      </c>
      <c r="I1415" s="10">
        <v>0.17</v>
      </c>
      <c r="J1415">
        <v>37.5</v>
      </c>
      <c r="K1415" t="s">
        <v>34</v>
      </c>
      <c r="L1415">
        <v>43</v>
      </c>
      <c r="M1415" t="s">
        <v>29</v>
      </c>
      <c r="N1415" t="s">
        <v>42</v>
      </c>
      <c r="O1415" t="s">
        <v>31</v>
      </c>
      <c r="P1415">
        <v>11</v>
      </c>
      <c r="Q1415" t="s">
        <v>43</v>
      </c>
      <c r="R1415" t="s">
        <v>37</v>
      </c>
      <c r="S1415">
        <v>3</v>
      </c>
      <c r="T1415">
        <v>1</v>
      </c>
      <c r="U1415">
        <v>10</v>
      </c>
      <c r="V1415">
        <v>1</v>
      </c>
      <c r="W1415">
        <v>10</v>
      </c>
      <c r="X1415">
        <v>9</v>
      </c>
      <c r="Y1415">
        <v>0</v>
      </c>
      <c r="Z1415">
        <v>9</v>
      </c>
      <c r="AA1415" t="str">
        <f t="shared" si="118"/>
        <v>Long Tenure</v>
      </c>
      <c r="AB1415" s="5">
        <v>44608</v>
      </c>
      <c r="AC1415">
        <f t="shared" si="119"/>
        <v>0</v>
      </c>
      <c r="AD1415" t="s">
        <v>38</v>
      </c>
      <c r="AE1415">
        <f>VLOOKUP(A1415,'Employee Engagement Survey'!A1406:B2875,2,FALSE)</f>
        <v>1</v>
      </c>
      <c r="AF1415">
        <f>VLOOKUP(A1415,'Employee Engagement Survey'!A1406:C2875,3,FALSE)</f>
        <v>3</v>
      </c>
      <c r="AG1415">
        <f>VLOOKUP(A1415,'Employee Engagement Survey'!A1406:D2875,4,FALSE)</f>
        <v>2</v>
      </c>
      <c r="AH1415">
        <f>VLOOKUP(A1415,'Employee Engagement Survey'!A1406:E2875,5,FALSE)</f>
        <v>3</v>
      </c>
      <c r="AI1415">
        <f t="shared" si="117"/>
        <v>2.25</v>
      </c>
    </row>
    <row r="1416" spans="1:35" hidden="1" x14ac:dyDescent="0.4">
      <c r="A1416">
        <v>1972</v>
      </c>
      <c r="B1416" t="s">
        <v>34</v>
      </c>
      <c r="C1416">
        <f t="shared" si="115"/>
        <v>1</v>
      </c>
      <c r="D1416" t="s">
        <v>105</v>
      </c>
      <c r="E1416">
        <f t="shared" si="116"/>
        <v>0</v>
      </c>
      <c r="F1416" t="s">
        <v>59</v>
      </c>
      <c r="G1416">
        <v>5</v>
      </c>
      <c r="H1416" s="1">
        <v>59892</v>
      </c>
      <c r="I1416" s="10">
        <v>0.11</v>
      </c>
      <c r="J1416">
        <v>37.5</v>
      </c>
      <c r="K1416" t="s">
        <v>26</v>
      </c>
      <c r="L1416">
        <v>38</v>
      </c>
      <c r="M1416" t="s">
        <v>29</v>
      </c>
      <c r="N1416" t="s">
        <v>42</v>
      </c>
      <c r="O1416" t="s">
        <v>44</v>
      </c>
      <c r="P1416">
        <v>1</v>
      </c>
      <c r="Q1416" t="s">
        <v>51</v>
      </c>
      <c r="R1416" t="s">
        <v>53</v>
      </c>
      <c r="S1416">
        <v>3</v>
      </c>
      <c r="T1416">
        <v>1</v>
      </c>
      <c r="U1416">
        <v>7</v>
      </c>
      <c r="V1416">
        <v>2</v>
      </c>
      <c r="W1416">
        <v>6</v>
      </c>
      <c r="X1416">
        <v>2</v>
      </c>
      <c r="Y1416">
        <v>1</v>
      </c>
      <c r="Z1416">
        <v>2</v>
      </c>
      <c r="AA1416" t="str">
        <f t="shared" si="118"/>
        <v>Mid Tenure</v>
      </c>
      <c r="AB1416" s="5">
        <v>45889</v>
      </c>
      <c r="AC1416">
        <f t="shared" si="119"/>
        <v>1</v>
      </c>
      <c r="AD1416" t="s">
        <v>38</v>
      </c>
      <c r="AE1416">
        <f>VLOOKUP(A1416,'Employee Engagement Survey'!A1407:B2876,2,FALSE)</f>
        <v>4</v>
      </c>
      <c r="AF1416">
        <f>VLOOKUP(A1416,'Employee Engagement Survey'!A1407:C2876,3,FALSE)</f>
        <v>2</v>
      </c>
      <c r="AG1416">
        <f>VLOOKUP(A1416,'Employee Engagement Survey'!A1407:D2876,4,FALSE)</f>
        <v>2</v>
      </c>
      <c r="AH1416">
        <f>VLOOKUP(A1416,'Employee Engagement Survey'!A1407:E2876,5,FALSE)</f>
        <v>3</v>
      </c>
      <c r="AI1416">
        <f t="shared" si="117"/>
        <v>2.75</v>
      </c>
    </row>
    <row r="1417" spans="1:35" hidden="1" x14ac:dyDescent="0.4">
      <c r="A1417">
        <v>1973</v>
      </c>
      <c r="B1417" t="s">
        <v>34</v>
      </c>
      <c r="C1417">
        <f t="shared" si="115"/>
        <v>1</v>
      </c>
      <c r="D1417" t="s">
        <v>108</v>
      </c>
      <c r="E1417">
        <f t="shared" si="116"/>
        <v>1</v>
      </c>
      <c r="F1417" t="s">
        <v>59</v>
      </c>
      <c r="G1417">
        <v>5</v>
      </c>
      <c r="H1417" s="1">
        <v>247632</v>
      </c>
      <c r="I1417" s="10">
        <v>0.18</v>
      </c>
      <c r="J1417">
        <v>37.5</v>
      </c>
      <c r="K1417" t="s">
        <v>26</v>
      </c>
      <c r="L1417">
        <v>55</v>
      </c>
      <c r="M1417" t="s">
        <v>29</v>
      </c>
      <c r="N1417" t="s">
        <v>42</v>
      </c>
      <c r="O1417" t="s">
        <v>31</v>
      </c>
      <c r="P1417">
        <v>26</v>
      </c>
      <c r="Q1417" t="s">
        <v>51</v>
      </c>
      <c r="R1417" t="s">
        <v>59</v>
      </c>
      <c r="S1417">
        <v>3</v>
      </c>
      <c r="T1417">
        <v>1</v>
      </c>
      <c r="U1417">
        <v>35</v>
      </c>
      <c r="V1417">
        <v>0</v>
      </c>
      <c r="W1417">
        <v>10</v>
      </c>
      <c r="X1417">
        <v>9</v>
      </c>
      <c r="Y1417">
        <v>1</v>
      </c>
      <c r="Z1417">
        <v>4</v>
      </c>
      <c r="AA1417" t="str">
        <f t="shared" si="118"/>
        <v>Long Tenure</v>
      </c>
      <c r="AB1417" s="5">
        <v>44797</v>
      </c>
      <c r="AC1417">
        <f t="shared" si="119"/>
        <v>0</v>
      </c>
      <c r="AD1417" t="s">
        <v>38</v>
      </c>
      <c r="AE1417">
        <f>VLOOKUP(A1417,'Employee Engagement Survey'!A1408:B2877,2,FALSE)</f>
        <v>3</v>
      </c>
      <c r="AF1417">
        <f>VLOOKUP(A1417,'Employee Engagement Survey'!A1408:C2877,3,FALSE)</f>
        <v>2</v>
      </c>
      <c r="AG1417">
        <f>VLOOKUP(A1417,'Employee Engagement Survey'!A1408:D2877,4,FALSE)</f>
        <v>1</v>
      </c>
      <c r="AH1417">
        <f>VLOOKUP(A1417,'Employee Engagement Survey'!A1408:E2877,5,FALSE)</f>
        <v>3</v>
      </c>
      <c r="AI1417">
        <f t="shared" si="117"/>
        <v>2.25</v>
      </c>
    </row>
    <row r="1418" spans="1:35" hidden="1" x14ac:dyDescent="0.4">
      <c r="A1418">
        <v>1975</v>
      </c>
      <c r="B1418" t="s">
        <v>34</v>
      </c>
      <c r="C1418">
        <f t="shared" si="115"/>
        <v>1</v>
      </c>
      <c r="D1418" t="s">
        <v>57</v>
      </c>
      <c r="E1418">
        <f t="shared" si="116"/>
        <v>0</v>
      </c>
      <c r="F1418" t="s">
        <v>40</v>
      </c>
      <c r="G1418">
        <v>10</v>
      </c>
      <c r="H1418" s="1">
        <v>172092</v>
      </c>
      <c r="I1418" s="10">
        <v>0.12</v>
      </c>
      <c r="J1418">
        <v>37.5</v>
      </c>
      <c r="K1418" t="s">
        <v>34</v>
      </c>
      <c r="L1418">
        <v>39</v>
      </c>
      <c r="M1418" t="s">
        <v>29</v>
      </c>
      <c r="N1418" t="s">
        <v>30</v>
      </c>
      <c r="O1418" t="s">
        <v>31</v>
      </c>
      <c r="P1418">
        <v>15</v>
      </c>
      <c r="Q1418" t="s">
        <v>51</v>
      </c>
      <c r="R1418" t="s">
        <v>56</v>
      </c>
      <c r="S1418">
        <v>3</v>
      </c>
      <c r="T1418">
        <v>0</v>
      </c>
      <c r="U1418">
        <v>21</v>
      </c>
      <c r="V1418">
        <v>3</v>
      </c>
      <c r="W1418">
        <v>20</v>
      </c>
      <c r="X1418">
        <v>8</v>
      </c>
      <c r="Y1418">
        <v>11</v>
      </c>
      <c r="Z1418">
        <v>10</v>
      </c>
      <c r="AA1418" t="str">
        <f t="shared" si="118"/>
        <v>Long Tenure</v>
      </c>
      <c r="AB1418" s="5">
        <v>44925</v>
      </c>
      <c r="AC1418">
        <f t="shared" si="119"/>
        <v>0</v>
      </c>
      <c r="AD1418" t="s">
        <v>49</v>
      </c>
      <c r="AE1418">
        <f>VLOOKUP(A1418,'Employee Engagement Survey'!A1409:B2878,2,FALSE)</f>
        <v>2</v>
      </c>
      <c r="AF1418">
        <f>VLOOKUP(A1418,'Employee Engagement Survey'!A1409:C2878,3,FALSE)</f>
        <v>1</v>
      </c>
      <c r="AG1418">
        <f>VLOOKUP(A1418,'Employee Engagement Survey'!A1409:D2878,4,FALSE)</f>
        <v>1</v>
      </c>
      <c r="AH1418">
        <f>VLOOKUP(A1418,'Employee Engagement Survey'!A1409:E2878,5,FALSE)</f>
        <v>3</v>
      </c>
      <c r="AI1418">
        <f t="shared" si="117"/>
        <v>1.75</v>
      </c>
    </row>
    <row r="1419" spans="1:35" hidden="1" x14ac:dyDescent="0.4">
      <c r="A1419">
        <v>1976</v>
      </c>
      <c r="B1419" t="s">
        <v>34</v>
      </c>
      <c r="C1419">
        <f t="shared" si="115"/>
        <v>1</v>
      </c>
      <c r="D1419" t="s">
        <v>27</v>
      </c>
      <c r="E1419">
        <f t="shared" si="116"/>
        <v>0</v>
      </c>
      <c r="F1419" t="s">
        <v>28</v>
      </c>
      <c r="G1419">
        <v>6</v>
      </c>
      <c r="H1419" s="1">
        <v>63984</v>
      </c>
      <c r="I1419" s="10">
        <v>0.12</v>
      </c>
      <c r="J1419">
        <v>37.5</v>
      </c>
      <c r="K1419" t="s">
        <v>34</v>
      </c>
      <c r="L1419">
        <v>42</v>
      </c>
      <c r="M1419" t="s">
        <v>29</v>
      </c>
      <c r="N1419" t="s">
        <v>30</v>
      </c>
      <c r="O1419" t="s">
        <v>35</v>
      </c>
      <c r="P1419">
        <v>23</v>
      </c>
      <c r="Q1419" t="s">
        <v>36</v>
      </c>
      <c r="R1419" t="s">
        <v>37</v>
      </c>
      <c r="S1419">
        <v>3</v>
      </c>
      <c r="T1419">
        <v>0</v>
      </c>
      <c r="U1419">
        <v>20</v>
      </c>
      <c r="V1419">
        <v>2</v>
      </c>
      <c r="W1419">
        <v>20</v>
      </c>
      <c r="X1419">
        <v>9</v>
      </c>
      <c r="Y1419">
        <v>3</v>
      </c>
      <c r="Z1419">
        <v>7</v>
      </c>
      <c r="AA1419" t="str">
        <f t="shared" si="118"/>
        <v>Long Tenure</v>
      </c>
      <c r="AB1419" s="5">
        <v>44717</v>
      </c>
      <c r="AC1419">
        <f t="shared" si="119"/>
        <v>0</v>
      </c>
      <c r="AD1419" t="s">
        <v>38</v>
      </c>
      <c r="AE1419">
        <f>VLOOKUP(A1419,'Employee Engagement Survey'!A1410:B2879,2,FALSE)</f>
        <v>4</v>
      </c>
      <c r="AF1419">
        <f>VLOOKUP(A1419,'Employee Engagement Survey'!A1410:C2879,3,FALSE)</f>
        <v>3</v>
      </c>
      <c r="AG1419">
        <f>VLOOKUP(A1419,'Employee Engagement Survey'!A1410:D2879,4,FALSE)</f>
        <v>4</v>
      </c>
      <c r="AH1419">
        <f>VLOOKUP(A1419,'Employee Engagement Survey'!A1410:E2879,5,FALSE)</f>
        <v>3</v>
      </c>
      <c r="AI1419">
        <f t="shared" si="117"/>
        <v>3.5</v>
      </c>
    </row>
    <row r="1420" spans="1:35" hidden="1" x14ac:dyDescent="0.4">
      <c r="A1420">
        <v>1981</v>
      </c>
      <c r="B1420" t="s">
        <v>34</v>
      </c>
      <c r="C1420">
        <f t="shared" si="115"/>
        <v>1</v>
      </c>
      <c r="D1420" t="s">
        <v>55</v>
      </c>
      <c r="E1420">
        <f t="shared" si="116"/>
        <v>0</v>
      </c>
      <c r="F1420" t="s">
        <v>28</v>
      </c>
      <c r="G1420">
        <v>6</v>
      </c>
      <c r="H1420" s="1">
        <v>67404</v>
      </c>
      <c r="I1420" s="10">
        <v>0.12</v>
      </c>
      <c r="J1420">
        <v>37.5</v>
      </c>
      <c r="K1420" t="s">
        <v>34</v>
      </c>
      <c r="L1420">
        <v>24</v>
      </c>
      <c r="M1420" t="s">
        <v>29</v>
      </c>
      <c r="N1420" t="s">
        <v>30</v>
      </c>
      <c r="O1420" t="s">
        <v>31</v>
      </c>
      <c r="P1420">
        <v>1</v>
      </c>
      <c r="Q1420" t="s">
        <v>36</v>
      </c>
      <c r="R1420" t="s">
        <v>37</v>
      </c>
      <c r="S1420">
        <v>3</v>
      </c>
      <c r="T1420">
        <v>0</v>
      </c>
      <c r="U1420">
        <v>4</v>
      </c>
      <c r="V1420">
        <v>2</v>
      </c>
      <c r="W1420">
        <v>4</v>
      </c>
      <c r="X1420">
        <v>3</v>
      </c>
      <c r="Y1420">
        <v>1</v>
      </c>
      <c r="Z1420">
        <v>2</v>
      </c>
      <c r="AA1420" t="str">
        <f t="shared" si="118"/>
        <v>Mid Tenure</v>
      </c>
      <c r="AB1420" s="5">
        <v>45075</v>
      </c>
      <c r="AC1420">
        <f t="shared" si="119"/>
        <v>0</v>
      </c>
      <c r="AD1420" t="s">
        <v>38</v>
      </c>
      <c r="AE1420">
        <f>VLOOKUP(A1420,'Employee Engagement Survey'!A1411:B2880,2,FALSE)</f>
        <v>2</v>
      </c>
      <c r="AF1420">
        <f>VLOOKUP(A1420,'Employee Engagement Survey'!A1411:C2880,3,FALSE)</f>
        <v>3</v>
      </c>
      <c r="AG1420">
        <f>VLOOKUP(A1420,'Employee Engagement Survey'!A1411:D2880,4,FALSE)</f>
        <v>2</v>
      </c>
      <c r="AH1420">
        <f>VLOOKUP(A1420,'Employee Engagement Survey'!A1411:E2880,5,FALSE)</f>
        <v>2</v>
      </c>
      <c r="AI1420">
        <f t="shared" si="117"/>
        <v>2.25</v>
      </c>
    </row>
    <row r="1421" spans="1:35" hidden="1" x14ac:dyDescent="0.4">
      <c r="A1421">
        <v>1201</v>
      </c>
      <c r="B1421" t="s">
        <v>34</v>
      </c>
      <c r="C1421">
        <f t="shared" si="115"/>
        <v>1</v>
      </c>
      <c r="D1421" t="s">
        <v>109</v>
      </c>
      <c r="E1421">
        <f t="shared" si="116"/>
        <v>1</v>
      </c>
      <c r="F1421" t="s">
        <v>28</v>
      </c>
      <c r="G1421">
        <v>5</v>
      </c>
      <c r="H1421" s="1">
        <v>235272</v>
      </c>
      <c r="I1421" s="10">
        <v>0.18</v>
      </c>
      <c r="J1421">
        <v>37.5</v>
      </c>
      <c r="K1421" t="s">
        <v>34</v>
      </c>
      <c r="L1421">
        <v>53</v>
      </c>
      <c r="M1421" t="s">
        <v>47</v>
      </c>
      <c r="N1421" t="s">
        <v>48</v>
      </c>
      <c r="O1421" t="s">
        <v>31</v>
      </c>
      <c r="P1421">
        <v>7</v>
      </c>
      <c r="Q1421" t="s">
        <v>36</v>
      </c>
      <c r="R1421" t="s">
        <v>33</v>
      </c>
      <c r="S1421">
        <v>3</v>
      </c>
      <c r="T1421">
        <v>1</v>
      </c>
      <c r="U1421">
        <v>26</v>
      </c>
      <c r="V1421">
        <v>6</v>
      </c>
      <c r="W1421">
        <v>7</v>
      </c>
      <c r="X1421">
        <v>7</v>
      </c>
      <c r="Y1421">
        <v>4</v>
      </c>
      <c r="Z1421">
        <v>7</v>
      </c>
      <c r="AA1421" t="str">
        <f t="shared" si="118"/>
        <v>Mid Tenure</v>
      </c>
      <c r="AB1421" s="5">
        <v>45957</v>
      </c>
      <c r="AC1421">
        <f t="shared" si="119"/>
        <v>1</v>
      </c>
      <c r="AD1421" t="s">
        <v>38</v>
      </c>
      <c r="AE1421">
        <f>VLOOKUP(A1421,'Employee Engagement Survey'!A1412:B2881,2,FALSE)</f>
        <v>4</v>
      </c>
      <c r="AF1421">
        <f>VLOOKUP(A1421,'Employee Engagement Survey'!A1412:C2881,3,FALSE)</f>
        <v>3</v>
      </c>
      <c r="AG1421">
        <f>VLOOKUP(A1421,'Employee Engagement Survey'!A1412:D2881,4,FALSE)</f>
        <v>2</v>
      </c>
      <c r="AH1421">
        <f>VLOOKUP(A1421,'Employee Engagement Survey'!A1412:E2881,5,FALSE)</f>
        <v>3</v>
      </c>
      <c r="AI1421">
        <f t="shared" si="117"/>
        <v>3</v>
      </c>
    </row>
    <row r="1422" spans="1:35" hidden="1" x14ac:dyDescent="0.4">
      <c r="A1422">
        <v>396</v>
      </c>
      <c r="B1422" t="s">
        <v>34</v>
      </c>
      <c r="C1422">
        <f t="shared" si="115"/>
        <v>1</v>
      </c>
      <c r="D1422" t="s">
        <v>60</v>
      </c>
      <c r="E1422">
        <f t="shared" si="116"/>
        <v>1</v>
      </c>
      <c r="F1422" t="s">
        <v>28</v>
      </c>
      <c r="G1422">
        <v>5</v>
      </c>
      <c r="H1422" s="1">
        <v>235980</v>
      </c>
      <c r="I1422" s="10">
        <v>0.11</v>
      </c>
      <c r="J1422">
        <v>37.5</v>
      </c>
      <c r="K1422" t="s">
        <v>26</v>
      </c>
      <c r="L1422">
        <v>49</v>
      </c>
      <c r="M1422" t="s">
        <v>47</v>
      </c>
      <c r="N1422" t="s">
        <v>30</v>
      </c>
      <c r="O1422" t="s">
        <v>44</v>
      </c>
      <c r="P1422">
        <v>10</v>
      </c>
      <c r="Q1422" t="s">
        <v>51</v>
      </c>
      <c r="R1422" t="s">
        <v>37</v>
      </c>
      <c r="S1422">
        <v>3</v>
      </c>
      <c r="T1422">
        <v>0</v>
      </c>
      <c r="U1422">
        <v>22</v>
      </c>
      <c r="V1422">
        <v>4</v>
      </c>
      <c r="W1422">
        <v>3</v>
      </c>
      <c r="X1422">
        <v>2</v>
      </c>
      <c r="Y1422">
        <v>1</v>
      </c>
      <c r="Z1422">
        <v>2</v>
      </c>
      <c r="AA1422" t="str">
        <f t="shared" si="118"/>
        <v>Mid Tenure</v>
      </c>
      <c r="AB1422" s="5">
        <v>45815</v>
      </c>
      <c r="AC1422">
        <f t="shared" si="119"/>
        <v>1</v>
      </c>
      <c r="AD1422" t="s">
        <v>38</v>
      </c>
      <c r="AE1422">
        <f>VLOOKUP(A1422,'Employee Engagement Survey'!A1413:B2882,2,FALSE)</f>
        <v>3</v>
      </c>
      <c r="AF1422">
        <f>VLOOKUP(A1422,'Employee Engagement Survey'!A1413:C2882,3,FALSE)</f>
        <v>1</v>
      </c>
      <c r="AG1422">
        <f>VLOOKUP(A1422,'Employee Engagement Survey'!A1413:D2882,4,FALSE)</f>
        <v>4</v>
      </c>
      <c r="AH1422">
        <f>VLOOKUP(A1422,'Employee Engagement Survey'!A1413:E2882,5,FALSE)</f>
        <v>3</v>
      </c>
      <c r="AI1422">
        <f t="shared" si="117"/>
        <v>2.75</v>
      </c>
    </row>
    <row r="1423" spans="1:35" hidden="1" x14ac:dyDescent="0.4">
      <c r="A1423">
        <v>1982</v>
      </c>
      <c r="B1423" t="s">
        <v>34</v>
      </c>
      <c r="C1423">
        <f t="shared" si="115"/>
        <v>1</v>
      </c>
      <c r="D1423" t="s">
        <v>46</v>
      </c>
      <c r="E1423">
        <f t="shared" si="116"/>
        <v>0</v>
      </c>
      <c r="F1423" t="s">
        <v>28</v>
      </c>
      <c r="G1423">
        <v>5</v>
      </c>
      <c r="H1423" s="1">
        <v>55764</v>
      </c>
      <c r="I1423" s="10">
        <v>0.13</v>
      </c>
      <c r="J1423">
        <v>37.5</v>
      </c>
      <c r="K1423" t="s">
        <v>34</v>
      </c>
      <c r="L1423">
        <v>23</v>
      </c>
      <c r="M1423" t="s">
        <v>29</v>
      </c>
      <c r="N1423" t="s">
        <v>30</v>
      </c>
      <c r="O1423" t="s">
        <v>31</v>
      </c>
      <c r="P1423">
        <v>12</v>
      </c>
      <c r="Q1423" t="s">
        <v>36</v>
      </c>
      <c r="R1423" t="s">
        <v>53</v>
      </c>
      <c r="S1423">
        <v>3</v>
      </c>
      <c r="T1423">
        <v>0</v>
      </c>
      <c r="U1423">
        <v>5</v>
      </c>
      <c r="V1423">
        <v>6</v>
      </c>
      <c r="W1423">
        <v>5</v>
      </c>
      <c r="X1423">
        <v>2</v>
      </c>
      <c r="Y1423">
        <v>1</v>
      </c>
      <c r="Z1423">
        <v>4</v>
      </c>
      <c r="AA1423" t="str">
        <f t="shared" si="118"/>
        <v>Mid Tenure</v>
      </c>
      <c r="AB1423" s="5">
        <v>45157</v>
      </c>
      <c r="AC1423">
        <f t="shared" si="119"/>
        <v>0</v>
      </c>
      <c r="AD1423" t="s">
        <v>38</v>
      </c>
      <c r="AE1423">
        <f>VLOOKUP(A1423,'Employee Engagement Survey'!A1414:B2883,2,FALSE)</f>
        <v>4</v>
      </c>
      <c r="AF1423">
        <f>VLOOKUP(A1423,'Employee Engagement Survey'!A1414:C2883,3,FALSE)</f>
        <v>4</v>
      </c>
      <c r="AG1423">
        <f>VLOOKUP(A1423,'Employee Engagement Survey'!A1414:D2883,4,FALSE)</f>
        <v>3</v>
      </c>
      <c r="AH1423">
        <f>VLOOKUP(A1423,'Employee Engagement Survey'!A1414:E2883,5,FALSE)</f>
        <v>4</v>
      </c>
      <c r="AI1423">
        <f t="shared" si="117"/>
        <v>3.75</v>
      </c>
    </row>
    <row r="1424" spans="1:35" hidden="1" x14ac:dyDescent="0.4">
      <c r="A1424">
        <v>1989</v>
      </c>
      <c r="B1424" t="s">
        <v>34</v>
      </c>
      <c r="C1424">
        <f t="shared" si="115"/>
        <v>1</v>
      </c>
      <c r="D1424" t="s">
        <v>46</v>
      </c>
      <c r="E1424">
        <f t="shared" si="116"/>
        <v>0</v>
      </c>
      <c r="F1424" t="s">
        <v>28</v>
      </c>
      <c r="G1424">
        <v>6</v>
      </c>
      <c r="H1424" s="1">
        <v>68976</v>
      </c>
      <c r="I1424" s="10">
        <v>0.13</v>
      </c>
      <c r="J1424">
        <v>37.5</v>
      </c>
      <c r="K1424" t="s">
        <v>34</v>
      </c>
      <c r="L1424">
        <v>30</v>
      </c>
      <c r="M1424" t="s">
        <v>29</v>
      </c>
      <c r="N1424" t="s">
        <v>42</v>
      </c>
      <c r="O1424" t="s">
        <v>31</v>
      </c>
      <c r="P1424">
        <v>1</v>
      </c>
      <c r="Q1424" t="s">
        <v>36</v>
      </c>
      <c r="R1424" t="s">
        <v>33</v>
      </c>
      <c r="S1424">
        <v>3</v>
      </c>
      <c r="T1424">
        <v>0</v>
      </c>
      <c r="U1424">
        <v>12</v>
      </c>
      <c r="V1424">
        <v>6</v>
      </c>
      <c r="W1424">
        <v>12</v>
      </c>
      <c r="X1424">
        <v>8</v>
      </c>
      <c r="Y1424">
        <v>1</v>
      </c>
      <c r="Z1424">
        <v>7</v>
      </c>
      <c r="AA1424" t="str">
        <f t="shared" si="118"/>
        <v>Long Tenure</v>
      </c>
      <c r="AB1424" s="5">
        <v>45135</v>
      </c>
      <c r="AC1424">
        <f t="shared" si="119"/>
        <v>0</v>
      </c>
      <c r="AD1424" t="s">
        <v>49</v>
      </c>
      <c r="AE1424">
        <f>VLOOKUP(A1424,'Employee Engagement Survey'!A1415:B2884,2,FALSE)</f>
        <v>4</v>
      </c>
      <c r="AF1424">
        <f>VLOOKUP(A1424,'Employee Engagement Survey'!A1415:C2884,3,FALSE)</f>
        <v>2</v>
      </c>
      <c r="AG1424">
        <f>VLOOKUP(A1424,'Employee Engagement Survey'!A1415:D2884,4,FALSE)</f>
        <v>3</v>
      </c>
      <c r="AH1424">
        <f>VLOOKUP(A1424,'Employee Engagement Survey'!A1415:E2884,5,FALSE)</f>
        <v>2</v>
      </c>
      <c r="AI1424">
        <f t="shared" si="117"/>
        <v>2.75</v>
      </c>
    </row>
    <row r="1425" spans="1:35" hidden="1" x14ac:dyDescent="0.4">
      <c r="A1425">
        <v>80</v>
      </c>
      <c r="B1425" t="s">
        <v>34</v>
      </c>
      <c r="C1425">
        <f t="shared" si="115"/>
        <v>1</v>
      </c>
      <c r="D1425" t="s">
        <v>60</v>
      </c>
      <c r="E1425">
        <f t="shared" si="116"/>
        <v>1</v>
      </c>
      <c r="F1425" t="s">
        <v>28</v>
      </c>
      <c r="G1425">
        <v>5</v>
      </c>
      <c r="H1425" s="1">
        <v>236880</v>
      </c>
      <c r="I1425" s="10">
        <v>0.12</v>
      </c>
      <c r="J1425">
        <v>37.5</v>
      </c>
      <c r="K1425" t="s">
        <v>26</v>
      </c>
      <c r="L1425">
        <v>50</v>
      </c>
      <c r="M1425" t="s">
        <v>47</v>
      </c>
      <c r="N1425" t="s">
        <v>48</v>
      </c>
      <c r="O1425" t="s">
        <v>31</v>
      </c>
      <c r="P1425">
        <v>7</v>
      </c>
      <c r="Q1425" t="s">
        <v>36</v>
      </c>
      <c r="R1425" t="s">
        <v>33</v>
      </c>
      <c r="S1425">
        <v>3</v>
      </c>
      <c r="T1425">
        <v>1</v>
      </c>
      <c r="U1425">
        <v>29</v>
      </c>
      <c r="V1425">
        <v>2</v>
      </c>
      <c r="W1425">
        <v>27</v>
      </c>
      <c r="X1425">
        <v>3</v>
      </c>
      <c r="Y1425">
        <v>13</v>
      </c>
      <c r="Z1425">
        <v>8</v>
      </c>
      <c r="AA1425" t="str">
        <f t="shared" si="118"/>
        <v>Long Tenure</v>
      </c>
      <c r="AB1425" s="5">
        <v>44582</v>
      </c>
      <c r="AC1425">
        <f t="shared" si="119"/>
        <v>0</v>
      </c>
      <c r="AD1425" t="s">
        <v>49</v>
      </c>
      <c r="AE1425">
        <f>VLOOKUP(A1425,'Employee Engagement Survey'!A1416:B2885,2,FALSE)</f>
        <v>2</v>
      </c>
      <c r="AF1425">
        <f>VLOOKUP(A1425,'Employee Engagement Survey'!A1416:C2885,3,FALSE)</f>
        <v>3</v>
      </c>
      <c r="AG1425">
        <f>VLOOKUP(A1425,'Employee Engagement Survey'!A1416:D2885,4,FALSE)</f>
        <v>4</v>
      </c>
      <c r="AH1425">
        <f>VLOOKUP(A1425,'Employee Engagement Survey'!A1416:E2885,5,FALSE)</f>
        <v>2</v>
      </c>
      <c r="AI1425">
        <f t="shared" si="117"/>
        <v>2.75</v>
      </c>
    </row>
    <row r="1426" spans="1:35" hidden="1" x14ac:dyDescent="0.4">
      <c r="A1426">
        <v>1280</v>
      </c>
      <c r="B1426" t="s">
        <v>34</v>
      </c>
      <c r="C1426">
        <f t="shared" si="115"/>
        <v>1</v>
      </c>
      <c r="D1426" t="s">
        <v>110</v>
      </c>
      <c r="E1426">
        <f t="shared" si="116"/>
        <v>1</v>
      </c>
      <c r="F1426" t="s">
        <v>40</v>
      </c>
      <c r="G1426">
        <v>5</v>
      </c>
      <c r="H1426" s="1">
        <v>237468</v>
      </c>
      <c r="I1426" s="10">
        <v>0.14000000000000001</v>
      </c>
      <c r="J1426">
        <v>37.5</v>
      </c>
      <c r="K1426" t="s">
        <v>34</v>
      </c>
      <c r="L1426">
        <v>46</v>
      </c>
      <c r="M1426" t="s">
        <v>47</v>
      </c>
      <c r="N1426" t="s">
        <v>42</v>
      </c>
      <c r="O1426" t="s">
        <v>31</v>
      </c>
      <c r="P1426">
        <v>4</v>
      </c>
      <c r="Q1426" t="s">
        <v>36</v>
      </c>
      <c r="R1426" t="s">
        <v>56</v>
      </c>
      <c r="S1426">
        <v>3</v>
      </c>
      <c r="T1426">
        <v>1</v>
      </c>
      <c r="U1426">
        <v>26</v>
      </c>
      <c r="V1426">
        <v>2</v>
      </c>
      <c r="W1426">
        <v>11</v>
      </c>
      <c r="X1426">
        <v>4</v>
      </c>
      <c r="Y1426">
        <v>0</v>
      </c>
      <c r="Z1426">
        <v>8</v>
      </c>
      <c r="AA1426" t="str">
        <f t="shared" si="118"/>
        <v>Long Tenure</v>
      </c>
      <c r="AB1426" s="5">
        <v>45661</v>
      </c>
      <c r="AC1426">
        <f t="shared" si="119"/>
        <v>1</v>
      </c>
      <c r="AD1426" t="s">
        <v>49</v>
      </c>
      <c r="AE1426">
        <f>VLOOKUP(A1426,'Employee Engagement Survey'!A1417:B2886,2,FALSE)</f>
        <v>4</v>
      </c>
      <c r="AF1426">
        <f>VLOOKUP(A1426,'Employee Engagement Survey'!A1417:C2886,3,FALSE)</f>
        <v>2</v>
      </c>
      <c r="AG1426">
        <f>VLOOKUP(A1426,'Employee Engagement Survey'!A1417:D2886,4,FALSE)</f>
        <v>3</v>
      </c>
      <c r="AH1426">
        <f>VLOOKUP(A1426,'Employee Engagement Survey'!A1417:E2886,5,FALSE)</f>
        <v>3</v>
      </c>
      <c r="AI1426">
        <f t="shared" si="117"/>
        <v>3</v>
      </c>
    </row>
    <row r="1427" spans="1:35" hidden="1" x14ac:dyDescent="0.4">
      <c r="A1427">
        <v>140</v>
      </c>
      <c r="B1427" t="s">
        <v>34</v>
      </c>
      <c r="C1427">
        <f t="shared" si="115"/>
        <v>1</v>
      </c>
      <c r="D1427" t="s">
        <v>108</v>
      </c>
      <c r="E1427">
        <f t="shared" si="116"/>
        <v>1</v>
      </c>
      <c r="F1427" t="s">
        <v>59</v>
      </c>
      <c r="G1427">
        <v>5</v>
      </c>
      <c r="H1427" s="1">
        <v>238128</v>
      </c>
      <c r="I1427" s="10">
        <v>0.21</v>
      </c>
      <c r="J1427">
        <v>37.5</v>
      </c>
      <c r="K1427" t="s">
        <v>34</v>
      </c>
      <c r="L1427">
        <v>59</v>
      </c>
      <c r="M1427" t="s">
        <v>47</v>
      </c>
      <c r="N1427" t="s">
        <v>42</v>
      </c>
      <c r="O1427" t="s">
        <v>35</v>
      </c>
      <c r="P1427">
        <v>2</v>
      </c>
      <c r="Q1427" t="s">
        <v>51</v>
      </c>
      <c r="R1427" t="s">
        <v>59</v>
      </c>
      <c r="S1427">
        <v>4</v>
      </c>
      <c r="T1427">
        <v>1</v>
      </c>
      <c r="U1427">
        <v>30</v>
      </c>
      <c r="V1427">
        <v>3</v>
      </c>
      <c r="W1427">
        <v>3</v>
      </c>
      <c r="X1427">
        <v>2</v>
      </c>
      <c r="Y1427">
        <v>2</v>
      </c>
      <c r="Z1427">
        <v>2</v>
      </c>
      <c r="AA1427" t="str">
        <f t="shared" si="118"/>
        <v>Mid Tenure</v>
      </c>
      <c r="AB1427" s="5">
        <v>45854</v>
      </c>
      <c r="AC1427">
        <f t="shared" si="119"/>
        <v>1</v>
      </c>
      <c r="AD1427" t="s">
        <v>49</v>
      </c>
      <c r="AE1427">
        <f>VLOOKUP(A1427,'Employee Engagement Survey'!A1419:B2888,2,FALSE)</f>
        <v>3</v>
      </c>
      <c r="AF1427">
        <f>VLOOKUP(A1427,'Employee Engagement Survey'!A1419:C2888,3,FALSE)</f>
        <v>4</v>
      </c>
      <c r="AG1427">
        <f>VLOOKUP(A1427,'Employee Engagement Survey'!A1419:D2888,4,FALSE)</f>
        <v>4</v>
      </c>
      <c r="AH1427">
        <f>VLOOKUP(A1427,'Employee Engagement Survey'!A1419:E2888,5,FALSE)</f>
        <v>3</v>
      </c>
      <c r="AI1427">
        <f t="shared" si="117"/>
        <v>3.5</v>
      </c>
    </row>
    <row r="1428" spans="1:35" hidden="1" x14ac:dyDescent="0.4">
      <c r="A1428">
        <v>1992</v>
      </c>
      <c r="B1428" t="s">
        <v>34</v>
      </c>
      <c r="C1428">
        <f t="shared" si="115"/>
        <v>1</v>
      </c>
      <c r="D1428" t="s">
        <v>46</v>
      </c>
      <c r="E1428">
        <f t="shared" si="116"/>
        <v>0</v>
      </c>
      <c r="F1428" t="s">
        <v>28</v>
      </c>
      <c r="G1428">
        <v>7</v>
      </c>
      <c r="H1428" s="1">
        <v>71724</v>
      </c>
      <c r="I1428" s="10">
        <v>0.19</v>
      </c>
      <c r="J1428">
        <v>37.5</v>
      </c>
      <c r="K1428" t="s">
        <v>26</v>
      </c>
      <c r="L1428">
        <v>25</v>
      </c>
      <c r="M1428" t="s">
        <v>29</v>
      </c>
      <c r="N1428" t="s">
        <v>48</v>
      </c>
      <c r="O1428" t="s">
        <v>31</v>
      </c>
      <c r="P1428">
        <v>2</v>
      </c>
      <c r="Q1428" t="s">
        <v>32</v>
      </c>
      <c r="R1428" t="s">
        <v>53</v>
      </c>
      <c r="S1428">
        <v>3</v>
      </c>
      <c r="T1428">
        <v>1</v>
      </c>
      <c r="U1428">
        <v>7</v>
      </c>
      <c r="V1428">
        <v>2</v>
      </c>
      <c r="W1428">
        <v>2</v>
      </c>
      <c r="X1428">
        <v>2</v>
      </c>
      <c r="Y1428">
        <v>0</v>
      </c>
      <c r="Z1428">
        <v>2</v>
      </c>
      <c r="AA1428" t="str">
        <f t="shared" si="118"/>
        <v>Early Tenure</v>
      </c>
      <c r="AB1428" s="5">
        <v>45344</v>
      </c>
      <c r="AC1428">
        <f t="shared" si="119"/>
        <v>1</v>
      </c>
      <c r="AD1428" t="s">
        <v>38</v>
      </c>
      <c r="AE1428">
        <f>VLOOKUP(A1428,'Employee Engagement Survey'!A1420:B2889,2,FALSE)</f>
        <v>4</v>
      </c>
      <c r="AF1428">
        <f>VLOOKUP(A1428,'Employee Engagement Survey'!A1420:C2889,3,FALSE)</f>
        <v>3</v>
      </c>
      <c r="AG1428">
        <f>VLOOKUP(A1428,'Employee Engagement Survey'!A1420:D2889,4,FALSE)</f>
        <v>3</v>
      </c>
      <c r="AH1428">
        <f>VLOOKUP(A1428,'Employee Engagement Survey'!A1420:E2889,5,FALSE)</f>
        <v>2</v>
      </c>
      <c r="AI1428">
        <f t="shared" si="117"/>
        <v>3</v>
      </c>
    </row>
    <row r="1429" spans="1:35" x14ac:dyDescent="0.4">
      <c r="A1429">
        <v>38</v>
      </c>
      <c r="B1429" t="s">
        <v>34</v>
      </c>
      <c r="C1429">
        <f t="shared" si="115"/>
        <v>1</v>
      </c>
      <c r="D1429" t="s">
        <v>110</v>
      </c>
      <c r="E1429">
        <f t="shared" si="116"/>
        <v>1</v>
      </c>
      <c r="F1429" t="s">
        <v>40</v>
      </c>
      <c r="G1429">
        <v>5</v>
      </c>
      <c r="H1429" s="1">
        <v>239364</v>
      </c>
      <c r="I1429" s="10">
        <v>0.12</v>
      </c>
      <c r="J1429">
        <v>37.5</v>
      </c>
      <c r="K1429" t="s">
        <v>34</v>
      </c>
      <c r="L1429">
        <v>46</v>
      </c>
      <c r="M1429" t="s">
        <v>47</v>
      </c>
      <c r="N1429" t="s">
        <v>30</v>
      </c>
      <c r="O1429" t="s">
        <v>31</v>
      </c>
      <c r="P1429">
        <v>2</v>
      </c>
      <c r="Q1429" t="s">
        <v>51</v>
      </c>
      <c r="R1429" t="s">
        <v>56</v>
      </c>
      <c r="S1429">
        <v>3</v>
      </c>
      <c r="T1429">
        <v>0</v>
      </c>
      <c r="U1429">
        <v>22</v>
      </c>
      <c r="V1429">
        <v>2</v>
      </c>
      <c r="W1429">
        <v>2</v>
      </c>
      <c r="X1429">
        <v>2</v>
      </c>
      <c r="Y1429">
        <v>2</v>
      </c>
      <c r="Z1429">
        <v>1</v>
      </c>
      <c r="AA1429" t="str">
        <f t="shared" si="118"/>
        <v>Early Tenure</v>
      </c>
      <c r="AB1429" s="5">
        <v>45982</v>
      </c>
      <c r="AC1429">
        <f t="shared" si="119"/>
        <v>1</v>
      </c>
      <c r="AD1429" t="s">
        <v>49</v>
      </c>
      <c r="AE1429">
        <f>VLOOKUP(A1429,'Employee Engagement Survey'!A1421:B2890,2,FALSE)</f>
        <v>2</v>
      </c>
      <c r="AF1429">
        <f>VLOOKUP(A1429,'Employee Engagement Survey'!A1421:C2890,3,FALSE)</f>
        <v>1</v>
      </c>
      <c r="AG1429">
        <f>VLOOKUP(A1429,'Employee Engagement Survey'!A1421:D2890,4,FALSE)</f>
        <v>4</v>
      </c>
      <c r="AH1429">
        <f>VLOOKUP(A1429,'Employee Engagement Survey'!A1421:E2890,5,FALSE)</f>
        <v>2</v>
      </c>
      <c r="AI1429">
        <f t="shared" si="117"/>
        <v>2.25</v>
      </c>
    </row>
    <row r="1430" spans="1:35" hidden="1" x14ac:dyDescent="0.4">
      <c r="A1430">
        <v>253</v>
      </c>
      <c r="B1430" t="s">
        <v>34</v>
      </c>
      <c r="C1430">
        <f t="shared" si="115"/>
        <v>1</v>
      </c>
      <c r="D1430" t="s">
        <v>109</v>
      </c>
      <c r="E1430">
        <f t="shared" si="116"/>
        <v>1</v>
      </c>
      <c r="F1430" t="s">
        <v>28</v>
      </c>
      <c r="G1430">
        <v>5</v>
      </c>
      <c r="H1430" s="1">
        <v>240396</v>
      </c>
      <c r="I1430" s="10">
        <v>0.14000000000000001</v>
      </c>
      <c r="J1430">
        <v>37.5</v>
      </c>
      <c r="K1430" t="s">
        <v>34</v>
      </c>
      <c r="L1430">
        <v>40</v>
      </c>
      <c r="M1430" t="s">
        <v>47</v>
      </c>
      <c r="N1430" t="s">
        <v>42</v>
      </c>
      <c r="O1430" t="s">
        <v>31</v>
      </c>
      <c r="P1430">
        <v>4</v>
      </c>
      <c r="Q1430" t="s">
        <v>32</v>
      </c>
      <c r="R1430" t="s">
        <v>33</v>
      </c>
      <c r="S1430">
        <v>3</v>
      </c>
      <c r="T1430">
        <v>1</v>
      </c>
      <c r="U1430">
        <v>21</v>
      </c>
      <c r="V1430">
        <v>2</v>
      </c>
      <c r="W1430">
        <v>20</v>
      </c>
      <c r="X1430">
        <v>8</v>
      </c>
      <c r="Y1430">
        <v>9</v>
      </c>
      <c r="Z1430">
        <v>9</v>
      </c>
      <c r="AA1430" t="str">
        <f t="shared" si="118"/>
        <v>Long Tenure</v>
      </c>
      <c r="AB1430" s="5">
        <v>45738</v>
      </c>
      <c r="AC1430">
        <f t="shared" si="119"/>
        <v>1</v>
      </c>
      <c r="AD1430" t="s">
        <v>49</v>
      </c>
      <c r="AE1430">
        <f>VLOOKUP(A1430,'Employee Engagement Survey'!A1422:B2891,2,FALSE)</f>
        <v>4</v>
      </c>
      <c r="AF1430">
        <f>VLOOKUP(A1430,'Employee Engagement Survey'!A1422:C2891,3,FALSE)</f>
        <v>3</v>
      </c>
      <c r="AG1430">
        <f>VLOOKUP(A1430,'Employee Engagement Survey'!A1422:D2891,4,FALSE)</f>
        <v>2</v>
      </c>
      <c r="AH1430">
        <f>VLOOKUP(A1430,'Employee Engagement Survey'!A1422:E2891,5,FALSE)</f>
        <v>3</v>
      </c>
      <c r="AI1430">
        <f t="shared" si="117"/>
        <v>3</v>
      </c>
    </row>
    <row r="1431" spans="1:35" hidden="1" x14ac:dyDescent="0.4">
      <c r="A1431">
        <v>1993</v>
      </c>
      <c r="B1431" t="s">
        <v>34</v>
      </c>
      <c r="C1431">
        <f t="shared" si="115"/>
        <v>1</v>
      </c>
      <c r="D1431" t="s">
        <v>55</v>
      </c>
      <c r="E1431">
        <f t="shared" si="116"/>
        <v>0</v>
      </c>
      <c r="F1431" t="s">
        <v>28</v>
      </c>
      <c r="G1431">
        <v>9</v>
      </c>
      <c r="H1431" s="1">
        <v>115596</v>
      </c>
      <c r="I1431" s="10">
        <v>0.23</v>
      </c>
      <c r="J1431">
        <v>37.5</v>
      </c>
      <c r="K1431" t="s">
        <v>34</v>
      </c>
      <c r="L1431">
        <v>47</v>
      </c>
      <c r="M1431" t="s">
        <v>29</v>
      </c>
      <c r="N1431" t="s">
        <v>30</v>
      </c>
      <c r="O1431" t="s">
        <v>31</v>
      </c>
      <c r="P1431">
        <v>25</v>
      </c>
      <c r="Q1431" t="s">
        <v>43</v>
      </c>
      <c r="R1431" t="s">
        <v>33</v>
      </c>
      <c r="S1431">
        <v>4</v>
      </c>
      <c r="T1431">
        <v>0</v>
      </c>
      <c r="U1431">
        <v>25</v>
      </c>
      <c r="V1431">
        <v>3</v>
      </c>
      <c r="W1431">
        <v>17</v>
      </c>
      <c r="X1431">
        <v>14</v>
      </c>
      <c r="Y1431">
        <v>12</v>
      </c>
      <c r="Z1431">
        <v>11</v>
      </c>
      <c r="AA1431" t="str">
        <f t="shared" si="118"/>
        <v>Long Tenure</v>
      </c>
      <c r="AB1431" s="5">
        <v>44933</v>
      </c>
      <c r="AC1431">
        <f t="shared" si="119"/>
        <v>0</v>
      </c>
      <c r="AD1431" t="s">
        <v>49</v>
      </c>
      <c r="AE1431">
        <f>VLOOKUP(A1431,'Employee Engagement Survey'!A1423:B2892,2,FALSE)</f>
        <v>1</v>
      </c>
      <c r="AF1431">
        <f>VLOOKUP(A1431,'Employee Engagement Survey'!A1423:C2892,3,FALSE)</f>
        <v>3</v>
      </c>
      <c r="AG1431">
        <f>VLOOKUP(A1431,'Employee Engagement Survey'!A1423:D2892,4,FALSE)</f>
        <v>2</v>
      </c>
      <c r="AH1431">
        <f>VLOOKUP(A1431,'Employee Engagement Survey'!A1423:E2892,5,FALSE)</f>
        <v>3</v>
      </c>
      <c r="AI1431">
        <f t="shared" si="117"/>
        <v>2.25</v>
      </c>
    </row>
    <row r="1432" spans="1:35" hidden="1" x14ac:dyDescent="0.4">
      <c r="A1432">
        <v>1994</v>
      </c>
      <c r="B1432" t="s">
        <v>34</v>
      </c>
      <c r="C1432">
        <f t="shared" si="115"/>
        <v>1</v>
      </c>
      <c r="D1432" t="s">
        <v>46</v>
      </c>
      <c r="E1432">
        <f t="shared" si="116"/>
        <v>0</v>
      </c>
      <c r="F1432" t="s">
        <v>28</v>
      </c>
      <c r="G1432">
        <v>3</v>
      </c>
      <c r="H1432" s="1">
        <v>48096</v>
      </c>
      <c r="I1432" s="10">
        <v>0.12</v>
      </c>
      <c r="J1432">
        <v>37.5</v>
      </c>
      <c r="K1432" t="s">
        <v>34</v>
      </c>
      <c r="L1432">
        <v>33</v>
      </c>
      <c r="M1432" t="s">
        <v>29</v>
      </c>
      <c r="N1432" t="s">
        <v>48</v>
      </c>
      <c r="O1432" t="s">
        <v>35</v>
      </c>
      <c r="P1432">
        <v>1</v>
      </c>
      <c r="Q1432" t="s">
        <v>36</v>
      </c>
      <c r="R1432" t="s">
        <v>33</v>
      </c>
      <c r="S1432">
        <v>3</v>
      </c>
      <c r="T1432">
        <v>3</v>
      </c>
      <c r="U1432">
        <v>1</v>
      </c>
      <c r="V1432">
        <v>2</v>
      </c>
      <c r="W1432">
        <v>1</v>
      </c>
      <c r="X1432">
        <v>1</v>
      </c>
      <c r="Y1432">
        <v>0</v>
      </c>
      <c r="Z1432">
        <v>0</v>
      </c>
      <c r="AA1432" t="str">
        <f t="shared" si="118"/>
        <v>Early Tenure</v>
      </c>
      <c r="AB1432" s="5">
        <v>45955</v>
      </c>
      <c r="AC1432">
        <f t="shared" si="119"/>
        <v>1</v>
      </c>
      <c r="AD1432" t="s">
        <v>49</v>
      </c>
      <c r="AE1432">
        <f>VLOOKUP(A1432,'Employee Engagement Survey'!A1424:B2893,2,FALSE)</f>
        <v>2</v>
      </c>
      <c r="AF1432">
        <f>VLOOKUP(A1432,'Employee Engagement Survey'!A1424:C2893,3,FALSE)</f>
        <v>3</v>
      </c>
      <c r="AG1432">
        <f>VLOOKUP(A1432,'Employee Engagement Survey'!A1424:D2893,4,FALSE)</f>
        <v>3</v>
      </c>
      <c r="AH1432">
        <f>VLOOKUP(A1432,'Employee Engagement Survey'!A1424:E2893,5,FALSE)</f>
        <v>2</v>
      </c>
      <c r="AI1432">
        <f t="shared" si="117"/>
        <v>2.5</v>
      </c>
    </row>
    <row r="1433" spans="1:35" hidden="1" x14ac:dyDescent="0.4">
      <c r="A1433">
        <v>1608</v>
      </c>
      <c r="B1433" t="s">
        <v>34</v>
      </c>
      <c r="C1433">
        <f t="shared" si="115"/>
        <v>1</v>
      </c>
      <c r="D1433" t="s">
        <v>60</v>
      </c>
      <c r="E1433">
        <f t="shared" si="116"/>
        <v>1</v>
      </c>
      <c r="F1433" t="s">
        <v>28</v>
      </c>
      <c r="G1433">
        <v>5</v>
      </c>
      <c r="H1433" s="1">
        <v>240588</v>
      </c>
      <c r="I1433" s="10">
        <v>0.14000000000000001</v>
      </c>
      <c r="J1433">
        <v>37.5</v>
      </c>
      <c r="K1433" t="s">
        <v>26</v>
      </c>
      <c r="L1433">
        <v>44</v>
      </c>
      <c r="M1433" t="s">
        <v>47</v>
      </c>
      <c r="N1433" t="s">
        <v>48</v>
      </c>
      <c r="O1433" t="s">
        <v>31</v>
      </c>
      <c r="P1433">
        <v>7</v>
      </c>
      <c r="Q1433" t="s">
        <v>43</v>
      </c>
      <c r="R1433" t="s">
        <v>33</v>
      </c>
      <c r="S1433">
        <v>3</v>
      </c>
      <c r="T1433">
        <v>1</v>
      </c>
      <c r="U1433">
        <v>23</v>
      </c>
      <c r="V1433">
        <v>4</v>
      </c>
      <c r="W1433">
        <v>22</v>
      </c>
      <c r="X1433">
        <v>7</v>
      </c>
      <c r="Y1433">
        <v>1</v>
      </c>
      <c r="Z1433">
        <v>10</v>
      </c>
      <c r="AA1433" t="str">
        <f t="shared" si="118"/>
        <v>Long Tenure</v>
      </c>
      <c r="AB1433" s="5">
        <v>44786</v>
      </c>
      <c r="AC1433">
        <f t="shared" si="119"/>
        <v>0</v>
      </c>
      <c r="AD1433" t="s">
        <v>49</v>
      </c>
      <c r="AE1433">
        <f>VLOOKUP(A1433,'Employee Engagement Survey'!A1425:B2894,2,FALSE)</f>
        <v>2</v>
      </c>
      <c r="AF1433">
        <f>VLOOKUP(A1433,'Employee Engagement Survey'!A1425:C2894,3,FALSE)</f>
        <v>4</v>
      </c>
      <c r="AG1433">
        <f>VLOOKUP(A1433,'Employee Engagement Survey'!A1425:D2894,4,FALSE)</f>
        <v>4</v>
      </c>
      <c r="AH1433">
        <f>VLOOKUP(A1433,'Employee Engagement Survey'!A1425:E2894,5,FALSE)</f>
        <v>2</v>
      </c>
      <c r="AI1433">
        <f t="shared" si="117"/>
        <v>3</v>
      </c>
    </row>
    <row r="1434" spans="1:35" hidden="1" x14ac:dyDescent="0.4">
      <c r="A1434">
        <v>1995</v>
      </c>
      <c r="B1434" t="s">
        <v>34</v>
      </c>
      <c r="C1434">
        <f t="shared" si="115"/>
        <v>1</v>
      </c>
      <c r="D1434" t="s">
        <v>57</v>
      </c>
      <c r="E1434">
        <f t="shared" si="116"/>
        <v>0</v>
      </c>
      <c r="F1434" t="s">
        <v>40</v>
      </c>
      <c r="G1434">
        <v>6</v>
      </c>
      <c r="H1434" s="1">
        <v>65280</v>
      </c>
      <c r="I1434" s="10">
        <v>0.15</v>
      </c>
      <c r="J1434">
        <v>37.5</v>
      </c>
      <c r="K1434" t="s">
        <v>34</v>
      </c>
      <c r="L1434">
        <v>38</v>
      </c>
      <c r="M1434" t="s">
        <v>29</v>
      </c>
      <c r="N1434" t="s">
        <v>42</v>
      </c>
      <c r="O1434" t="s">
        <v>31</v>
      </c>
      <c r="P1434">
        <v>1</v>
      </c>
      <c r="Q1434" t="s">
        <v>51</v>
      </c>
      <c r="R1434" t="s">
        <v>37</v>
      </c>
      <c r="S1434">
        <v>3</v>
      </c>
      <c r="T1434">
        <v>2</v>
      </c>
      <c r="U1434">
        <v>16</v>
      </c>
      <c r="V1434">
        <v>3</v>
      </c>
      <c r="W1434">
        <v>15</v>
      </c>
      <c r="X1434">
        <v>13</v>
      </c>
      <c r="Y1434">
        <v>5</v>
      </c>
      <c r="Z1434">
        <v>8</v>
      </c>
      <c r="AA1434" t="str">
        <f t="shared" si="118"/>
        <v>Long Tenure</v>
      </c>
      <c r="AB1434" s="5">
        <v>45217</v>
      </c>
      <c r="AC1434">
        <f t="shared" si="119"/>
        <v>0</v>
      </c>
      <c r="AD1434" t="s">
        <v>38</v>
      </c>
      <c r="AE1434">
        <f>VLOOKUP(A1434,'Employee Engagement Survey'!A1426:B2895,2,FALSE)</f>
        <v>4</v>
      </c>
      <c r="AF1434">
        <f>VLOOKUP(A1434,'Employee Engagement Survey'!A1426:C2895,3,FALSE)</f>
        <v>2</v>
      </c>
      <c r="AG1434">
        <f>VLOOKUP(A1434,'Employee Engagement Survey'!A1426:D2895,4,FALSE)</f>
        <v>1</v>
      </c>
      <c r="AH1434">
        <f>VLOOKUP(A1434,'Employee Engagement Survey'!A1426:E2895,5,FALSE)</f>
        <v>3</v>
      </c>
      <c r="AI1434">
        <f t="shared" si="117"/>
        <v>2.5</v>
      </c>
    </row>
    <row r="1435" spans="1:35" hidden="1" x14ac:dyDescent="0.4">
      <c r="A1435">
        <v>1996</v>
      </c>
      <c r="B1435" t="s">
        <v>34</v>
      </c>
      <c r="C1435">
        <f t="shared" si="115"/>
        <v>1</v>
      </c>
      <c r="D1435" t="s">
        <v>39</v>
      </c>
      <c r="E1435">
        <f t="shared" si="116"/>
        <v>0</v>
      </c>
      <c r="F1435" t="s">
        <v>40</v>
      </c>
      <c r="G1435">
        <v>6</v>
      </c>
      <c r="H1435" s="1">
        <v>60804</v>
      </c>
      <c r="I1435" s="10">
        <v>0.19</v>
      </c>
      <c r="J1435">
        <v>37.5</v>
      </c>
      <c r="K1435" t="s">
        <v>34</v>
      </c>
      <c r="L1435">
        <v>31</v>
      </c>
      <c r="M1435" t="s">
        <v>29</v>
      </c>
      <c r="N1435" t="s">
        <v>42</v>
      </c>
      <c r="O1435" t="s">
        <v>31</v>
      </c>
      <c r="P1435">
        <v>2</v>
      </c>
      <c r="Q1435" t="s">
        <v>36</v>
      </c>
      <c r="R1435" t="s">
        <v>37</v>
      </c>
      <c r="S1435">
        <v>3</v>
      </c>
      <c r="T1435">
        <v>1</v>
      </c>
      <c r="U1435">
        <v>3</v>
      </c>
      <c r="V1435">
        <v>1</v>
      </c>
      <c r="W1435">
        <v>2</v>
      </c>
      <c r="X1435">
        <v>2</v>
      </c>
      <c r="Y1435">
        <v>1</v>
      </c>
      <c r="Z1435">
        <v>2</v>
      </c>
      <c r="AA1435" t="str">
        <f t="shared" si="118"/>
        <v>Early Tenure</v>
      </c>
      <c r="AB1435" s="5">
        <v>45913</v>
      </c>
      <c r="AC1435">
        <f t="shared" si="119"/>
        <v>1</v>
      </c>
      <c r="AD1435" t="s">
        <v>49</v>
      </c>
      <c r="AE1435">
        <f>VLOOKUP(A1435,'Employee Engagement Survey'!A1427:B2896,2,FALSE)</f>
        <v>1</v>
      </c>
      <c r="AF1435">
        <f>VLOOKUP(A1435,'Employee Engagement Survey'!A1427:C2896,3,FALSE)</f>
        <v>3</v>
      </c>
      <c r="AG1435">
        <f>VLOOKUP(A1435,'Employee Engagement Survey'!A1427:D2896,4,FALSE)</f>
        <v>3</v>
      </c>
      <c r="AH1435">
        <f>VLOOKUP(A1435,'Employee Engagement Survey'!A1427:E2896,5,FALSE)</f>
        <v>3</v>
      </c>
      <c r="AI1435">
        <f t="shared" si="117"/>
        <v>2.5</v>
      </c>
    </row>
    <row r="1436" spans="1:35" hidden="1" x14ac:dyDescent="0.4">
      <c r="A1436">
        <v>32</v>
      </c>
      <c r="B1436" t="s">
        <v>34</v>
      </c>
      <c r="C1436">
        <f t="shared" si="115"/>
        <v>1</v>
      </c>
      <c r="D1436" t="s">
        <v>109</v>
      </c>
      <c r="E1436">
        <f t="shared" si="116"/>
        <v>1</v>
      </c>
      <c r="F1436" t="s">
        <v>28</v>
      </c>
      <c r="G1436">
        <v>5</v>
      </c>
      <c r="H1436" s="1">
        <v>241128</v>
      </c>
      <c r="I1436" s="10">
        <v>0.11</v>
      </c>
      <c r="J1436">
        <v>37.5</v>
      </c>
      <c r="K1436" t="s">
        <v>34</v>
      </c>
      <c r="L1436">
        <v>53</v>
      </c>
      <c r="M1436" t="s">
        <v>47</v>
      </c>
      <c r="N1436" t="s">
        <v>48</v>
      </c>
      <c r="O1436" t="s">
        <v>31</v>
      </c>
      <c r="P1436">
        <v>5</v>
      </c>
      <c r="Q1436" t="s">
        <v>43</v>
      </c>
      <c r="R1436" t="s">
        <v>53</v>
      </c>
      <c r="S1436">
        <v>3</v>
      </c>
      <c r="T1436">
        <v>1</v>
      </c>
      <c r="U1436">
        <v>26</v>
      </c>
      <c r="V1436">
        <v>3</v>
      </c>
      <c r="W1436">
        <v>14</v>
      </c>
      <c r="X1436">
        <v>13</v>
      </c>
      <c r="Y1436">
        <v>4</v>
      </c>
      <c r="Z1436">
        <v>8</v>
      </c>
      <c r="AA1436" t="str">
        <f t="shared" si="118"/>
        <v>Long Tenure</v>
      </c>
      <c r="AB1436" s="5">
        <v>45227</v>
      </c>
      <c r="AC1436">
        <f t="shared" si="119"/>
        <v>0</v>
      </c>
      <c r="AD1436" t="s">
        <v>49</v>
      </c>
      <c r="AE1436">
        <f>VLOOKUP(A1436,'Employee Engagement Survey'!A1428:B2897,2,FALSE)</f>
        <v>3</v>
      </c>
      <c r="AF1436">
        <f>VLOOKUP(A1436,'Employee Engagement Survey'!A1428:C2897,3,FALSE)</f>
        <v>3</v>
      </c>
      <c r="AG1436">
        <f>VLOOKUP(A1436,'Employee Engagement Survey'!A1428:D2897,4,FALSE)</f>
        <v>4</v>
      </c>
      <c r="AH1436">
        <f>VLOOKUP(A1436,'Employee Engagement Survey'!A1428:E2897,5,FALSE)</f>
        <v>2</v>
      </c>
      <c r="AI1436">
        <f t="shared" si="117"/>
        <v>3</v>
      </c>
    </row>
    <row r="1437" spans="1:35" hidden="1" x14ac:dyDescent="0.4">
      <c r="A1437">
        <v>1997</v>
      </c>
      <c r="B1437" t="s">
        <v>34</v>
      </c>
      <c r="C1437">
        <f t="shared" si="115"/>
        <v>1</v>
      </c>
      <c r="D1437" t="s">
        <v>54</v>
      </c>
      <c r="E1437">
        <f t="shared" si="116"/>
        <v>1</v>
      </c>
      <c r="F1437" t="s">
        <v>28</v>
      </c>
      <c r="G1437">
        <v>7</v>
      </c>
      <c r="H1437" s="1">
        <v>75852</v>
      </c>
      <c r="I1437" s="10">
        <v>0.11</v>
      </c>
      <c r="J1437">
        <v>37.5</v>
      </c>
      <c r="K1437" t="s">
        <v>34</v>
      </c>
      <c r="L1437">
        <v>38</v>
      </c>
      <c r="M1437" t="s">
        <v>29</v>
      </c>
      <c r="N1437" t="s">
        <v>42</v>
      </c>
      <c r="O1437" t="s">
        <v>44</v>
      </c>
      <c r="P1437">
        <v>6</v>
      </c>
      <c r="Q1437" t="s">
        <v>51</v>
      </c>
      <c r="R1437" t="s">
        <v>37</v>
      </c>
      <c r="S1437">
        <v>3</v>
      </c>
      <c r="T1437">
        <v>1</v>
      </c>
      <c r="U1437">
        <v>10</v>
      </c>
      <c r="V1437">
        <v>1</v>
      </c>
      <c r="W1437">
        <v>8</v>
      </c>
      <c r="X1437">
        <v>3</v>
      </c>
      <c r="Y1437">
        <v>7</v>
      </c>
      <c r="Z1437">
        <v>7</v>
      </c>
      <c r="AA1437" t="str">
        <f t="shared" si="118"/>
        <v>Mid Tenure</v>
      </c>
      <c r="AB1437" s="5">
        <v>45779</v>
      </c>
      <c r="AC1437">
        <f t="shared" si="119"/>
        <v>1</v>
      </c>
      <c r="AD1437" t="s">
        <v>38</v>
      </c>
      <c r="AE1437">
        <f>VLOOKUP(A1437,'Employee Engagement Survey'!A1429:B2898,2,FALSE)</f>
        <v>1</v>
      </c>
      <c r="AF1437">
        <f>VLOOKUP(A1437,'Employee Engagement Survey'!A1429:C2898,3,FALSE)</f>
        <v>3</v>
      </c>
      <c r="AG1437">
        <f>VLOOKUP(A1437,'Employee Engagement Survey'!A1429:D2898,4,FALSE)</f>
        <v>4</v>
      </c>
      <c r="AH1437">
        <f>VLOOKUP(A1437,'Employee Engagement Survey'!A1429:E2898,5,FALSE)</f>
        <v>3</v>
      </c>
      <c r="AI1437">
        <f t="shared" si="117"/>
        <v>2.75</v>
      </c>
    </row>
    <row r="1438" spans="1:35" hidden="1" x14ac:dyDescent="0.4">
      <c r="A1438">
        <v>1998</v>
      </c>
      <c r="B1438" t="s">
        <v>34</v>
      </c>
      <c r="C1438">
        <f t="shared" si="115"/>
        <v>1</v>
      </c>
      <c r="D1438" t="s">
        <v>27</v>
      </c>
      <c r="E1438">
        <f t="shared" si="116"/>
        <v>0</v>
      </c>
      <c r="F1438" t="s">
        <v>28</v>
      </c>
      <c r="G1438">
        <v>7</v>
      </c>
      <c r="H1438" s="1">
        <v>76920</v>
      </c>
      <c r="I1438" s="10">
        <v>0.17</v>
      </c>
      <c r="J1438">
        <v>37.5</v>
      </c>
      <c r="K1438" t="s">
        <v>26</v>
      </c>
      <c r="L1438">
        <v>42</v>
      </c>
      <c r="M1438" t="s">
        <v>29</v>
      </c>
      <c r="N1438" t="s">
        <v>48</v>
      </c>
      <c r="O1438" t="s">
        <v>31</v>
      </c>
      <c r="P1438">
        <v>18</v>
      </c>
      <c r="Q1438" t="s">
        <v>51</v>
      </c>
      <c r="R1438" t="s">
        <v>37</v>
      </c>
      <c r="S1438">
        <v>3</v>
      </c>
      <c r="T1438">
        <v>1</v>
      </c>
      <c r="U1438">
        <v>9</v>
      </c>
      <c r="V1438">
        <v>3</v>
      </c>
      <c r="W1438">
        <v>4</v>
      </c>
      <c r="X1438">
        <v>3</v>
      </c>
      <c r="Y1438">
        <v>1</v>
      </c>
      <c r="Z1438">
        <v>2</v>
      </c>
      <c r="AA1438" t="str">
        <f t="shared" si="118"/>
        <v>Mid Tenure</v>
      </c>
      <c r="AB1438" s="5">
        <v>45694</v>
      </c>
      <c r="AC1438">
        <f t="shared" si="119"/>
        <v>1</v>
      </c>
      <c r="AD1438" t="s">
        <v>38</v>
      </c>
      <c r="AE1438">
        <f>VLOOKUP(A1438,'Employee Engagement Survey'!A1430:B2899,2,FALSE)</f>
        <v>4</v>
      </c>
      <c r="AF1438">
        <f>VLOOKUP(A1438,'Employee Engagement Survey'!A1430:C2899,3,FALSE)</f>
        <v>1</v>
      </c>
      <c r="AG1438">
        <f>VLOOKUP(A1438,'Employee Engagement Survey'!A1430:D2899,4,FALSE)</f>
        <v>3</v>
      </c>
      <c r="AH1438">
        <f>VLOOKUP(A1438,'Employee Engagement Survey'!A1430:E2899,5,FALSE)</f>
        <v>2</v>
      </c>
      <c r="AI1438">
        <f t="shared" si="117"/>
        <v>2.5</v>
      </c>
    </row>
    <row r="1439" spans="1:35" hidden="1" x14ac:dyDescent="0.4">
      <c r="A1439">
        <v>1999</v>
      </c>
      <c r="B1439" t="s">
        <v>34</v>
      </c>
      <c r="C1439">
        <f t="shared" si="115"/>
        <v>1</v>
      </c>
      <c r="D1439" t="s">
        <v>27</v>
      </c>
      <c r="E1439">
        <f t="shared" si="116"/>
        <v>0</v>
      </c>
      <c r="F1439" t="s">
        <v>28</v>
      </c>
      <c r="G1439">
        <v>5</v>
      </c>
      <c r="H1439" s="1">
        <v>57384</v>
      </c>
      <c r="I1439" s="10">
        <v>0.22</v>
      </c>
      <c r="J1439">
        <v>37.5</v>
      </c>
      <c r="K1439" t="s">
        <v>34</v>
      </c>
      <c r="L1439">
        <v>41</v>
      </c>
      <c r="M1439" t="s">
        <v>29</v>
      </c>
      <c r="N1439" t="s">
        <v>42</v>
      </c>
      <c r="O1439" t="s">
        <v>31</v>
      </c>
      <c r="P1439">
        <v>1</v>
      </c>
      <c r="Q1439" t="s">
        <v>43</v>
      </c>
      <c r="R1439" t="s">
        <v>37</v>
      </c>
      <c r="S1439">
        <v>4</v>
      </c>
      <c r="T1439">
        <v>1</v>
      </c>
      <c r="U1439">
        <v>12</v>
      </c>
      <c r="V1439">
        <v>3</v>
      </c>
      <c r="W1439">
        <v>5</v>
      </c>
      <c r="X1439">
        <v>3</v>
      </c>
      <c r="Y1439">
        <v>1</v>
      </c>
      <c r="Z1439">
        <v>0</v>
      </c>
      <c r="AA1439" t="str">
        <f t="shared" si="118"/>
        <v>Mid Tenure</v>
      </c>
      <c r="AB1439" s="5">
        <v>44917</v>
      </c>
      <c r="AC1439">
        <f t="shared" si="119"/>
        <v>0</v>
      </c>
      <c r="AD1439" t="s">
        <v>38</v>
      </c>
      <c r="AE1439">
        <f>VLOOKUP(A1439,'Employee Engagement Survey'!A1431:B2900,2,FALSE)</f>
        <v>4</v>
      </c>
      <c r="AF1439">
        <f>VLOOKUP(A1439,'Employee Engagement Survey'!A1431:C2900,3,FALSE)</f>
        <v>4</v>
      </c>
      <c r="AG1439">
        <f>VLOOKUP(A1439,'Employee Engagement Survey'!A1431:D2900,4,FALSE)</f>
        <v>1</v>
      </c>
      <c r="AH1439">
        <f>VLOOKUP(A1439,'Employee Engagement Survey'!A1431:E2900,5,FALSE)</f>
        <v>3</v>
      </c>
      <c r="AI1439">
        <f t="shared" si="117"/>
        <v>3</v>
      </c>
    </row>
    <row r="1440" spans="1:35" hidden="1" x14ac:dyDescent="0.4">
      <c r="A1440">
        <v>1336</v>
      </c>
      <c r="B1440" t="s">
        <v>34</v>
      </c>
      <c r="C1440">
        <f t="shared" si="115"/>
        <v>1</v>
      </c>
      <c r="D1440" t="s">
        <v>109</v>
      </c>
      <c r="E1440">
        <f t="shared" si="116"/>
        <v>1</v>
      </c>
      <c r="F1440" t="s">
        <v>28</v>
      </c>
      <c r="G1440">
        <v>5</v>
      </c>
      <c r="H1440" s="1">
        <v>242244</v>
      </c>
      <c r="I1440" s="10">
        <v>0.14000000000000001</v>
      </c>
      <c r="J1440">
        <v>37.5</v>
      </c>
      <c r="K1440" t="s">
        <v>34</v>
      </c>
      <c r="L1440">
        <v>55</v>
      </c>
      <c r="M1440" t="s">
        <v>47</v>
      </c>
      <c r="N1440" t="s">
        <v>42</v>
      </c>
      <c r="O1440" t="s">
        <v>31</v>
      </c>
      <c r="P1440">
        <v>2</v>
      </c>
      <c r="Q1440" t="s">
        <v>36</v>
      </c>
      <c r="R1440" t="s">
        <v>33</v>
      </c>
      <c r="S1440">
        <v>3</v>
      </c>
      <c r="T1440">
        <v>1</v>
      </c>
      <c r="U1440">
        <v>23</v>
      </c>
      <c r="V1440">
        <v>5</v>
      </c>
      <c r="W1440">
        <v>19</v>
      </c>
      <c r="X1440">
        <v>9</v>
      </c>
      <c r="Y1440">
        <v>9</v>
      </c>
      <c r="Z1440">
        <v>11</v>
      </c>
      <c r="AA1440" t="str">
        <f t="shared" si="118"/>
        <v>Long Tenure</v>
      </c>
      <c r="AB1440" s="5">
        <v>44915</v>
      </c>
      <c r="AC1440">
        <f t="shared" si="119"/>
        <v>0</v>
      </c>
      <c r="AD1440" t="s">
        <v>38</v>
      </c>
      <c r="AE1440">
        <f>VLOOKUP(A1440,'Employee Engagement Survey'!A1432:B2901,2,FALSE)</f>
        <v>4</v>
      </c>
      <c r="AF1440">
        <f>VLOOKUP(A1440,'Employee Engagement Survey'!A1432:C2901,3,FALSE)</f>
        <v>3</v>
      </c>
      <c r="AG1440">
        <f>VLOOKUP(A1440,'Employee Engagement Survey'!A1432:D2901,4,FALSE)</f>
        <v>4</v>
      </c>
      <c r="AH1440">
        <f>VLOOKUP(A1440,'Employee Engagement Survey'!A1432:E2901,5,FALSE)</f>
        <v>3</v>
      </c>
      <c r="AI1440">
        <f t="shared" si="117"/>
        <v>3.5</v>
      </c>
    </row>
    <row r="1441" spans="1:35" hidden="1" x14ac:dyDescent="0.4">
      <c r="A1441">
        <v>2003</v>
      </c>
      <c r="B1441" t="s">
        <v>34</v>
      </c>
      <c r="C1441">
        <f t="shared" si="115"/>
        <v>1</v>
      </c>
      <c r="D1441" t="s">
        <v>46</v>
      </c>
      <c r="E1441">
        <f t="shared" si="116"/>
        <v>0</v>
      </c>
      <c r="F1441" t="s">
        <v>28</v>
      </c>
      <c r="G1441">
        <v>5</v>
      </c>
      <c r="H1441" s="1">
        <v>55920</v>
      </c>
      <c r="I1441" s="10">
        <v>0.11</v>
      </c>
      <c r="J1441">
        <v>37.5</v>
      </c>
      <c r="K1441" t="s">
        <v>26</v>
      </c>
      <c r="L1441">
        <v>35</v>
      </c>
      <c r="M1441" t="s">
        <v>29</v>
      </c>
      <c r="N1441" t="s">
        <v>42</v>
      </c>
      <c r="O1441" t="s">
        <v>31</v>
      </c>
      <c r="P1441">
        <v>11</v>
      </c>
      <c r="Q1441" t="s">
        <v>51</v>
      </c>
      <c r="R1441" t="s">
        <v>33</v>
      </c>
      <c r="S1441">
        <v>3</v>
      </c>
      <c r="T1441">
        <v>1</v>
      </c>
      <c r="U1441">
        <v>5</v>
      </c>
      <c r="V1441">
        <v>3</v>
      </c>
      <c r="W1441">
        <v>2</v>
      </c>
      <c r="X1441">
        <v>2</v>
      </c>
      <c r="Y1441">
        <v>2</v>
      </c>
      <c r="Z1441">
        <v>2</v>
      </c>
      <c r="AA1441" t="str">
        <f t="shared" si="118"/>
        <v>Early Tenure</v>
      </c>
      <c r="AB1441" s="5">
        <v>46008</v>
      </c>
      <c r="AC1441">
        <f t="shared" si="119"/>
        <v>1</v>
      </c>
      <c r="AD1441" t="s">
        <v>38</v>
      </c>
      <c r="AE1441">
        <f>VLOOKUP(A1441,'Employee Engagement Survey'!A1433:B2902,2,FALSE)</f>
        <v>4</v>
      </c>
      <c r="AF1441">
        <f>VLOOKUP(A1441,'Employee Engagement Survey'!A1433:C2902,3,FALSE)</f>
        <v>3</v>
      </c>
      <c r="AG1441">
        <f>VLOOKUP(A1441,'Employee Engagement Survey'!A1433:D2902,4,FALSE)</f>
        <v>3</v>
      </c>
      <c r="AH1441">
        <f>VLOOKUP(A1441,'Employee Engagement Survey'!A1433:E2902,5,FALSE)</f>
        <v>3</v>
      </c>
      <c r="AI1441">
        <f t="shared" si="117"/>
        <v>3.25</v>
      </c>
    </row>
    <row r="1442" spans="1:35" hidden="1" x14ac:dyDescent="0.4">
      <c r="A1442">
        <v>2007</v>
      </c>
      <c r="B1442" t="s">
        <v>34</v>
      </c>
      <c r="C1442">
        <f t="shared" si="115"/>
        <v>1</v>
      </c>
      <c r="D1442" t="s">
        <v>27</v>
      </c>
      <c r="E1442">
        <f t="shared" si="116"/>
        <v>0</v>
      </c>
      <c r="F1442" t="s">
        <v>28</v>
      </c>
      <c r="G1442">
        <v>6</v>
      </c>
      <c r="H1442" s="1">
        <v>64500</v>
      </c>
      <c r="I1442" s="10">
        <v>0.12</v>
      </c>
      <c r="J1442">
        <v>37.5</v>
      </c>
      <c r="K1442" t="s">
        <v>34</v>
      </c>
      <c r="L1442">
        <v>22</v>
      </c>
      <c r="M1442" t="s">
        <v>29</v>
      </c>
      <c r="N1442" t="s">
        <v>30</v>
      </c>
      <c r="O1442" t="s">
        <v>31</v>
      </c>
      <c r="P1442">
        <v>1</v>
      </c>
      <c r="Q1442" t="s">
        <v>36</v>
      </c>
      <c r="R1442" t="s">
        <v>37</v>
      </c>
      <c r="S1442">
        <v>3</v>
      </c>
      <c r="T1442">
        <v>0</v>
      </c>
      <c r="U1442">
        <v>4</v>
      </c>
      <c r="V1442">
        <v>2</v>
      </c>
      <c r="W1442">
        <v>3</v>
      </c>
      <c r="X1442">
        <v>2</v>
      </c>
      <c r="Y1442">
        <v>1</v>
      </c>
      <c r="Z1442">
        <v>2</v>
      </c>
      <c r="AA1442" t="str">
        <f t="shared" si="118"/>
        <v>Mid Tenure</v>
      </c>
      <c r="AB1442" s="5">
        <v>44706</v>
      </c>
      <c r="AC1442">
        <f t="shared" si="119"/>
        <v>0</v>
      </c>
      <c r="AD1442" t="s">
        <v>49</v>
      </c>
      <c r="AE1442">
        <f>VLOOKUP(A1442,'Employee Engagement Survey'!A1434:B2903,2,FALSE)</f>
        <v>4</v>
      </c>
      <c r="AF1442">
        <f>VLOOKUP(A1442,'Employee Engagement Survey'!A1434:C2903,3,FALSE)</f>
        <v>3</v>
      </c>
      <c r="AG1442">
        <f>VLOOKUP(A1442,'Employee Engagement Survey'!A1434:D2903,4,FALSE)</f>
        <v>4</v>
      </c>
      <c r="AH1442">
        <f>VLOOKUP(A1442,'Employee Engagement Survey'!A1434:E2903,5,FALSE)</f>
        <v>4</v>
      </c>
      <c r="AI1442">
        <f t="shared" si="117"/>
        <v>3.75</v>
      </c>
    </row>
    <row r="1443" spans="1:35" hidden="1" x14ac:dyDescent="0.4">
      <c r="A1443">
        <v>2008</v>
      </c>
      <c r="B1443" t="s">
        <v>34</v>
      </c>
      <c r="C1443">
        <f t="shared" si="115"/>
        <v>1</v>
      </c>
      <c r="D1443" t="s">
        <v>27</v>
      </c>
      <c r="E1443">
        <f t="shared" si="116"/>
        <v>0</v>
      </c>
      <c r="F1443" t="s">
        <v>28</v>
      </c>
      <c r="G1443">
        <v>7</v>
      </c>
      <c r="H1443" s="1">
        <v>73176</v>
      </c>
      <c r="I1443" s="10">
        <v>0.19</v>
      </c>
      <c r="J1443">
        <v>37.5</v>
      </c>
      <c r="K1443" t="s">
        <v>34</v>
      </c>
      <c r="L1443">
        <v>35</v>
      </c>
      <c r="M1443" t="s">
        <v>29</v>
      </c>
      <c r="N1443" t="s">
        <v>30</v>
      </c>
      <c r="O1443" t="s">
        <v>31</v>
      </c>
      <c r="P1443">
        <v>9</v>
      </c>
      <c r="Q1443" t="s">
        <v>51</v>
      </c>
      <c r="R1443" t="s">
        <v>33</v>
      </c>
      <c r="S1443">
        <v>3</v>
      </c>
      <c r="T1443">
        <v>0</v>
      </c>
      <c r="U1443">
        <v>10</v>
      </c>
      <c r="V1443">
        <v>5</v>
      </c>
      <c r="W1443">
        <v>10</v>
      </c>
      <c r="X1443">
        <v>7</v>
      </c>
      <c r="Y1443">
        <v>0</v>
      </c>
      <c r="Z1443">
        <v>8</v>
      </c>
      <c r="AA1443" t="str">
        <f t="shared" si="118"/>
        <v>Long Tenure</v>
      </c>
      <c r="AB1443" s="5">
        <v>45957</v>
      </c>
      <c r="AC1443">
        <f t="shared" si="119"/>
        <v>1</v>
      </c>
      <c r="AD1443" t="s">
        <v>38</v>
      </c>
      <c r="AE1443">
        <f>VLOOKUP(A1443,'Employee Engagement Survey'!A1435:B2904,2,FALSE)</f>
        <v>2</v>
      </c>
      <c r="AF1443">
        <f>VLOOKUP(A1443,'Employee Engagement Survey'!A1435:C2904,3,FALSE)</f>
        <v>3</v>
      </c>
      <c r="AG1443">
        <f>VLOOKUP(A1443,'Employee Engagement Survey'!A1435:D2904,4,FALSE)</f>
        <v>2</v>
      </c>
      <c r="AH1443">
        <f>VLOOKUP(A1443,'Employee Engagement Survey'!A1435:E2904,5,FALSE)</f>
        <v>3</v>
      </c>
      <c r="AI1443">
        <f t="shared" si="117"/>
        <v>2.5</v>
      </c>
    </row>
    <row r="1444" spans="1:35" hidden="1" x14ac:dyDescent="0.4">
      <c r="A1444">
        <v>2012</v>
      </c>
      <c r="B1444" t="s">
        <v>34</v>
      </c>
      <c r="C1444">
        <f t="shared" si="115"/>
        <v>1</v>
      </c>
      <c r="D1444" t="s">
        <v>46</v>
      </c>
      <c r="E1444">
        <f t="shared" si="116"/>
        <v>0</v>
      </c>
      <c r="F1444" t="s">
        <v>28</v>
      </c>
      <c r="G1444">
        <v>4</v>
      </c>
      <c r="H1444" s="1">
        <v>52872</v>
      </c>
      <c r="I1444" s="10">
        <v>0.19</v>
      </c>
      <c r="J1444">
        <v>37.5</v>
      </c>
      <c r="K1444" t="s">
        <v>34</v>
      </c>
      <c r="L1444">
        <v>40</v>
      </c>
      <c r="M1444" t="s">
        <v>29</v>
      </c>
      <c r="N1444" t="s">
        <v>42</v>
      </c>
      <c r="O1444" t="s">
        <v>31</v>
      </c>
      <c r="P1444">
        <v>1</v>
      </c>
      <c r="Q1444" t="s">
        <v>51</v>
      </c>
      <c r="R1444" t="s">
        <v>37</v>
      </c>
      <c r="S1444">
        <v>3</v>
      </c>
      <c r="T1444">
        <v>2</v>
      </c>
      <c r="U1444">
        <v>8</v>
      </c>
      <c r="V1444">
        <v>3</v>
      </c>
      <c r="W1444">
        <v>1</v>
      </c>
      <c r="X1444">
        <v>0</v>
      </c>
      <c r="Y1444">
        <v>0</v>
      </c>
      <c r="Z1444">
        <v>0</v>
      </c>
      <c r="AA1444" t="str">
        <f t="shared" si="118"/>
        <v>Early Tenure</v>
      </c>
      <c r="AB1444" s="5">
        <v>46008</v>
      </c>
      <c r="AC1444">
        <f t="shared" si="119"/>
        <v>1</v>
      </c>
      <c r="AD1444" t="s">
        <v>49</v>
      </c>
      <c r="AE1444">
        <f>VLOOKUP(A1444,'Employee Engagement Survey'!A1436:B2905,2,FALSE)</f>
        <v>1</v>
      </c>
      <c r="AF1444">
        <f>VLOOKUP(A1444,'Employee Engagement Survey'!A1436:C2905,3,FALSE)</f>
        <v>4</v>
      </c>
      <c r="AG1444">
        <f>VLOOKUP(A1444,'Employee Engagement Survey'!A1436:D2905,4,FALSE)</f>
        <v>3</v>
      </c>
      <c r="AH1444">
        <f>VLOOKUP(A1444,'Employee Engagement Survey'!A1436:E2905,5,FALSE)</f>
        <v>2</v>
      </c>
      <c r="AI1444">
        <f t="shared" si="117"/>
        <v>2.5</v>
      </c>
    </row>
    <row r="1445" spans="1:35" hidden="1" x14ac:dyDescent="0.4">
      <c r="A1445">
        <v>2013</v>
      </c>
      <c r="B1445" t="s">
        <v>34</v>
      </c>
      <c r="C1445">
        <f t="shared" si="115"/>
        <v>1</v>
      </c>
      <c r="D1445" t="s">
        <v>39</v>
      </c>
      <c r="E1445">
        <f t="shared" si="116"/>
        <v>0</v>
      </c>
      <c r="F1445" t="s">
        <v>40</v>
      </c>
      <c r="G1445">
        <v>4</v>
      </c>
      <c r="H1445" s="1">
        <v>51228</v>
      </c>
      <c r="I1445" s="10">
        <v>0.14000000000000001</v>
      </c>
      <c r="J1445">
        <v>37.5</v>
      </c>
      <c r="K1445" t="s">
        <v>34</v>
      </c>
      <c r="L1445">
        <v>32</v>
      </c>
      <c r="M1445" t="s">
        <v>29</v>
      </c>
      <c r="N1445" t="s">
        <v>42</v>
      </c>
      <c r="O1445" t="s">
        <v>31</v>
      </c>
      <c r="P1445">
        <v>1</v>
      </c>
      <c r="Q1445" t="s">
        <v>51</v>
      </c>
      <c r="R1445" t="s">
        <v>33</v>
      </c>
      <c r="S1445">
        <v>3</v>
      </c>
      <c r="T1445">
        <v>1</v>
      </c>
      <c r="U1445">
        <v>3</v>
      </c>
      <c r="V1445">
        <v>2</v>
      </c>
      <c r="W1445">
        <v>2</v>
      </c>
      <c r="X1445">
        <v>2</v>
      </c>
      <c r="Y1445">
        <v>2</v>
      </c>
      <c r="Z1445">
        <v>2</v>
      </c>
      <c r="AA1445" t="str">
        <f t="shared" si="118"/>
        <v>Early Tenure</v>
      </c>
      <c r="AB1445" s="5">
        <v>44665</v>
      </c>
      <c r="AC1445">
        <f t="shared" si="119"/>
        <v>0</v>
      </c>
      <c r="AD1445" t="s">
        <v>49</v>
      </c>
      <c r="AE1445">
        <f>VLOOKUP(A1445,'Employee Engagement Survey'!A1437:B2906,2,FALSE)</f>
        <v>2</v>
      </c>
      <c r="AF1445">
        <f>VLOOKUP(A1445,'Employee Engagement Survey'!A1437:C2906,3,FALSE)</f>
        <v>2</v>
      </c>
      <c r="AG1445">
        <f>VLOOKUP(A1445,'Employee Engagement Survey'!A1437:D2906,4,FALSE)</f>
        <v>2</v>
      </c>
      <c r="AH1445">
        <f>VLOOKUP(A1445,'Employee Engagement Survey'!A1437:E2906,5,FALSE)</f>
        <v>3</v>
      </c>
      <c r="AI1445">
        <f t="shared" si="117"/>
        <v>2.25</v>
      </c>
    </row>
    <row r="1446" spans="1:35" hidden="1" x14ac:dyDescent="0.4">
      <c r="A1446">
        <v>2014</v>
      </c>
      <c r="B1446" t="s">
        <v>34</v>
      </c>
      <c r="C1446">
        <f t="shared" si="115"/>
        <v>1</v>
      </c>
      <c r="D1446" t="s">
        <v>27</v>
      </c>
      <c r="E1446">
        <f t="shared" si="116"/>
        <v>0</v>
      </c>
      <c r="F1446" t="s">
        <v>28</v>
      </c>
      <c r="G1446">
        <v>6</v>
      </c>
      <c r="H1446" s="1">
        <v>61296</v>
      </c>
      <c r="I1446" s="10">
        <v>0.13</v>
      </c>
      <c r="J1446">
        <v>37.5</v>
      </c>
      <c r="K1446" t="s">
        <v>34</v>
      </c>
      <c r="L1446">
        <v>39</v>
      </c>
      <c r="M1446" t="s">
        <v>29</v>
      </c>
      <c r="N1446" t="s">
        <v>30</v>
      </c>
      <c r="O1446" t="s">
        <v>31</v>
      </c>
      <c r="P1446">
        <v>24</v>
      </c>
      <c r="Q1446" t="s">
        <v>32</v>
      </c>
      <c r="R1446" t="s">
        <v>37</v>
      </c>
      <c r="S1446">
        <v>3</v>
      </c>
      <c r="T1446">
        <v>0</v>
      </c>
      <c r="U1446">
        <v>18</v>
      </c>
      <c r="V1446">
        <v>2</v>
      </c>
      <c r="W1446">
        <v>7</v>
      </c>
      <c r="X1446">
        <v>7</v>
      </c>
      <c r="Y1446">
        <v>1</v>
      </c>
      <c r="Z1446">
        <v>7</v>
      </c>
      <c r="AA1446" t="str">
        <f t="shared" si="118"/>
        <v>Mid Tenure</v>
      </c>
      <c r="AB1446" s="5">
        <v>45590</v>
      </c>
      <c r="AC1446">
        <f t="shared" si="119"/>
        <v>1</v>
      </c>
      <c r="AD1446" t="s">
        <v>49</v>
      </c>
      <c r="AE1446">
        <f>VLOOKUP(A1446,'Employee Engagement Survey'!A1438:B2907,2,FALSE)</f>
        <v>1</v>
      </c>
      <c r="AF1446">
        <f>VLOOKUP(A1446,'Employee Engagement Survey'!A1438:C2907,3,FALSE)</f>
        <v>4</v>
      </c>
      <c r="AG1446">
        <f>VLOOKUP(A1446,'Employee Engagement Survey'!A1438:D2907,4,FALSE)</f>
        <v>1</v>
      </c>
      <c r="AH1446">
        <f>VLOOKUP(A1446,'Employee Engagement Survey'!A1438:E2907,5,FALSE)</f>
        <v>3</v>
      </c>
      <c r="AI1446">
        <f t="shared" si="117"/>
        <v>2.25</v>
      </c>
    </row>
    <row r="1447" spans="1:35" hidden="1" x14ac:dyDescent="0.4">
      <c r="A1447">
        <v>2019</v>
      </c>
      <c r="B1447" t="s">
        <v>34</v>
      </c>
      <c r="C1447">
        <f t="shared" si="115"/>
        <v>1</v>
      </c>
      <c r="D1447" t="s">
        <v>39</v>
      </c>
      <c r="E1447">
        <f t="shared" si="116"/>
        <v>0</v>
      </c>
      <c r="F1447" t="s">
        <v>40</v>
      </c>
      <c r="G1447">
        <v>6</v>
      </c>
      <c r="H1447" s="1">
        <v>65784</v>
      </c>
      <c r="I1447" s="10">
        <v>0.15</v>
      </c>
      <c r="J1447">
        <v>37.5</v>
      </c>
      <c r="K1447" t="s">
        <v>34</v>
      </c>
      <c r="L1447">
        <v>52</v>
      </c>
      <c r="M1447" t="s">
        <v>29</v>
      </c>
      <c r="N1447" t="s">
        <v>48</v>
      </c>
      <c r="O1447" t="s">
        <v>35</v>
      </c>
      <c r="P1447">
        <v>29</v>
      </c>
      <c r="Q1447" t="s">
        <v>51</v>
      </c>
      <c r="R1447" t="s">
        <v>37</v>
      </c>
      <c r="S1447">
        <v>3</v>
      </c>
      <c r="T1447">
        <v>2</v>
      </c>
      <c r="U1447">
        <v>16</v>
      </c>
      <c r="V1447">
        <v>3</v>
      </c>
      <c r="W1447">
        <v>9</v>
      </c>
      <c r="X1447">
        <v>8</v>
      </c>
      <c r="Y1447">
        <v>0</v>
      </c>
      <c r="Z1447">
        <v>0</v>
      </c>
      <c r="AA1447" t="str">
        <f t="shared" si="118"/>
        <v>Mid Tenure</v>
      </c>
      <c r="AB1447" s="5">
        <v>45810</v>
      </c>
      <c r="AC1447">
        <f t="shared" si="119"/>
        <v>1</v>
      </c>
      <c r="AD1447" t="s">
        <v>49</v>
      </c>
      <c r="AE1447">
        <f>VLOOKUP(A1447,'Employee Engagement Survey'!A1439:B2908,2,FALSE)</f>
        <v>1</v>
      </c>
      <c r="AF1447">
        <f>VLOOKUP(A1447,'Employee Engagement Survey'!A1439:C2908,3,FALSE)</f>
        <v>4</v>
      </c>
      <c r="AG1447">
        <f>VLOOKUP(A1447,'Employee Engagement Survey'!A1439:D2908,4,FALSE)</f>
        <v>2</v>
      </c>
      <c r="AH1447">
        <f>VLOOKUP(A1447,'Employee Engagement Survey'!A1439:E2908,5,FALSE)</f>
        <v>2</v>
      </c>
      <c r="AI1447">
        <f t="shared" si="117"/>
        <v>2.25</v>
      </c>
    </row>
    <row r="1448" spans="1:35" hidden="1" x14ac:dyDescent="0.4">
      <c r="A1448">
        <v>2020</v>
      </c>
      <c r="B1448" t="s">
        <v>34</v>
      </c>
      <c r="C1448">
        <f t="shared" si="115"/>
        <v>1</v>
      </c>
      <c r="D1448" t="s">
        <v>27</v>
      </c>
      <c r="E1448">
        <f t="shared" si="116"/>
        <v>0</v>
      </c>
      <c r="F1448" t="s">
        <v>28</v>
      </c>
      <c r="G1448">
        <v>4</v>
      </c>
      <c r="H1448" s="1">
        <v>53232</v>
      </c>
      <c r="I1448" s="10">
        <v>0.12</v>
      </c>
      <c r="J1448">
        <v>37.5</v>
      </c>
      <c r="K1448" t="s">
        <v>26</v>
      </c>
      <c r="L1448">
        <v>44</v>
      </c>
      <c r="M1448" t="s">
        <v>29</v>
      </c>
      <c r="N1448" t="s">
        <v>30</v>
      </c>
      <c r="O1448" t="s">
        <v>31</v>
      </c>
      <c r="P1448">
        <v>1</v>
      </c>
      <c r="Q1448" t="s">
        <v>43</v>
      </c>
      <c r="R1448" t="s">
        <v>33</v>
      </c>
      <c r="S1448">
        <v>3</v>
      </c>
      <c r="T1448">
        <v>0</v>
      </c>
      <c r="U1448">
        <v>6</v>
      </c>
      <c r="V1448">
        <v>2</v>
      </c>
      <c r="W1448">
        <v>4</v>
      </c>
      <c r="X1448">
        <v>3</v>
      </c>
      <c r="Y1448">
        <v>1</v>
      </c>
      <c r="Z1448">
        <v>2</v>
      </c>
      <c r="AA1448" t="str">
        <f t="shared" si="118"/>
        <v>Mid Tenure</v>
      </c>
      <c r="AB1448" s="5">
        <v>45694</v>
      </c>
      <c r="AC1448">
        <f t="shared" si="119"/>
        <v>1</v>
      </c>
      <c r="AD1448" t="s">
        <v>49</v>
      </c>
      <c r="AE1448">
        <f>VLOOKUP(A1448,'Employee Engagement Survey'!A1440:B2909,2,FALSE)</f>
        <v>2</v>
      </c>
      <c r="AF1448">
        <f>VLOOKUP(A1448,'Employee Engagement Survey'!A1440:C2909,3,FALSE)</f>
        <v>4</v>
      </c>
      <c r="AG1448">
        <f>VLOOKUP(A1448,'Employee Engagement Survey'!A1440:D2909,4,FALSE)</f>
        <v>3</v>
      </c>
      <c r="AH1448">
        <f>VLOOKUP(A1448,'Employee Engagement Survey'!A1440:E2909,5,FALSE)</f>
        <v>3</v>
      </c>
      <c r="AI1448">
        <f t="shared" si="117"/>
        <v>3</v>
      </c>
    </row>
    <row r="1449" spans="1:35" hidden="1" x14ac:dyDescent="0.4">
      <c r="A1449">
        <v>2021</v>
      </c>
      <c r="B1449" t="s">
        <v>34</v>
      </c>
      <c r="C1449">
        <f t="shared" si="115"/>
        <v>1</v>
      </c>
      <c r="D1449" t="s">
        <v>39</v>
      </c>
      <c r="E1449">
        <f t="shared" si="116"/>
        <v>0</v>
      </c>
      <c r="F1449" t="s">
        <v>40</v>
      </c>
      <c r="G1449">
        <v>4</v>
      </c>
      <c r="H1449" s="1">
        <v>52560</v>
      </c>
      <c r="I1449" s="10">
        <v>0.11</v>
      </c>
      <c r="J1449">
        <v>37.5</v>
      </c>
      <c r="K1449" t="s">
        <v>26</v>
      </c>
      <c r="L1449">
        <v>21</v>
      </c>
      <c r="M1449" t="s">
        <v>29</v>
      </c>
      <c r="N1449" t="s">
        <v>30</v>
      </c>
      <c r="O1449" t="s">
        <v>31</v>
      </c>
      <c r="P1449">
        <v>5</v>
      </c>
      <c r="Q1449" t="s">
        <v>32</v>
      </c>
      <c r="R1449" t="s">
        <v>33</v>
      </c>
      <c r="S1449">
        <v>3</v>
      </c>
      <c r="T1449">
        <v>0</v>
      </c>
      <c r="U1449">
        <v>2</v>
      </c>
      <c r="V1449">
        <v>6</v>
      </c>
      <c r="W1449">
        <v>2</v>
      </c>
      <c r="X1449">
        <v>2</v>
      </c>
      <c r="Y1449">
        <v>1</v>
      </c>
      <c r="Z1449">
        <v>2</v>
      </c>
      <c r="AA1449" t="str">
        <f t="shared" si="118"/>
        <v>Early Tenure</v>
      </c>
      <c r="AB1449" s="5">
        <v>45541</v>
      </c>
      <c r="AC1449">
        <f t="shared" si="119"/>
        <v>1</v>
      </c>
      <c r="AD1449" t="s">
        <v>38</v>
      </c>
      <c r="AE1449">
        <f>VLOOKUP(A1449,'Employee Engagement Survey'!A1441:B2910,2,FALSE)</f>
        <v>3</v>
      </c>
      <c r="AF1449">
        <f>VLOOKUP(A1449,'Employee Engagement Survey'!A1441:C2910,3,FALSE)</f>
        <v>1</v>
      </c>
      <c r="AG1449">
        <f>VLOOKUP(A1449,'Employee Engagement Survey'!A1441:D2910,4,FALSE)</f>
        <v>4</v>
      </c>
      <c r="AH1449">
        <f>VLOOKUP(A1449,'Employee Engagement Survey'!A1441:E2910,5,FALSE)</f>
        <v>3</v>
      </c>
      <c r="AI1449">
        <f t="shared" si="117"/>
        <v>2.75</v>
      </c>
    </row>
    <row r="1450" spans="1:35" hidden="1" x14ac:dyDescent="0.4">
      <c r="A1450">
        <v>2022</v>
      </c>
      <c r="B1450" t="s">
        <v>34</v>
      </c>
      <c r="C1450">
        <f t="shared" si="115"/>
        <v>1</v>
      </c>
      <c r="D1450" t="s">
        <v>109</v>
      </c>
      <c r="E1450">
        <f t="shared" si="116"/>
        <v>1</v>
      </c>
      <c r="F1450" t="s">
        <v>28</v>
      </c>
      <c r="G1450">
        <v>5</v>
      </c>
      <c r="H1450" s="1">
        <v>245172</v>
      </c>
      <c r="I1450" s="10">
        <v>0.13</v>
      </c>
      <c r="J1450">
        <v>37.5</v>
      </c>
      <c r="K1450" t="s">
        <v>34</v>
      </c>
      <c r="L1450">
        <v>39</v>
      </c>
      <c r="M1450" t="s">
        <v>29</v>
      </c>
      <c r="N1450" t="s">
        <v>30</v>
      </c>
      <c r="O1450" t="s">
        <v>35</v>
      </c>
      <c r="P1450">
        <v>9</v>
      </c>
      <c r="Q1450" t="s">
        <v>43</v>
      </c>
      <c r="R1450" t="s">
        <v>37</v>
      </c>
      <c r="S1450">
        <v>3</v>
      </c>
      <c r="T1450">
        <v>0</v>
      </c>
      <c r="U1450">
        <v>21</v>
      </c>
      <c r="V1450">
        <v>3</v>
      </c>
      <c r="W1450">
        <v>6</v>
      </c>
      <c r="X1450">
        <v>0</v>
      </c>
      <c r="Y1450">
        <v>1</v>
      </c>
      <c r="Z1450">
        <v>3</v>
      </c>
      <c r="AA1450" t="str">
        <f t="shared" si="118"/>
        <v>Mid Tenure</v>
      </c>
      <c r="AB1450" s="5">
        <v>45516</v>
      </c>
      <c r="AC1450">
        <f t="shared" si="119"/>
        <v>1</v>
      </c>
      <c r="AD1450" t="s">
        <v>49</v>
      </c>
      <c r="AE1450">
        <f>VLOOKUP(A1450,'Employee Engagement Survey'!A1442:B2911,2,FALSE)</f>
        <v>4</v>
      </c>
      <c r="AF1450">
        <f>VLOOKUP(A1450,'Employee Engagement Survey'!A1442:C2911,3,FALSE)</f>
        <v>4</v>
      </c>
      <c r="AG1450">
        <f>VLOOKUP(A1450,'Employee Engagement Survey'!A1442:D2911,4,FALSE)</f>
        <v>3</v>
      </c>
      <c r="AH1450">
        <f>VLOOKUP(A1450,'Employee Engagement Survey'!A1442:E2911,5,FALSE)</f>
        <v>2</v>
      </c>
      <c r="AI1450">
        <f t="shared" si="117"/>
        <v>3.25</v>
      </c>
    </row>
    <row r="1451" spans="1:35" hidden="1" x14ac:dyDescent="0.4">
      <c r="A1451">
        <v>1866</v>
      </c>
      <c r="B1451" t="s">
        <v>34</v>
      </c>
      <c r="C1451">
        <f t="shared" si="115"/>
        <v>1</v>
      </c>
      <c r="D1451" t="s">
        <v>109</v>
      </c>
      <c r="E1451">
        <f t="shared" si="116"/>
        <v>1</v>
      </c>
      <c r="F1451" t="s">
        <v>28</v>
      </c>
      <c r="G1451">
        <v>5</v>
      </c>
      <c r="H1451" s="1">
        <v>244704</v>
      </c>
      <c r="I1451" s="10">
        <v>0.13</v>
      </c>
      <c r="J1451">
        <v>37.5</v>
      </c>
      <c r="K1451" t="s">
        <v>34</v>
      </c>
      <c r="L1451">
        <v>43</v>
      </c>
      <c r="M1451" t="s">
        <v>47</v>
      </c>
      <c r="N1451" t="s">
        <v>42</v>
      </c>
      <c r="O1451" t="s">
        <v>31</v>
      </c>
      <c r="P1451">
        <v>6</v>
      </c>
      <c r="Q1451" t="s">
        <v>43</v>
      </c>
      <c r="R1451" t="s">
        <v>33</v>
      </c>
      <c r="S1451">
        <v>3</v>
      </c>
      <c r="T1451">
        <v>0</v>
      </c>
      <c r="U1451">
        <v>21</v>
      </c>
      <c r="V1451">
        <v>2</v>
      </c>
      <c r="W1451">
        <v>16</v>
      </c>
      <c r="X1451">
        <v>12</v>
      </c>
      <c r="Y1451">
        <v>6</v>
      </c>
      <c r="Z1451">
        <v>14</v>
      </c>
      <c r="AA1451" t="str">
        <f t="shared" si="118"/>
        <v>Long Tenure</v>
      </c>
      <c r="AB1451" s="5">
        <v>45100</v>
      </c>
      <c r="AC1451">
        <f t="shared" si="119"/>
        <v>0</v>
      </c>
      <c r="AD1451" t="s">
        <v>38</v>
      </c>
      <c r="AE1451">
        <f>VLOOKUP(A1451,'Employee Engagement Survey'!A1443:B2912,2,FALSE)</f>
        <v>1</v>
      </c>
      <c r="AF1451">
        <f>VLOOKUP(A1451,'Employee Engagement Survey'!A1443:C2912,3,FALSE)</f>
        <v>3</v>
      </c>
      <c r="AG1451">
        <f>VLOOKUP(A1451,'Employee Engagement Survey'!A1443:D2912,4,FALSE)</f>
        <v>4</v>
      </c>
      <c r="AH1451">
        <f>VLOOKUP(A1451,'Employee Engagement Survey'!A1443:E2912,5,FALSE)</f>
        <v>3</v>
      </c>
      <c r="AI1451">
        <f t="shared" si="117"/>
        <v>2.75</v>
      </c>
    </row>
    <row r="1452" spans="1:35" hidden="1" x14ac:dyDescent="0.4">
      <c r="A1452">
        <v>2026</v>
      </c>
      <c r="B1452" t="s">
        <v>34</v>
      </c>
      <c r="C1452">
        <f t="shared" si="115"/>
        <v>1</v>
      </c>
      <c r="D1452" t="s">
        <v>55</v>
      </c>
      <c r="E1452">
        <f t="shared" si="116"/>
        <v>0</v>
      </c>
      <c r="F1452" t="s">
        <v>28</v>
      </c>
      <c r="G1452">
        <v>8</v>
      </c>
      <c r="H1452" s="1">
        <v>87672</v>
      </c>
      <c r="I1452" s="10">
        <v>0.21</v>
      </c>
      <c r="J1452">
        <v>37.5</v>
      </c>
      <c r="K1452" t="s">
        <v>34</v>
      </c>
      <c r="L1452">
        <v>56</v>
      </c>
      <c r="M1452" t="s">
        <v>29</v>
      </c>
      <c r="N1452" t="s">
        <v>48</v>
      </c>
      <c r="O1452" t="s">
        <v>35</v>
      </c>
      <c r="P1452">
        <v>1</v>
      </c>
      <c r="Q1452" t="s">
        <v>51</v>
      </c>
      <c r="R1452" t="s">
        <v>37</v>
      </c>
      <c r="S1452">
        <v>4</v>
      </c>
      <c r="T1452">
        <v>1</v>
      </c>
      <c r="U1452">
        <v>13</v>
      </c>
      <c r="V1452">
        <v>2</v>
      </c>
      <c r="W1452">
        <v>13</v>
      </c>
      <c r="X1452">
        <v>12</v>
      </c>
      <c r="Y1452">
        <v>1</v>
      </c>
      <c r="Z1452">
        <v>9</v>
      </c>
      <c r="AA1452" t="str">
        <f t="shared" si="118"/>
        <v>Long Tenure</v>
      </c>
      <c r="AB1452" s="5">
        <v>45242</v>
      </c>
      <c r="AC1452">
        <f t="shared" si="119"/>
        <v>0</v>
      </c>
      <c r="AD1452" t="s">
        <v>49</v>
      </c>
      <c r="AE1452">
        <f>VLOOKUP(A1452,'Employee Engagement Survey'!A1445:B2914,2,FALSE)</f>
        <v>3</v>
      </c>
      <c r="AF1452">
        <f>VLOOKUP(A1452,'Employee Engagement Survey'!A1445:C2914,3,FALSE)</f>
        <v>3</v>
      </c>
      <c r="AG1452">
        <f>VLOOKUP(A1452,'Employee Engagement Survey'!A1445:D2914,4,FALSE)</f>
        <v>1</v>
      </c>
      <c r="AH1452">
        <f>VLOOKUP(A1452,'Employee Engagement Survey'!A1445:E2914,5,FALSE)</f>
        <v>2</v>
      </c>
      <c r="AI1452">
        <f t="shared" si="117"/>
        <v>2.25</v>
      </c>
    </row>
    <row r="1453" spans="1:35" hidden="1" x14ac:dyDescent="0.4">
      <c r="A1453">
        <v>2031</v>
      </c>
      <c r="B1453" t="s">
        <v>34</v>
      </c>
      <c r="C1453">
        <f t="shared" si="115"/>
        <v>1</v>
      </c>
      <c r="D1453" t="s">
        <v>109</v>
      </c>
      <c r="E1453">
        <f t="shared" si="116"/>
        <v>1</v>
      </c>
      <c r="F1453" t="s">
        <v>28</v>
      </c>
      <c r="G1453">
        <v>5</v>
      </c>
      <c r="H1453" s="1">
        <v>238560</v>
      </c>
      <c r="I1453" s="10">
        <v>0.11</v>
      </c>
      <c r="J1453">
        <v>37.5</v>
      </c>
      <c r="K1453" t="s">
        <v>34</v>
      </c>
      <c r="L1453">
        <v>42</v>
      </c>
      <c r="M1453" t="s">
        <v>29</v>
      </c>
      <c r="N1453" t="s">
        <v>42</v>
      </c>
      <c r="O1453" t="s">
        <v>31</v>
      </c>
      <c r="P1453">
        <v>2</v>
      </c>
      <c r="Q1453" t="s">
        <v>43</v>
      </c>
      <c r="R1453" t="s">
        <v>37</v>
      </c>
      <c r="S1453">
        <v>3</v>
      </c>
      <c r="T1453">
        <v>0</v>
      </c>
      <c r="U1453">
        <v>24</v>
      </c>
      <c r="V1453">
        <v>2</v>
      </c>
      <c r="W1453">
        <v>22</v>
      </c>
      <c r="X1453">
        <v>6</v>
      </c>
      <c r="Y1453">
        <v>4</v>
      </c>
      <c r="Z1453">
        <v>14</v>
      </c>
      <c r="AA1453" t="str">
        <f t="shared" si="118"/>
        <v>Long Tenure</v>
      </c>
      <c r="AB1453" s="5">
        <v>45579</v>
      </c>
      <c r="AC1453">
        <f t="shared" si="119"/>
        <v>1</v>
      </c>
      <c r="AD1453" t="s">
        <v>38</v>
      </c>
      <c r="AE1453">
        <f>VLOOKUP(A1453,'Employee Engagement Survey'!A1447:B2916,2,FALSE)</f>
        <v>1</v>
      </c>
      <c r="AF1453">
        <f>VLOOKUP(A1453,'Employee Engagement Survey'!A1447:C2916,3,FALSE)</f>
        <v>3</v>
      </c>
      <c r="AG1453">
        <f>VLOOKUP(A1453,'Employee Engagement Survey'!A1447:D2916,4,FALSE)</f>
        <v>1</v>
      </c>
      <c r="AH1453">
        <f>VLOOKUP(A1453,'Employee Engagement Survey'!A1447:E2916,5,FALSE)</f>
        <v>2</v>
      </c>
      <c r="AI1453">
        <f t="shared" si="117"/>
        <v>1.75</v>
      </c>
    </row>
    <row r="1454" spans="1:35" hidden="1" x14ac:dyDescent="0.4">
      <c r="A1454">
        <v>2036</v>
      </c>
      <c r="B1454" t="s">
        <v>34</v>
      </c>
      <c r="C1454">
        <f t="shared" si="115"/>
        <v>1</v>
      </c>
      <c r="D1454" t="s">
        <v>57</v>
      </c>
      <c r="E1454">
        <f t="shared" si="116"/>
        <v>0</v>
      </c>
      <c r="F1454" t="s">
        <v>40</v>
      </c>
      <c r="G1454">
        <v>7</v>
      </c>
      <c r="H1454" s="1">
        <v>76872</v>
      </c>
      <c r="I1454" s="10">
        <v>0.24</v>
      </c>
      <c r="J1454">
        <v>37.5</v>
      </c>
      <c r="K1454" t="s">
        <v>34</v>
      </c>
      <c r="L1454">
        <v>36</v>
      </c>
      <c r="M1454" t="s">
        <v>29</v>
      </c>
      <c r="N1454" t="s">
        <v>48</v>
      </c>
      <c r="O1454" t="s">
        <v>35</v>
      </c>
      <c r="P1454">
        <v>15</v>
      </c>
      <c r="Q1454" t="s">
        <v>51</v>
      </c>
      <c r="R1454" t="s">
        <v>56</v>
      </c>
      <c r="S1454">
        <v>4</v>
      </c>
      <c r="T1454">
        <v>1</v>
      </c>
      <c r="U1454">
        <v>15</v>
      </c>
      <c r="V1454">
        <v>4</v>
      </c>
      <c r="W1454">
        <v>15</v>
      </c>
      <c r="X1454">
        <v>12</v>
      </c>
      <c r="Y1454">
        <v>11</v>
      </c>
      <c r="Z1454">
        <v>11</v>
      </c>
      <c r="AA1454" t="str">
        <f t="shared" si="118"/>
        <v>Long Tenure</v>
      </c>
      <c r="AB1454" s="5">
        <v>45023</v>
      </c>
      <c r="AC1454">
        <f t="shared" si="119"/>
        <v>0</v>
      </c>
      <c r="AD1454" t="s">
        <v>49</v>
      </c>
      <c r="AE1454">
        <f>VLOOKUP(A1454,'Employee Engagement Survey'!A1449:B2918,2,FALSE)</f>
        <v>4</v>
      </c>
      <c r="AF1454">
        <f>VLOOKUP(A1454,'Employee Engagement Survey'!A1449:C2918,3,FALSE)</f>
        <v>4</v>
      </c>
      <c r="AG1454">
        <f>VLOOKUP(A1454,'Employee Engagement Survey'!A1449:D2918,4,FALSE)</f>
        <v>1</v>
      </c>
      <c r="AH1454">
        <f>VLOOKUP(A1454,'Employee Engagement Survey'!A1449:E2918,5,FALSE)</f>
        <v>2</v>
      </c>
      <c r="AI1454">
        <f t="shared" si="117"/>
        <v>2.75</v>
      </c>
    </row>
    <row r="1455" spans="1:35" hidden="1" x14ac:dyDescent="0.4">
      <c r="A1455">
        <v>323</v>
      </c>
      <c r="B1455" t="s">
        <v>34</v>
      </c>
      <c r="C1455">
        <f t="shared" si="115"/>
        <v>1</v>
      </c>
      <c r="D1455" t="s">
        <v>110</v>
      </c>
      <c r="E1455">
        <f t="shared" si="116"/>
        <v>1</v>
      </c>
      <c r="F1455" t="s">
        <v>40</v>
      </c>
      <c r="G1455">
        <v>5</v>
      </c>
      <c r="H1455" s="1">
        <v>246204</v>
      </c>
      <c r="I1455" s="10">
        <v>0.11</v>
      </c>
      <c r="J1455">
        <v>37.5</v>
      </c>
      <c r="K1455" t="s">
        <v>34</v>
      </c>
      <c r="L1455">
        <v>50</v>
      </c>
      <c r="M1455" t="s">
        <v>47</v>
      </c>
      <c r="N1455" t="s">
        <v>48</v>
      </c>
      <c r="O1455" t="s">
        <v>31</v>
      </c>
      <c r="P1455">
        <v>1</v>
      </c>
      <c r="Q1455" t="s">
        <v>51</v>
      </c>
      <c r="R1455" t="s">
        <v>33</v>
      </c>
      <c r="S1455">
        <v>3</v>
      </c>
      <c r="T1455">
        <v>1</v>
      </c>
      <c r="U1455">
        <v>32</v>
      </c>
      <c r="V1455">
        <v>3</v>
      </c>
      <c r="W1455">
        <v>7</v>
      </c>
      <c r="X1455">
        <v>0</v>
      </c>
      <c r="Y1455">
        <v>0</v>
      </c>
      <c r="Z1455">
        <v>6</v>
      </c>
      <c r="AA1455" t="str">
        <f t="shared" si="118"/>
        <v>Mid Tenure</v>
      </c>
      <c r="AB1455" s="5">
        <v>45072</v>
      </c>
      <c r="AC1455">
        <f t="shared" si="119"/>
        <v>0</v>
      </c>
      <c r="AD1455" t="s">
        <v>38</v>
      </c>
      <c r="AE1455">
        <f>VLOOKUP(A1455,'Employee Engagement Survey'!A1450:B2919,2,FALSE)</f>
        <v>4</v>
      </c>
      <c r="AF1455">
        <f>VLOOKUP(A1455,'Employee Engagement Survey'!A1450:C2919,3,FALSE)</f>
        <v>4</v>
      </c>
      <c r="AG1455">
        <f>VLOOKUP(A1455,'Employee Engagement Survey'!A1450:D2919,4,FALSE)</f>
        <v>3</v>
      </c>
      <c r="AH1455">
        <f>VLOOKUP(A1455,'Employee Engagement Survey'!A1450:E2919,5,FALSE)</f>
        <v>2</v>
      </c>
      <c r="AI1455">
        <f t="shared" si="117"/>
        <v>3.25</v>
      </c>
    </row>
    <row r="1456" spans="1:35" hidden="1" x14ac:dyDescent="0.4">
      <c r="A1456">
        <v>2037</v>
      </c>
      <c r="B1456" t="s">
        <v>34</v>
      </c>
      <c r="C1456">
        <f t="shared" si="115"/>
        <v>1</v>
      </c>
      <c r="D1456" t="s">
        <v>57</v>
      </c>
      <c r="E1456">
        <f t="shared" si="116"/>
        <v>0</v>
      </c>
      <c r="F1456" t="s">
        <v>40</v>
      </c>
      <c r="G1456">
        <v>9</v>
      </c>
      <c r="H1456" s="1">
        <v>119256</v>
      </c>
      <c r="I1456" s="10">
        <v>0.11</v>
      </c>
      <c r="J1456">
        <v>37.5</v>
      </c>
      <c r="K1456" t="s">
        <v>34</v>
      </c>
      <c r="L1456">
        <v>41</v>
      </c>
      <c r="M1456" t="s">
        <v>29</v>
      </c>
      <c r="N1456" t="s">
        <v>48</v>
      </c>
      <c r="O1456" t="s">
        <v>31</v>
      </c>
      <c r="P1456">
        <v>3</v>
      </c>
      <c r="Q1456" t="s">
        <v>43</v>
      </c>
      <c r="R1456" t="s">
        <v>37</v>
      </c>
      <c r="S1456">
        <v>3</v>
      </c>
      <c r="T1456">
        <v>1</v>
      </c>
      <c r="U1456">
        <v>14</v>
      </c>
      <c r="V1456">
        <v>5</v>
      </c>
      <c r="W1456">
        <v>5</v>
      </c>
      <c r="X1456">
        <v>4</v>
      </c>
      <c r="Y1456">
        <v>0</v>
      </c>
      <c r="Z1456">
        <v>4</v>
      </c>
      <c r="AA1456" t="str">
        <f t="shared" si="118"/>
        <v>Mid Tenure</v>
      </c>
      <c r="AB1456" s="5">
        <v>44890</v>
      </c>
      <c r="AC1456">
        <f t="shared" si="119"/>
        <v>0</v>
      </c>
      <c r="AD1456" t="s">
        <v>49</v>
      </c>
      <c r="AE1456">
        <f>VLOOKUP(A1456,'Employee Engagement Survey'!A1451:B2920,2,FALSE)</f>
        <v>3</v>
      </c>
      <c r="AF1456">
        <f>VLOOKUP(A1456,'Employee Engagement Survey'!A1451:C2920,3,FALSE)</f>
        <v>2</v>
      </c>
      <c r="AG1456">
        <f>VLOOKUP(A1456,'Employee Engagement Survey'!A1451:D2920,4,FALSE)</f>
        <v>3</v>
      </c>
      <c r="AH1456">
        <f>VLOOKUP(A1456,'Employee Engagement Survey'!A1451:E2920,5,FALSE)</f>
        <v>3</v>
      </c>
      <c r="AI1456">
        <f t="shared" si="117"/>
        <v>2.75</v>
      </c>
    </row>
    <row r="1457" spans="1:35" hidden="1" x14ac:dyDescent="0.4">
      <c r="A1457">
        <v>549</v>
      </c>
      <c r="B1457" t="s">
        <v>34</v>
      </c>
      <c r="C1457">
        <f t="shared" si="115"/>
        <v>1</v>
      </c>
      <c r="D1457" t="s">
        <v>109</v>
      </c>
      <c r="E1457">
        <f t="shared" si="116"/>
        <v>1</v>
      </c>
      <c r="F1457" t="s">
        <v>28</v>
      </c>
      <c r="G1457">
        <v>5</v>
      </c>
      <c r="H1457" s="1">
        <v>246792</v>
      </c>
      <c r="I1457" s="10">
        <v>0.11</v>
      </c>
      <c r="J1457">
        <v>37.5</v>
      </c>
      <c r="K1457" t="s">
        <v>34</v>
      </c>
      <c r="L1457">
        <v>60</v>
      </c>
      <c r="M1457" t="s">
        <v>47</v>
      </c>
      <c r="N1457" t="s">
        <v>42</v>
      </c>
      <c r="O1457" t="s">
        <v>31</v>
      </c>
      <c r="P1457">
        <v>7</v>
      </c>
      <c r="Q1457" t="s">
        <v>43</v>
      </c>
      <c r="R1457" t="s">
        <v>37</v>
      </c>
      <c r="S1457">
        <v>3</v>
      </c>
      <c r="T1457">
        <v>0</v>
      </c>
      <c r="U1457">
        <v>33</v>
      </c>
      <c r="V1457">
        <v>5</v>
      </c>
      <c r="W1457">
        <v>29</v>
      </c>
      <c r="X1457">
        <v>8</v>
      </c>
      <c r="Y1457">
        <v>11</v>
      </c>
      <c r="Z1457">
        <v>10</v>
      </c>
      <c r="AA1457" t="str">
        <f t="shared" si="118"/>
        <v>Long Tenure</v>
      </c>
      <c r="AB1457" s="5">
        <v>44799</v>
      </c>
      <c r="AC1457">
        <f t="shared" si="119"/>
        <v>0</v>
      </c>
      <c r="AD1457" t="s">
        <v>49</v>
      </c>
      <c r="AE1457">
        <f>VLOOKUP(A1457,'Employee Engagement Survey'!A1453:B2922,2,FALSE)</f>
        <v>1</v>
      </c>
      <c r="AF1457">
        <f>VLOOKUP(A1457,'Employee Engagement Survey'!A1453:C2922,3,FALSE)</f>
        <v>1</v>
      </c>
      <c r="AG1457">
        <f>VLOOKUP(A1457,'Employee Engagement Survey'!A1453:D2922,4,FALSE)</f>
        <v>4</v>
      </c>
      <c r="AH1457">
        <f>VLOOKUP(A1457,'Employee Engagement Survey'!A1453:E2922,5,FALSE)</f>
        <v>1</v>
      </c>
      <c r="AI1457">
        <f t="shared" si="117"/>
        <v>1.75</v>
      </c>
    </row>
    <row r="1458" spans="1:35" hidden="1" x14ac:dyDescent="0.4">
      <c r="A1458">
        <v>2038</v>
      </c>
      <c r="B1458" t="s">
        <v>34</v>
      </c>
      <c r="C1458">
        <f t="shared" ref="C1458:C1472" si="120">IF(B1458="No",1,0)</f>
        <v>1</v>
      </c>
      <c r="D1458" t="s">
        <v>27</v>
      </c>
      <c r="E1458">
        <f t="shared" si="116"/>
        <v>0</v>
      </c>
      <c r="F1458" t="s">
        <v>28</v>
      </c>
      <c r="G1458">
        <v>4</v>
      </c>
      <c r="H1458" s="1">
        <v>53268</v>
      </c>
      <c r="I1458" s="10">
        <v>0.14000000000000001</v>
      </c>
      <c r="J1458">
        <v>37.5</v>
      </c>
      <c r="K1458" t="s">
        <v>34</v>
      </c>
      <c r="L1458">
        <v>32</v>
      </c>
      <c r="M1458" t="s">
        <v>29</v>
      </c>
      <c r="N1458" t="s">
        <v>30</v>
      </c>
      <c r="O1458" t="s">
        <v>31</v>
      </c>
      <c r="P1458">
        <v>2</v>
      </c>
      <c r="Q1458" t="s">
        <v>43</v>
      </c>
      <c r="R1458" t="s">
        <v>45</v>
      </c>
      <c r="S1458">
        <v>3</v>
      </c>
      <c r="T1458">
        <v>0</v>
      </c>
      <c r="U1458">
        <v>4</v>
      </c>
      <c r="V1458">
        <v>4</v>
      </c>
      <c r="W1458">
        <v>4</v>
      </c>
      <c r="X1458">
        <v>2</v>
      </c>
      <c r="Y1458">
        <v>1</v>
      </c>
      <c r="Z1458">
        <v>2</v>
      </c>
      <c r="AA1458" t="str">
        <f t="shared" si="118"/>
        <v>Mid Tenure</v>
      </c>
      <c r="AB1458" s="5">
        <v>45695</v>
      </c>
      <c r="AC1458">
        <f t="shared" si="119"/>
        <v>1</v>
      </c>
      <c r="AD1458" t="s">
        <v>38</v>
      </c>
      <c r="AE1458">
        <f>VLOOKUP(A1458,'Employee Engagement Survey'!A1454:B2923,2,FALSE)</f>
        <v>4</v>
      </c>
      <c r="AF1458">
        <f>VLOOKUP(A1458,'Employee Engagement Survey'!A1454:C2923,3,FALSE)</f>
        <v>1</v>
      </c>
      <c r="AG1458">
        <f>VLOOKUP(A1458,'Employee Engagement Survey'!A1454:D2923,4,FALSE)</f>
        <v>4</v>
      </c>
      <c r="AH1458">
        <f>VLOOKUP(A1458,'Employee Engagement Survey'!A1454:E2923,5,FALSE)</f>
        <v>3</v>
      </c>
      <c r="AI1458">
        <f t="shared" si="117"/>
        <v>3</v>
      </c>
    </row>
    <row r="1459" spans="1:35" hidden="1" x14ac:dyDescent="0.4">
      <c r="A1459">
        <v>2048</v>
      </c>
      <c r="B1459" t="s">
        <v>34</v>
      </c>
      <c r="C1459">
        <f t="shared" si="120"/>
        <v>1</v>
      </c>
      <c r="D1459" t="s">
        <v>27</v>
      </c>
      <c r="E1459">
        <f t="shared" si="116"/>
        <v>0</v>
      </c>
      <c r="F1459" t="s">
        <v>28</v>
      </c>
      <c r="G1459">
        <v>5</v>
      </c>
      <c r="H1459" s="1">
        <v>57708</v>
      </c>
      <c r="I1459" s="10">
        <v>0.14000000000000001</v>
      </c>
      <c r="J1459">
        <v>37.5</v>
      </c>
      <c r="K1459" t="s">
        <v>34</v>
      </c>
      <c r="L1459">
        <v>40</v>
      </c>
      <c r="M1459" t="s">
        <v>29</v>
      </c>
      <c r="N1459" t="s">
        <v>30</v>
      </c>
      <c r="O1459" t="s">
        <v>31</v>
      </c>
      <c r="P1459">
        <v>2</v>
      </c>
      <c r="Q1459" t="s">
        <v>51</v>
      </c>
      <c r="R1459" t="s">
        <v>37</v>
      </c>
      <c r="S1459">
        <v>3</v>
      </c>
      <c r="T1459">
        <v>0</v>
      </c>
      <c r="U1459">
        <v>8</v>
      </c>
      <c r="V1459">
        <v>2</v>
      </c>
      <c r="W1459">
        <v>2</v>
      </c>
      <c r="X1459">
        <v>2</v>
      </c>
      <c r="Y1459">
        <v>2</v>
      </c>
      <c r="Z1459">
        <v>2</v>
      </c>
      <c r="AA1459" t="str">
        <f t="shared" si="118"/>
        <v>Early Tenure</v>
      </c>
      <c r="AB1459" s="5">
        <v>45396</v>
      </c>
      <c r="AC1459">
        <f t="shared" si="119"/>
        <v>1</v>
      </c>
      <c r="AD1459" t="s">
        <v>38</v>
      </c>
      <c r="AE1459">
        <f>VLOOKUP(A1459,'Employee Engagement Survey'!A1456:B2925,2,FALSE)</f>
        <v>3</v>
      </c>
      <c r="AF1459">
        <f>VLOOKUP(A1459,'Employee Engagement Survey'!A1456:C2925,3,FALSE)</f>
        <v>3</v>
      </c>
      <c r="AG1459">
        <f>VLOOKUP(A1459,'Employee Engagement Survey'!A1456:D2925,4,FALSE)</f>
        <v>4</v>
      </c>
      <c r="AH1459">
        <f>VLOOKUP(A1459,'Employee Engagement Survey'!A1456:E2925,5,FALSE)</f>
        <v>3</v>
      </c>
      <c r="AI1459">
        <f t="shared" si="117"/>
        <v>3.25</v>
      </c>
    </row>
    <row r="1460" spans="1:35" hidden="1" x14ac:dyDescent="0.4">
      <c r="A1460">
        <v>2049</v>
      </c>
      <c r="B1460" t="s">
        <v>34</v>
      </c>
      <c r="C1460">
        <f t="shared" si="120"/>
        <v>1</v>
      </c>
      <c r="D1460" t="s">
        <v>55</v>
      </c>
      <c r="E1460">
        <f t="shared" si="116"/>
        <v>0</v>
      </c>
      <c r="F1460" t="s">
        <v>28</v>
      </c>
      <c r="G1460">
        <v>7</v>
      </c>
      <c r="H1460" s="1">
        <v>80268</v>
      </c>
      <c r="I1460" s="10">
        <v>0.14000000000000001</v>
      </c>
      <c r="J1460">
        <v>37.5</v>
      </c>
      <c r="K1460" t="s">
        <v>26</v>
      </c>
      <c r="L1460">
        <v>35</v>
      </c>
      <c r="M1460" t="s">
        <v>29</v>
      </c>
      <c r="N1460" t="s">
        <v>42</v>
      </c>
      <c r="O1460" t="s">
        <v>44</v>
      </c>
      <c r="P1460">
        <v>18</v>
      </c>
      <c r="Q1460" t="s">
        <v>51</v>
      </c>
      <c r="R1460" t="s">
        <v>37</v>
      </c>
      <c r="S1460">
        <v>3</v>
      </c>
      <c r="T1460">
        <v>2</v>
      </c>
      <c r="U1460">
        <v>10</v>
      </c>
      <c r="V1460">
        <v>2</v>
      </c>
      <c r="W1460">
        <v>10</v>
      </c>
      <c r="X1460">
        <v>2</v>
      </c>
      <c r="Y1460">
        <v>0</v>
      </c>
      <c r="Z1460">
        <v>2</v>
      </c>
      <c r="AA1460" t="str">
        <f t="shared" si="118"/>
        <v>Long Tenure</v>
      </c>
      <c r="AB1460" s="5">
        <v>45262</v>
      </c>
      <c r="AC1460">
        <f t="shared" si="119"/>
        <v>0</v>
      </c>
      <c r="AD1460" t="s">
        <v>38</v>
      </c>
      <c r="AE1460">
        <f>VLOOKUP(A1460,'Employee Engagement Survey'!A1457:B2926,2,FALSE)</f>
        <v>3</v>
      </c>
      <c r="AF1460">
        <f>VLOOKUP(A1460,'Employee Engagement Survey'!A1457:C2926,3,FALSE)</f>
        <v>3</v>
      </c>
      <c r="AG1460">
        <f>VLOOKUP(A1460,'Employee Engagement Survey'!A1457:D2926,4,FALSE)</f>
        <v>4</v>
      </c>
      <c r="AH1460">
        <f>VLOOKUP(A1460,'Employee Engagement Survey'!A1457:E2926,5,FALSE)</f>
        <v>4</v>
      </c>
      <c r="AI1460">
        <f t="shared" si="117"/>
        <v>3.5</v>
      </c>
    </row>
    <row r="1461" spans="1:35" hidden="1" x14ac:dyDescent="0.4">
      <c r="A1461">
        <v>2053</v>
      </c>
      <c r="B1461" t="s">
        <v>34</v>
      </c>
      <c r="C1461">
        <f t="shared" si="120"/>
        <v>1</v>
      </c>
      <c r="D1461" t="s">
        <v>46</v>
      </c>
      <c r="E1461">
        <f t="shared" si="116"/>
        <v>0</v>
      </c>
      <c r="F1461" t="s">
        <v>28</v>
      </c>
      <c r="G1461">
        <v>6</v>
      </c>
      <c r="H1461" s="1">
        <v>60300</v>
      </c>
      <c r="I1461" s="10">
        <v>0.13</v>
      </c>
      <c r="J1461">
        <v>37.5</v>
      </c>
      <c r="K1461" t="s">
        <v>26</v>
      </c>
      <c r="L1461">
        <v>29</v>
      </c>
      <c r="M1461" t="s">
        <v>29</v>
      </c>
      <c r="N1461" t="s">
        <v>42</v>
      </c>
      <c r="O1461" t="s">
        <v>31</v>
      </c>
      <c r="P1461">
        <v>13</v>
      </c>
      <c r="Q1461" t="s">
        <v>36</v>
      </c>
      <c r="R1461" t="s">
        <v>53</v>
      </c>
      <c r="S1461">
        <v>3</v>
      </c>
      <c r="T1461">
        <v>1</v>
      </c>
      <c r="U1461">
        <v>10</v>
      </c>
      <c r="V1461">
        <v>2</v>
      </c>
      <c r="W1461">
        <v>4</v>
      </c>
      <c r="X1461">
        <v>3</v>
      </c>
      <c r="Y1461">
        <v>0</v>
      </c>
      <c r="Z1461">
        <v>3</v>
      </c>
      <c r="AA1461" t="str">
        <f t="shared" si="118"/>
        <v>Mid Tenure</v>
      </c>
      <c r="AB1461" s="5">
        <v>45940</v>
      </c>
      <c r="AC1461">
        <f t="shared" si="119"/>
        <v>1</v>
      </c>
      <c r="AD1461" t="s">
        <v>38</v>
      </c>
      <c r="AE1461">
        <f>VLOOKUP(A1461,'Employee Engagement Survey'!A1458:B2927,2,FALSE)</f>
        <v>4</v>
      </c>
      <c r="AF1461">
        <f>VLOOKUP(A1461,'Employee Engagement Survey'!A1458:C2927,3,FALSE)</f>
        <v>2</v>
      </c>
      <c r="AG1461">
        <f>VLOOKUP(A1461,'Employee Engagement Survey'!A1458:D2927,4,FALSE)</f>
        <v>1</v>
      </c>
      <c r="AH1461">
        <f>VLOOKUP(A1461,'Employee Engagement Survey'!A1458:E2927,5,FALSE)</f>
        <v>3</v>
      </c>
      <c r="AI1461">
        <f t="shared" si="117"/>
        <v>2.5</v>
      </c>
    </row>
    <row r="1462" spans="1:35" hidden="1" x14ac:dyDescent="0.4">
      <c r="A1462">
        <v>1625</v>
      </c>
      <c r="B1462" t="s">
        <v>34</v>
      </c>
      <c r="C1462">
        <f t="shared" si="120"/>
        <v>1</v>
      </c>
      <c r="D1462" t="s">
        <v>108</v>
      </c>
      <c r="E1462">
        <f t="shared" si="116"/>
        <v>1</v>
      </c>
      <c r="F1462" t="s">
        <v>59</v>
      </c>
      <c r="G1462">
        <v>5</v>
      </c>
      <c r="H1462" s="1">
        <v>247896</v>
      </c>
      <c r="I1462" s="10">
        <v>0.11</v>
      </c>
      <c r="J1462">
        <v>37.5</v>
      </c>
      <c r="K1462" t="s">
        <v>34</v>
      </c>
      <c r="L1462">
        <v>47</v>
      </c>
      <c r="M1462" t="s">
        <v>47</v>
      </c>
      <c r="N1462" t="s">
        <v>42</v>
      </c>
      <c r="O1462" t="s">
        <v>31</v>
      </c>
      <c r="P1462">
        <v>26</v>
      </c>
      <c r="Q1462" t="s">
        <v>51</v>
      </c>
      <c r="R1462" t="s">
        <v>37</v>
      </c>
      <c r="S1462">
        <v>3</v>
      </c>
      <c r="T1462">
        <v>1</v>
      </c>
      <c r="U1462">
        <v>27</v>
      </c>
      <c r="V1462">
        <v>2</v>
      </c>
      <c r="W1462">
        <v>5</v>
      </c>
      <c r="X1462">
        <v>2</v>
      </c>
      <c r="Y1462">
        <v>1</v>
      </c>
      <c r="Z1462">
        <v>0</v>
      </c>
      <c r="AA1462" t="str">
        <f t="shared" si="118"/>
        <v>Mid Tenure</v>
      </c>
      <c r="AB1462" s="5">
        <v>45220</v>
      </c>
      <c r="AC1462">
        <f t="shared" si="119"/>
        <v>0</v>
      </c>
      <c r="AD1462" t="s">
        <v>38</v>
      </c>
      <c r="AE1462">
        <f>VLOOKUP(A1462,'Employee Engagement Survey'!A1459:B2928,2,FALSE)</f>
        <v>4</v>
      </c>
      <c r="AF1462">
        <f>VLOOKUP(A1462,'Employee Engagement Survey'!A1459:C2928,3,FALSE)</f>
        <v>3</v>
      </c>
      <c r="AG1462">
        <f>VLOOKUP(A1462,'Employee Engagement Survey'!A1459:D2928,4,FALSE)</f>
        <v>3</v>
      </c>
      <c r="AH1462">
        <f>VLOOKUP(A1462,'Employee Engagement Survey'!A1459:E2928,5,FALSE)</f>
        <v>3</v>
      </c>
      <c r="AI1462">
        <f t="shared" si="117"/>
        <v>3.25</v>
      </c>
    </row>
    <row r="1463" spans="1:35" hidden="1" x14ac:dyDescent="0.4">
      <c r="A1463">
        <v>1423</v>
      </c>
      <c r="B1463" t="s">
        <v>34</v>
      </c>
      <c r="C1463">
        <f t="shared" si="120"/>
        <v>1</v>
      </c>
      <c r="D1463" t="s">
        <v>60</v>
      </c>
      <c r="E1463">
        <f t="shared" si="116"/>
        <v>1</v>
      </c>
      <c r="F1463" t="s">
        <v>28</v>
      </c>
      <c r="G1463">
        <v>5</v>
      </c>
      <c r="H1463" s="1">
        <v>248412</v>
      </c>
      <c r="I1463" s="10">
        <v>0.21</v>
      </c>
      <c r="J1463">
        <v>37.5</v>
      </c>
      <c r="K1463" t="s">
        <v>26</v>
      </c>
      <c r="L1463">
        <v>58</v>
      </c>
      <c r="M1463" t="s">
        <v>47</v>
      </c>
      <c r="N1463" t="s">
        <v>42</v>
      </c>
      <c r="O1463" t="s">
        <v>31</v>
      </c>
      <c r="P1463">
        <v>1</v>
      </c>
      <c r="Q1463" t="s">
        <v>43</v>
      </c>
      <c r="R1463" t="s">
        <v>33</v>
      </c>
      <c r="S1463">
        <v>4</v>
      </c>
      <c r="T1463">
        <v>1</v>
      </c>
      <c r="U1463">
        <v>32</v>
      </c>
      <c r="V1463">
        <v>3</v>
      </c>
      <c r="W1463">
        <v>9</v>
      </c>
      <c r="X1463">
        <v>8</v>
      </c>
      <c r="Y1463">
        <v>1</v>
      </c>
      <c r="Z1463">
        <v>5</v>
      </c>
      <c r="AA1463" t="str">
        <f t="shared" si="118"/>
        <v>Mid Tenure</v>
      </c>
      <c r="AB1463" s="5">
        <v>45839</v>
      </c>
      <c r="AC1463">
        <f t="shared" si="119"/>
        <v>1</v>
      </c>
      <c r="AD1463" t="s">
        <v>38</v>
      </c>
      <c r="AE1463">
        <f>VLOOKUP(A1463,'Employee Engagement Survey'!A1461:B2930,2,FALSE)</f>
        <v>4</v>
      </c>
      <c r="AF1463">
        <f>VLOOKUP(A1463,'Employee Engagement Survey'!A1461:C2930,3,FALSE)</f>
        <v>1</v>
      </c>
      <c r="AG1463">
        <f>VLOOKUP(A1463,'Employee Engagement Survey'!A1461:D2930,4,FALSE)</f>
        <v>3</v>
      </c>
      <c r="AH1463">
        <f>VLOOKUP(A1463,'Employee Engagement Survey'!A1461:E2930,5,FALSE)</f>
        <v>3</v>
      </c>
      <c r="AI1463">
        <f t="shared" si="117"/>
        <v>2.75</v>
      </c>
    </row>
    <row r="1464" spans="1:35" hidden="1" x14ac:dyDescent="0.4">
      <c r="A1464">
        <v>2057</v>
      </c>
      <c r="B1464" t="s">
        <v>34</v>
      </c>
      <c r="C1464">
        <f t="shared" si="120"/>
        <v>1</v>
      </c>
      <c r="D1464" t="s">
        <v>54</v>
      </c>
      <c r="E1464">
        <f t="shared" si="116"/>
        <v>1</v>
      </c>
      <c r="F1464" t="s">
        <v>28</v>
      </c>
      <c r="G1464">
        <v>9</v>
      </c>
      <c r="H1464" s="1">
        <v>131232</v>
      </c>
      <c r="I1464" s="10">
        <v>0.19</v>
      </c>
      <c r="J1464">
        <v>37.5</v>
      </c>
      <c r="K1464" t="s">
        <v>34</v>
      </c>
      <c r="L1464">
        <v>31</v>
      </c>
      <c r="M1464" t="s">
        <v>29</v>
      </c>
      <c r="N1464" t="s">
        <v>30</v>
      </c>
      <c r="O1464" t="s">
        <v>35</v>
      </c>
      <c r="P1464">
        <v>5</v>
      </c>
      <c r="Q1464" t="s">
        <v>43</v>
      </c>
      <c r="R1464" t="s">
        <v>33</v>
      </c>
      <c r="S1464">
        <v>3</v>
      </c>
      <c r="T1464">
        <v>0</v>
      </c>
      <c r="U1464">
        <v>10</v>
      </c>
      <c r="V1464">
        <v>2</v>
      </c>
      <c r="W1464">
        <v>9</v>
      </c>
      <c r="X1464">
        <v>4</v>
      </c>
      <c r="Y1464">
        <v>1</v>
      </c>
      <c r="Z1464">
        <v>7</v>
      </c>
      <c r="AA1464" t="str">
        <f t="shared" si="118"/>
        <v>Mid Tenure</v>
      </c>
      <c r="AB1464" s="5">
        <v>45262</v>
      </c>
      <c r="AC1464">
        <f t="shared" si="119"/>
        <v>0</v>
      </c>
      <c r="AD1464" t="s">
        <v>38</v>
      </c>
      <c r="AE1464">
        <f>VLOOKUP(A1464,'Employee Engagement Survey'!A1462:B2931,2,FALSE)</f>
        <v>2</v>
      </c>
      <c r="AF1464">
        <f>VLOOKUP(A1464,'Employee Engagement Survey'!A1462:C2931,3,FALSE)</f>
        <v>1</v>
      </c>
      <c r="AG1464">
        <f>VLOOKUP(A1464,'Employee Engagement Survey'!A1462:D2931,4,FALSE)</f>
        <v>2</v>
      </c>
      <c r="AH1464">
        <f>VLOOKUP(A1464,'Employee Engagement Survey'!A1462:E2931,5,FALSE)</f>
        <v>3</v>
      </c>
      <c r="AI1464">
        <f t="shared" si="117"/>
        <v>2</v>
      </c>
    </row>
    <row r="1465" spans="1:35" hidden="1" x14ac:dyDescent="0.4">
      <c r="A1465">
        <v>2061</v>
      </c>
      <c r="B1465" t="s">
        <v>34</v>
      </c>
      <c r="C1465">
        <f t="shared" si="120"/>
        <v>1</v>
      </c>
      <c r="D1465" t="s">
        <v>46</v>
      </c>
      <c r="E1465">
        <f t="shared" si="116"/>
        <v>0</v>
      </c>
      <c r="F1465" t="s">
        <v>28</v>
      </c>
      <c r="G1465">
        <v>4</v>
      </c>
      <c r="H1465" s="1">
        <v>54852</v>
      </c>
      <c r="I1465" s="10">
        <v>0.17</v>
      </c>
      <c r="J1465">
        <v>37.5</v>
      </c>
      <c r="K1465" t="s">
        <v>34</v>
      </c>
      <c r="L1465">
        <v>36</v>
      </c>
      <c r="M1465" t="s">
        <v>29</v>
      </c>
      <c r="N1465" t="s">
        <v>42</v>
      </c>
      <c r="O1465" t="s">
        <v>44</v>
      </c>
      <c r="P1465">
        <v>23</v>
      </c>
      <c r="Q1465" t="s">
        <v>36</v>
      </c>
      <c r="R1465" t="s">
        <v>33</v>
      </c>
      <c r="S1465">
        <v>3</v>
      </c>
      <c r="T1465">
        <v>1</v>
      </c>
      <c r="U1465">
        <v>17</v>
      </c>
      <c r="V1465">
        <v>3</v>
      </c>
      <c r="W1465">
        <v>5</v>
      </c>
      <c r="X1465">
        <v>2</v>
      </c>
      <c r="Y1465">
        <v>0</v>
      </c>
      <c r="Z1465">
        <v>3</v>
      </c>
      <c r="AA1465" t="str">
        <f t="shared" si="118"/>
        <v>Mid Tenure</v>
      </c>
      <c r="AB1465" s="5">
        <v>45497</v>
      </c>
      <c r="AC1465">
        <f t="shared" si="119"/>
        <v>1</v>
      </c>
      <c r="AD1465" t="s">
        <v>38</v>
      </c>
      <c r="AE1465">
        <f>VLOOKUP(A1465,'Employee Engagement Survey'!A1463:B2932,2,FALSE)</f>
        <v>3</v>
      </c>
      <c r="AF1465">
        <f>VLOOKUP(A1465,'Employee Engagement Survey'!A1463:C2932,3,FALSE)</f>
        <v>4</v>
      </c>
      <c r="AG1465">
        <f>VLOOKUP(A1465,'Employee Engagement Survey'!A1463:D2932,4,FALSE)</f>
        <v>3</v>
      </c>
      <c r="AH1465">
        <f>VLOOKUP(A1465,'Employee Engagement Survey'!A1463:E2932,5,FALSE)</f>
        <v>3</v>
      </c>
      <c r="AI1465">
        <f t="shared" si="117"/>
        <v>3.25</v>
      </c>
    </row>
    <row r="1466" spans="1:35" hidden="1" x14ac:dyDescent="0.4">
      <c r="A1466">
        <v>2062</v>
      </c>
      <c r="B1466" t="s">
        <v>34</v>
      </c>
      <c r="C1466">
        <f t="shared" si="120"/>
        <v>1</v>
      </c>
      <c r="D1466" t="s">
        <v>55</v>
      </c>
      <c r="E1466">
        <f t="shared" si="116"/>
        <v>0</v>
      </c>
      <c r="F1466" t="s">
        <v>28</v>
      </c>
      <c r="G1466">
        <v>9</v>
      </c>
      <c r="H1466" s="1">
        <v>131892</v>
      </c>
      <c r="I1466" s="10">
        <v>0.15</v>
      </c>
      <c r="J1466">
        <v>37.5</v>
      </c>
      <c r="K1466" t="s">
        <v>34</v>
      </c>
      <c r="L1466">
        <v>39</v>
      </c>
      <c r="M1466" t="s">
        <v>29</v>
      </c>
      <c r="N1466" t="s">
        <v>42</v>
      </c>
      <c r="O1466" t="s">
        <v>31</v>
      </c>
      <c r="P1466">
        <v>6</v>
      </c>
      <c r="Q1466" t="s">
        <v>32</v>
      </c>
      <c r="R1466" t="s">
        <v>33</v>
      </c>
      <c r="S1466">
        <v>3</v>
      </c>
      <c r="T1466">
        <v>1</v>
      </c>
      <c r="U1466">
        <v>9</v>
      </c>
      <c r="V1466">
        <v>5</v>
      </c>
      <c r="W1466">
        <v>7</v>
      </c>
      <c r="X1466">
        <v>7</v>
      </c>
      <c r="Y1466">
        <v>1</v>
      </c>
      <c r="Z1466">
        <v>7</v>
      </c>
      <c r="AA1466" t="str">
        <f t="shared" si="118"/>
        <v>Mid Tenure</v>
      </c>
      <c r="AB1466" s="5">
        <v>44920</v>
      </c>
      <c r="AC1466">
        <f t="shared" si="119"/>
        <v>0</v>
      </c>
      <c r="AD1466" t="s">
        <v>38</v>
      </c>
      <c r="AE1466">
        <f>VLOOKUP(A1466,'Employee Engagement Survey'!A1464:B2933,2,FALSE)</f>
        <v>4</v>
      </c>
      <c r="AF1466">
        <f>VLOOKUP(A1466,'Employee Engagement Survey'!A1464:C2933,3,FALSE)</f>
        <v>1</v>
      </c>
      <c r="AG1466">
        <f>VLOOKUP(A1466,'Employee Engagement Survey'!A1464:D2933,4,FALSE)</f>
        <v>1</v>
      </c>
      <c r="AH1466">
        <f>VLOOKUP(A1466,'Employee Engagement Survey'!A1464:E2933,5,FALSE)</f>
        <v>3</v>
      </c>
      <c r="AI1466">
        <f t="shared" si="117"/>
        <v>2.25</v>
      </c>
    </row>
    <row r="1467" spans="1:35" hidden="1" x14ac:dyDescent="0.4">
      <c r="A1467">
        <v>2064</v>
      </c>
      <c r="B1467" t="s">
        <v>34</v>
      </c>
      <c r="C1467">
        <f t="shared" si="120"/>
        <v>1</v>
      </c>
      <c r="D1467" t="s">
        <v>54</v>
      </c>
      <c r="E1467">
        <f t="shared" si="116"/>
        <v>1</v>
      </c>
      <c r="F1467" t="s">
        <v>28</v>
      </c>
      <c r="G1467">
        <v>8</v>
      </c>
      <c r="H1467" s="1">
        <v>85704</v>
      </c>
      <c r="I1467" s="10">
        <v>0.2</v>
      </c>
      <c r="J1467">
        <v>37.5</v>
      </c>
      <c r="K1467" t="s">
        <v>26</v>
      </c>
      <c r="L1467">
        <v>27</v>
      </c>
      <c r="M1467" t="s">
        <v>29</v>
      </c>
      <c r="N1467" t="s">
        <v>42</v>
      </c>
      <c r="O1467" t="s">
        <v>31</v>
      </c>
      <c r="P1467">
        <v>4</v>
      </c>
      <c r="Q1467" t="s">
        <v>43</v>
      </c>
      <c r="R1467" t="s">
        <v>37</v>
      </c>
      <c r="S1467">
        <v>4</v>
      </c>
      <c r="T1467">
        <v>1</v>
      </c>
      <c r="U1467">
        <v>6</v>
      </c>
      <c r="V1467">
        <v>0</v>
      </c>
      <c r="W1467">
        <v>6</v>
      </c>
      <c r="X1467">
        <v>2</v>
      </c>
      <c r="Y1467">
        <v>0</v>
      </c>
      <c r="Z1467">
        <v>3</v>
      </c>
      <c r="AA1467" t="str">
        <f t="shared" si="118"/>
        <v>Mid Tenure</v>
      </c>
      <c r="AB1467" s="5">
        <v>44634</v>
      </c>
      <c r="AC1467">
        <f t="shared" si="119"/>
        <v>0</v>
      </c>
      <c r="AD1467" t="s">
        <v>38</v>
      </c>
      <c r="AE1467">
        <f>VLOOKUP(A1467,'Employee Engagement Survey'!A1466:B2935,2,FALSE)</f>
        <v>2</v>
      </c>
      <c r="AF1467">
        <f>VLOOKUP(A1467,'Employee Engagement Survey'!A1466:C2935,3,FALSE)</f>
        <v>2</v>
      </c>
      <c r="AG1467">
        <f>VLOOKUP(A1467,'Employee Engagement Survey'!A1466:D2935,4,FALSE)</f>
        <v>2</v>
      </c>
      <c r="AH1467">
        <f>VLOOKUP(A1467,'Employee Engagement Survey'!A1466:E2935,5,FALSE)</f>
        <v>3</v>
      </c>
      <c r="AI1467">
        <f t="shared" si="117"/>
        <v>2.25</v>
      </c>
    </row>
    <row r="1468" spans="1:35" hidden="1" x14ac:dyDescent="0.4">
      <c r="A1468">
        <v>2065</v>
      </c>
      <c r="B1468" t="s">
        <v>34</v>
      </c>
      <c r="C1468">
        <f t="shared" si="120"/>
        <v>1</v>
      </c>
      <c r="D1468" t="s">
        <v>57</v>
      </c>
      <c r="E1468">
        <f t="shared" si="116"/>
        <v>0</v>
      </c>
      <c r="F1468" t="s">
        <v>40</v>
      </c>
      <c r="G1468">
        <v>7</v>
      </c>
      <c r="H1468" s="1">
        <v>76680</v>
      </c>
      <c r="I1468" s="10">
        <v>0.14000000000000001</v>
      </c>
      <c r="J1468">
        <v>37.5</v>
      </c>
      <c r="K1468" t="s">
        <v>34</v>
      </c>
      <c r="L1468">
        <v>49</v>
      </c>
      <c r="M1468" t="s">
        <v>29</v>
      </c>
      <c r="N1468" t="s">
        <v>42</v>
      </c>
      <c r="O1468" t="s">
        <v>44</v>
      </c>
      <c r="P1468">
        <v>2</v>
      </c>
      <c r="Q1468" t="s">
        <v>43</v>
      </c>
      <c r="R1468" t="s">
        <v>33</v>
      </c>
      <c r="S1468">
        <v>3</v>
      </c>
      <c r="T1468">
        <v>0</v>
      </c>
      <c r="U1468">
        <v>17</v>
      </c>
      <c r="V1468">
        <v>3</v>
      </c>
      <c r="W1468">
        <v>9</v>
      </c>
      <c r="X1468">
        <v>6</v>
      </c>
      <c r="Y1468">
        <v>0</v>
      </c>
      <c r="Z1468">
        <v>8</v>
      </c>
      <c r="AA1468" t="str">
        <f t="shared" si="118"/>
        <v>Mid Tenure</v>
      </c>
      <c r="AB1468" s="5">
        <v>45986</v>
      </c>
      <c r="AC1468">
        <f t="shared" si="119"/>
        <v>1</v>
      </c>
      <c r="AD1468" t="s">
        <v>38</v>
      </c>
      <c r="AE1468">
        <f>VLOOKUP(A1468,'Employee Engagement Survey'!A1467:B2936,2,FALSE)</f>
        <v>4</v>
      </c>
      <c r="AF1468">
        <f>VLOOKUP(A1468,'Employee Engagement Survey'!A1467:C2936,3,FALSE)</f>
        <v>2</v>
      </c>
      <c r="AG1468">
        <f>VLOOKUP(A1468,'Employee Engagement Survey'!A1467:D2936,4,FALSE)</f>
        <v>4</v>
      </c>
      <c r="AH1468">
        <f>VLOOKUP(A1468,'Employee Engagement Survey'!A1467:E2936,5,FALSE)</f>
        <v>2</v>
      </c>
      <c r="AI1468">
        <f t="shared" si="117"/>
        <v>3</v>
      </c>
    </row>
    <row r="1469" spans="1:35" hidden="1" x14ac:dyDescent="0.4">
      <c r="A1469">
        <v>226</v>
      </c>
      <c r="B1469" t="s">
        <v>34</v>
      </c>
      <c r="C1469">
        <f t="shared" si="120"/>
        <v>1</v>
      </c>
      <c r="D1469" t="s">
        <v>109</v>
      </c>
      <c r="E1469">
        <f t="shared" si="116"/>
        <v>1</v>
      </c>
      <c r="F1469" t="s">
        <v>28</v>
      </c>
      <c r="G1469">
        <v>5</v>
      </c>
      <c r="H1469" s="1">
        <v>251112</v>
      </c>
      <c r="I1469" s="10">
        <v>0.15</v>
      </c>
      <c r="J1469">
        <v>37.5</v>
      </c>
      <c r="K1469" t="s">
        <v>34</v>
      </c>
      <c r="L1469">
        <v>50</v>
      </c>
      <c r="M1469" t="s">
        <v>47</v>
      </c>
      <c r="N1469" t="s">
        <v>30</v>
      </c>
      <c r="O1469" t="s">
        <v>31</v>
      </c>
      <c r="P1469">
        <v>11</v>
      </c>
      <c r="Q1469" t="s">
        <v>43</v>
      </c>
      <c r="R1469" t="s">
        <v>37</v>
      </c>
      <c r="S1469">
        <v>3</v>
      </c>
      <c r="T1469">
        <v>0</v>
      </c>
      <c r="U1469">
        <v>21</v>
      </c>
      <c r="V1469">
        <v>5</v>
      </c>
      <c r="W1469">
        <v>5</v>
      </c>
      <c r="X1469">
        <v>4</v>
      </c>
      <c r="Y1469">
        <v>4</v>
      </c>
      <c r="Z1469">
        <v>4</v>
      </c>
      <c r="AA1469" t="str">
        <f t="shared" si="118"/>
        <v>Mid Tenure</v>
      </c>
      <c r="AB1469" s="5">
        <v>45771</v>
      </c>
      <c r="AC1469">
        <f t="shared" si="119"/>
        <v>1</v>
      </c>
      <c r="AD1469" t="s">
        <v>38</v>
      </c>
      <c r="AE1469">
        <f>VLOOKUP(A1469,'Employee Engagement Survey'!A1468:B2937,2,FALSE)</f>
        <v>3</v>
      </c>
      <c r="AF1469">
        <f>VLOOKUP(A1469,'Employee Engagement Survey'!A1468:C2937,3,FALSE)</f>
        <v>2</v>
      </c>
      <c r="AG1469">
        <f>VLOOKUP(A1469,'Employee Engagement Survey'!A1468:D2937,4,FALSE)</f>
        <v>2</v>
      </c>
      <c r="AH1469">
        <f>VLOOKUP(A1469,'Employee Engagement Survey'!A1468:E2937,5,FALSE)</f>
        <v>3</v>
      </c>
      <c r="AI1469">
        <f t="shared" si="117"/>
        <v>2.5</v>
      </c>
    </row>
    <row r="1470" spans="1:35" hidden="1" x14ac:dyDescent="0.4">
      <c r="A1470">
        <v>1191</v>
      </c>
      <c r="B1470" t="s">
        <v>34</v>
      </c>
      <c r="C1470">
        <f t="shared" si="120"/>
        <v>1</v>
      </c>
      <c r="D1470" t="s">
        <v>109</v>
      </c>
      <c r="E1470">
        <f t="shared" si="116"/>
        <v>1</v>
      </c>
      <c r="F1470" t="s">
        <v>28</v>
      </c>
      <c r="G1470">
        <v>5</v>
      </c>
      <c r="H1470" s="1">
        <v>251316</v>
      </c>
      <c r="I1470" s="10">
        <v>0.13</v>
      </c>
      <c r="J1470">
        <v>37.5</v>
      </c>
      <c r="K1470" t="s">
        <v>34</v>
      </c>
      <c r="L1470">
        <v>56</v>
      </c>
      <c r="M1470" t="s">
        <v>47</v>
      </c>
      <c r="N1470" t="s">
        <v>48</v>
      </c>
      <c r="O1470" t="s">
        <v>31</v>
      </c>
      <c r="P1470">
        <v>4</v>
      </c>
      <c r="Q1470" t="s">
        <v>51</v>
      </c>
      <c r="R1470" t="s">
        <v>45</v>
      </c>
      <c r="S1470">
        <v>3</v>
      </c>
      <c r="T1470">
        <v>1</v>
      </c>
      <c r="U1470">
        <v>28</v>
      </c>
      <c r="V1470">
        <v>2</v>
      </c>
      <c r="W1470">
        <v>5</v>
      </c>
      <c r="X1470">
        <v>2</v>
      </c>
      <c r="Y1470">
        <v>4</v>
      </c>
      <c r="Z1470">
        <v>2</v>
      </c>
      <c r="AA1470" t="str">
        <f t="shared" si="118"/>
        <v>Mid Tenure</v>
      </c>
      <c r="AB1470" s="5">
        <v>44925</v>
      </c>
      <c r="AC1470">
        <f t="shared" si="119"/>
        <v>0</v>
      </c>
      <c r="AD1470" t="s">
        <v>49</v>
      </c>
      <c r="AE1470">
        <f>VLOOKUP(A1470,'Employee Engagement Survey'!A1469:B2938,2,FALSE)</f>
        <v>4</v>
      </c>
      <c r="AF1470">
        <f>VLOOKUP(A1470,'Employee Engagement Survey'!A1469:C2938,3,FALSE)</f>
        <v>1</v>
      </c>
      <c r="AG1470">
        <f>VLOOKUP(A1470,'Employee Engagement Survey'!A1469:D2938,4,FALSE)</f>
        <v>4</v>
      </c>
      <c r="AH1470">
        <f>VLOOKUP(A1470,'Employee Engagement Survey'!A1469:E2938,5,FALSE)</f>
        <v>3</v>
      </c>
      <c r="AI1470">
        <f t="shared" si="117"/>
        <v>3</v>
      </c>
    </row>
    <row r="1471" spans="1:35" hidden="1" x14ac:dyDescent="0.4">
      <c r="A1471">
        <v>1035</v>
      </c>
      <c r="B1471" t="s">
        <v>34</v>
      </c>
      <c r="C1471">
        <f t="shared" si="120"/>
        <v>1</v>
      </c>
      <c r="D1471" t="s">
        <v>60</v>
      </c>
      <c r="E1471">
        <f t="shared" si="116"/>
        <v>1</v>
      </c>
      <c r="F1471" t="s">
        <v>28</v>
      </c>
      <c r="G1471">
        <v>5</v>
      </c>
      <c r="H1471" s="1">
        <v>251676</v>
      </c>
      <c r="I1471" s="10">
        <v>0.22</v>
      </c>
      <c r="J1471">
        <v>37.5</v>
      </c>
      <c r="K1471" t="s">
        <v>34</v>
      </c>
      <c r="L1471">
        <v>41</v>
      </c>
      <c r="M1471" t="s">
        <v>47</v>
      </c>
      <c r="N1471" t="s">
        <v>48</v>
      </c>
      <c r="O1471" t="s">
        <v>35</v>
      </c>
      <c r="P1471">
        <v>7</v>
      </c>
      <c r="Q1471" t="s">
        <v>32</v>
      </c>
      <c r="R1471" t="s">
        <v>37</v>
      </c>
      <c r="S1471">
        <v>4</v>
      </c>
      <c r="T1471">
        <v>2</v>
      </c>
      <c r="U1471">
        <v>21</v>
      </c>
      <c r="V1471">
        <v>3</v>
      </c>
      <c r="W1471">
        <v>21</v>
      </c>
      <c r="X1471">
        <v>16</v>
      </c>
      <c r="Y1471">
        <v>5</v>
      </c>
      <c r="Z1471">
        <v>10</v>
      </c>
      <c r="AA1471" t="str">
        <f t="shared" si="118"/>
        <v>Long Tenure</v>
      </c>
      <c r="AB1471" s="5">
        <v>45623</v>
      </c>
      <c r="AC1471">
        <f t="shared" si="119"/>
        <v>1</v>
      </c>
      <c r="AD1471" t="s">
        <v>38</v>
      </c>
      <c r="AE1471">
        <f>VLOOKUP(A1471,'Employee Engagement Survey'!A1470:B2939,2,FALSE)</f>
        <v>2</v>
      </c>
      <c r="AF1471">
        <f>VLOOKUP(A1471,'Employee Engagement Survey'!A1470:C2939,3,FALSE)</f>
        <v>3</v>
      </c>
      <c r="AG1471">
        <f>VLOOKUP(A1471,'Employee Engagement Survey'!A1470:D2939,4,FALSE)</f>
        <v>2</v>
      </c>
      <c r="AH1471">
        <f>VLOOKUP(A1471,'Employee Engagement Survey'!A1470:E2939,5,FALSE)</f>
        <v>3</v>
      </c>
      <c r="AI1471">
        <f t="shared" si="117"/>
        <v>2.5</v>
      </c>
    </row>
    <row r="1472" spans="1:35" hidden="1" x14ac:dyDescent="0.4">
      <c r="A1472">
        <v>2068</v>
      </c>
      <c r="B1472" t="s">
        <v>34</v>
      </c>
      <c r="C1472">
        <f t="shared" si="120"/>
        <v>1</v>
      </c>
      <c r="D1472" t="s">
        <v>46</v>
      </c>
      <c r="E1472">
        <f t="shared" si="116"/>
        <v>0</v>
      </c>
      <c r="F1472" t="s">
        <v>28</v>
      </c>
      <c r="G1472">
        <v>6</v>
      </c>
      <c r="H1472" s="1">
        <v>64848</v>
      </c>
      <c r="I1472" s="10">
        <v>0.12</v>
      </c>
      <c r="J1472">
        <v>37.5</v>
      </c>
      <c r="K1472" t="s">
        <v>34</v>
      </c>
      <c r="L1472">
        <v>34</v>
      </c>
      <c r="M1472" t="s">
        <v>29</v>
      </c>
      <c r="N1472" t="s">
        <v>42</v>
      </c>
      <c r="O1472" t="s">
        <v>31</v>
      </c>
      <c r="P1472">
        <v>8</v>
      </c>
      <c r="Q1472" t="s">
        <v>43</v>
      </c>
      <c r="R1472" t="s">
        <v>33</v>
      </c>
      <c r="S1472">
        <v>3</v>
      </c>
      <c r="T1472">
        <v>0</v>
      </c>
      <c r="U1472">
        <v>6</v>
      </c>
      <c r="V1472">
        <v>3</v>
      </c>
      <c r="W1472">
        <v>4</v>
      </c>
      <c r="X1472">
        <v>3</v>
      </c>
      <c r="Y1472">
        <v>1</v>
      </c>
      <c r="Z1472">
        <v>2</v>
      </c>
      <c r="AA1472" t="str">
        <f t="shared" si="118"/>
        <v>Mid Tenure</v>
      </c>
      <c r="AB1472" s="5">
        <v>44582</v>
      </c>
      <c r="AC1472">
        <f t="shared" si="119"/>
        <v>0</v>
      </c>
      <c r="AD1472" t="s">
        <v>38</v>
      </c>
      <c r="AE1472">
        <f>VLOOKUP(A1472,'Employee Engagement Survey'!A1471:B2940,2,FALSE)</f>
        <v>2</v>
      </c>
      <c r="AF1472">
        <f>VLOOKUP(A1472,'Employee Engagement Survey'!A1471:C2940,3,FALSE)</f>
        <v>3</v>
      </c>
      <c r="AG1472">
        <f>VLOOKUP(A1472,'Employee Engagement Survey'!A1471:D2940,4,FALSE)</f>
        <v>1</v>
      </c>
      <c r="AH1472">
        <f>VLOOKUP(A1472,'Employee Engagement Survey'!A1471:E2940,5,FALSE)</f>
        <v>4</v>
      </c>
      <c r="AI1472">
        <f t="shared" si="117"/>
        <v>2.5</v>
      </c>
    </row>
  </sheetData>
  <autoFilter ref="A1:AI1472" xr:uid="{00000000-0001-0000-0000-000000000000}">
    <filterColumn colId="4">
      <filters>
        <filter val="1"/>
      </filters>
    </filterColumn>
    <filterColumn colId="26">
      <filters>
        <filter val="Early Tenure"/>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6C4D-6ACD-49D4-ADD2-D1E24B4E6AB8}">
  <dimension ref="A1:F16"/>
  <sheetViews>
    <sheetView workbookViewId="0">
      <selection activeCell="E15" sqref="E15"/>
    </sheetView>
  </sheetViews>
  <sheetFormatPr defaultRowHeight="16" x14ac:dyDescent="0.4"/>
  <cols>
    <col min="1" max="1" width="19.5" bestFit="1" customWidth="1"/>
    <col min="2" max="2" width="20.08203125" bestFit="1" customWidth="1"/>
    <col min="3" max="3" width="23.25" bestFit="1" customWidth="1"/>
    <col min="4" max="4" width="20.08203125" bestFit="1" customWidth="1"/>
    <col min="5" max="5" width="23.25" bestFit="1" customWidth="1"/>
    <col min="6" max="6" width="24.6640625" bestFit="1" customWidth="1"/>
    <col min="7" max="7" width="27.83203125" bestFit="1" customWidth="1"/>
  </cols>
  <sheetData>
    <row r="1" spans="1:6" x14ac:dyDescent="0.4">
      <c r="A1" t="s">
        <v>169</v>
      </c>
    </row>
    <row r="2" spans="1:6" x14ac:dyDescent="0.4">
      <c r="A2" s="18" t="s">
        <v>170</v>
      </c>
    </row>
    <row r="5" spans="1:6" x14ac:dyDescent="0.4">
      <c r="A5" s="2" t="s">
        <v>238</v>
      </c>
    </row>
    <row r="6" spans="1:6" x14ac:dyDescent="0.4">
      <c r="A6" s="8" t="s">
        <v>111</v>
      </c>
      <c r="B6" s="9">
        <v>1</v>
      </c>
      <c r="C6" t="s">
        <v>239</v>
      </c>
    </row>
    <row r="8" spans="1:6" x14ac:dyDescent="0.4">
      <c r="A8" s="8" t="s">
        <v>140</v>
      </c>
      <c r="B8" t="s">
        <v>147</v>
      </c>
      <c r="C8" t="s">
        <v>142</v>
      </c>
      <c r="D8" s="4" t="s">
        <v>237</v>
      </c>
      <c r="F8" t="s">
        <v>288</v>
      </c>
    </row>
    <row r="9" spans="1:6" x14ac:dyDescent="0.4">
      <c r="A9" s="9" t="s">
        <v>99</v>
      </c>
      <c r="B9">
        <v>23</v>
      </c>
      <c r="C9">
        <v>42</v>
      </c>
      <c r="D9" s="10">
        <f>GETPIVOTDATA("Sum of Recent Exit Flag",$A$8,"Tenure Stage","Early Tenure")/GETPIVOTDATA("Count of EmployeeNumber",$A$8,"Tenure Stage","Early Tenure")</f>
        <v>0.54761904761904767</v>
      </c>
      <c r="F9" s="11" t="s">
        <v>149</v>
      </c>
    </row>
    <row r="10" spans="1:6" x14ac:dyDescent="0.4">
      <c r="A10" s="9" t="s">
        <v>100</v>
      </c>
      <c r="B10">
        <v>61</v>
      </c>
      <c r="C10">
        <v>141</v>
      </c>
      <c r="D10" s="10">
        <f>GETPIVOTDATA("Sum of Recent Exit Flag",$A$8,"Tenure Stage","Long Tenure")/GETPIVOTDATA("Count of EmployeeNumber",$A$8,"Tenure Stage","Long Tenure")</f>
        <v>0.43262411347517732</v>
      </c>
      <c r="F10" s="11" t="s">
        <v>151</v>
      </c>
    </row>
    <row r="11" spans="1:6" x14ac:dyDescent="0.4">
      <c r="A11" s="9" t="s">
        <v>101</v>
      </c>
      <c r="B11">
        <v>74</v>
      </c>
      <c r="C11">
        <v>145</v>
      </c>
      <c r="D11" s="10">
        <f>GETPIVOTDATA("Sum of Recent Exit Flag",$A$8,"Tenure Stage","Mid Tenure")/GETPIVOTDATA("Count of EmployeeNumber",$A$8,"Tenure Stage","Mid Tenure")</f>
        <v>0.51034482758620692</v>
      </c>
      <c r="F11" s="11" t="s">
        <v>150</v>
      </c>
    </row>
    <row r="12" spans="1:6" x14ac:dyDescent="0.4">
      <c r="A12" s="9" t="s">
        <v>141</v>
      </c>
      <c r="B12">
        <v>158</v>
      </c>
      <c r="C12">
        <v>328</v>
      </c>
      <c r="D12" s="12">
        <f>GETPIVOTDATA("Sum of Recent Exit Flag",$A$8)/GETPIVOTDATA("Count of EmployeeNumber",$A$8)</f>
        <v>0.48170731707317072</v>
      </c>
    </row>
    <row r="15" spans="1:6" x14ac:dyDescent="0.4">
      <c r="A15" s="2" t="s">
        <v>163</v>
      </c>
    </row>
    <row r="16" spans="1:6" x14ac:dyDescent="0.4">
      <c r="A16"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1DC3-3CC2-4FD5-901B-2D535E8F402E}">
  <dimension ref="A1:I21"/>
  <sheetViews>
    <sheetView workbookViewId="0">
      <selection activeCell="E7" sqref="E7"/>
    </sheetView>
  </sheetViews>
  <sheetFormatPr defaultRowHeight="16" x14ac:dyDescent="0.4"/>
  <cols>
    <col min="1" max="1" width="19.5" bestFit="1" customWidth="1"/>
    <col min="2" max="2" width="20.08203125" bestFit="1" customWidth="1"/>
    <col min="3" max="3" width="23.25" bestFit="1" customWidth="1"/>
    <col min="4" max="4" width="20.08203125" bestFit="1" customWidth="1"/>
    <col min="5" max="5" width="23.25" bestFit="1" customWidth="1"/>
    <col min="6" max="6" width="15.1640625" customWidth="1"/>
    <col min="7" max="7" width="27.83203125" bestFit="1" customWidth="1"/>
    <col min="8" max="8" width="12.58203125" bestFit="1" customWidth="1"/>
    <col min="9" max="9" width="20" customWidth="1"/>
  </cols>
  <sheetData>
    <row r="1" spans="1:9" x14ac:dyDescent="0.4">
      <c r="A1" t="s">
        <v>171</v>
      </c>
    </row>
    <row r="2" spans="1:9" x14ac:dyDescent="0.4">
      <c r="A2" s="19" t="s">
        <v>285</v>
      </c>
    </row>
    <row r="3" spans="1:9" x14ac:dyDescent="0.4">
      <c r="A3" s="19"/>
    </row>
    <row r="4" spans="1:9" x14ac:dyDescent="0.4">
      <c r="A4" t="s">
        <v>298</v>
      </c>
    </row>
    <row r="6" spans="1:9" x14ac:dyDescent="0.4">
      <c r="A6" t="s">
        <v>182</v>
      </c>
      <c r="G6" t="s">
        <v>183</v>
      </c>
    </row>
    <row r="7" spans="1:9" x14ac:dyDescent="0.4">
      <c r="A7" s="16" t="s">
        <v>289</v>
      </c>
      <c r="B7" s="16" t="s">
        <v>284</v>
      </c>
      <c r="C7" s="16" t="s">
        <v>290</v>
      </c>
      <c r="D7" s="16" t="s">
        <v>155</v>
      </c>
      <c r="E7" s="49" t="s">
        <v>148</v>
      </c>
      <c r="G7" s="16" t="s">
        <v>289</v>
      </c>
      <c r="H7" s="16" t="s">
        <v>284</v>
      </c>
      <c r="I7" s="16" t="s">
        <v>290</v>
      </c>
    </row>
    <row r="8" spans="1:9" x14ac:dyDescent="0.4">
      <c r="A8" s="17" t="s">
        <v>100</v>
      </c>
      <c r="B8" s="17">
        <f>COUNTIFS(Clean_Data!AA2:AA1472, "Long Tenure",Clean_Data!E2:E1472, 1, Clean_Data!AC2:AC1472, 1)</f>
        <v>61</v>
      </c>
      <c r="C8" s="17">
        <f>COUNTIFS(Clean_Data!AA2:AA1472, "Long Tenure",Clean_Data!E2:E1472, 1, Clean_Data!AC2:AC1472, 0)</f>
        <v>80</v>
      </c>
      <c r="D8" s="17">
        <f>B8+C8</f>
        <v>141</v>
      </c>
      <c r="E8" s="40">
        <f>B8/(B8+C8)</f>
        <v>0.43262411347517732</v>
      </c>
      <c r="G8" s="17" t="s">
        <v>100</v>
      </c>
      <c r="H8" s="34">
        <f>D8*$B$10/$D$10</f>
        <v>67.920731707317074</v>
      </c>
      <c r="I8" s="34">
        <f>(D8*$C$10)/$D$10</f>
        <v>73.079268292682926</v>
      </c>
    </row>
    <row r="9" spans="1:9" x14ac:dyDescent="0.4">
      <c r="A9" s="17" t="s">
        <v>283</v>
      </c>
      <c r="B9" s="17">
        <f>COUNTIFS(Clean_Data!AA2:AA1472, "&lt;&gt;Long Tenure", Clean_Data!E2:E1472, 1, Clean_Data!AC2:AC1472, 1)</f>
        <v>97</v>
      </c>
      <c r="C9" s="17">
        <f>COUNTIFS(Clean_Data!AA2:AA1472, "&lt;&gt;Long Tenure", Clean_Data!E2:E1472, 1, Clean_Data!AC2:AC1472, 0)</f>
        <v>90</v>
      </c>
      <c r="D9" s="17">
        <f>B9+C9</f>
        <v>187</v>
      </c>
      <c r="E9" s="40">
        <f>B9/(B9+C9)</f>
        <v>0.51871657754010692</v>
      </c>
      <c r="G9" s="17" t="s">
        <v>283</v>
      </c>
      <c r="H9" s="34">
        <f>D9*$B$10/$D$10</f>
        <v>90.079268292682926</v>
      </c>
      <c r="I9" s="34">
        <f>(D9*$C$10)/$D$10</f>
        <v>96.920731707317074</v>
      </c>
    </row>
    <row r="10" spans="1:9" x14ac:dyDescent="0.4">
      <c r="A10" s="17" t="s">
        <v>156</v>
      </c>
      <c r="B10" s="17">
        <f>B8+B9</f>
        <v>158</v>
      </c>
      <c r="C10" s="17">
        <f>C8+C9</f>
        <v>170</v>
      </c>
      <c r="D10" s="17">
        <f>D8+D9</f>
        <v>328</v>
      </c>
    </row>
    <row r="13" spans="1:9" x14ac:dyDescent="0.4">
      <c r="B13" s="31" t="s">
        <v>157</v>
      </c>
    </row>
    <row r="14" spans="1:9" x14ac:dyDescent="0.4">
      <c r="B14" s="31" t="s">
        <v>158</v>
      </c>
      <c r="C14" s="30">
        <f>_xlfn.CHISQ.TEST(B8:C9,H8:I9)</f>
        <v>0.12238848985096425</v>
      </c>
    </row>
    <row r="15" spans="1:9" x14ac:dyDescent="0.4">
      <c r="B15" t="s">
        <v>159</v>
      </c>
      <c r="C15" t="s">
        <v>160</v>
      </c>
    </row>
    <row r="16" spans="1:9" x14ac:dyDescent="0.4">
      <c r="B16" t="s">
        <v>161</v>
      </c>
      <c r="C16" t="s">
        <v>162</v>
      </c>
    </row>
    <row r="19" spans="1:1" x14ac:dyDescent="0.4">
      <c r="A19" s="2" t="s">
        <v>163</v>
      </c>
    </row>
    <row r="20" spans="1:1" x14ac:dyDescent="0.4">
      <c r="A20" t="s">
        <v>293</v>
      </c>
    </row>
    <row r="21" spans="1:1" x14ac:dyDescent="0.4">
      <c r="A21" t="s">
        <v>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F17D-6D9F-4108-A04C-14D0350746D2}">
  <dimension ref="A1:H30"/>
  <sheetViews>
    <sheetView workbookViewId="0"/>
  </sheetViews>
  <sheetFormatPr defaultRowHeight="16" x14ac:dyDescent="0.4"/>
  <cols>
    <col min="1" max="1" width="21.1640625" bestFit="1" customWidth="1"/>
    <col min="2" max="2" width="18.9140625" bestFit="1" customWidth="1"/>
    <col min="3" max="3" width="23.25" bestFit="1" customWidth="1"/>
    <col min="4" max="4" width="13.33203125" customWidth="1"/>
    <col min="6" max="6" width="21.1640625" bestFit="1" customWidth="1"/>
    <col min="7" max="7" width="14.6640625" customWidth="1"/>
    <col min="8" max="8" width="15.5" bestFit="1" customWidth="1"/>
    <col min="9" max="9" width="8.4140625" bestFit="1" customWidth="1"/>
  </cols>
  <sheetData>
    <row r="1" spans="1:8" x14ac:dyDescent="0.4">
      <c r="A1" t="s">
        <v>165</v>
      </c>
    </row>
    <row r="2" spans="1:8" x14ac:dyDescent="0.4">
      <c r="A2" s="18" t="s">
        <v>166</v>
      </c>
    </row>
    <row r="3" spans="1:8" ht="15.5" customHeight="1" x14ac:dyDescent="0.4"/>
    <row r="4" spans="1:8" ht="17" customHeight="1" x14ac:dyDescent="0.4">
      <c r="A4" s="2" t="s">
        <v>241</v>
      </c>
    </row>
    <row r="5" spans="1:8" ht="17" customHeight="1" x14ac:dyDescent="0.4">
      <c r="A5" s="8" t="s">
        <v>111</v>
      </c>
      <c r="B5" s="9">
        <v>1</v>
      </c>
      <c r="C5" t="s">
        <v>239</v>
      </c>
    </row>
    <row r="6" spans="1:8" ht="17" customHeight="1" x14ac:dyDescent="0.4"/>
    <row r="7" spans="1:8" ht="17" customHeight="1" x14ac:dyDescent="0.4">
      <c r="A7" s="8" t="s">
        <v>142</v>
      </c>
      <c r="B7" s="8" t="s">
        <v>152</v>
      </c>
    </row>
    <row r="8" spans="1:8" ht="17" customHeight="1" x14ac:dyDescent="0.4">
      <c r="A8" s="8" t="s">
        <v>3</v>
      </c>
      <c r="B8" t="s">
        <v>167</v>
      </c>
      <c r="C8" t="s">
        <v>168</v>
      </c>
      <c r="D8" t="s">
        <v>141</v>
      </c>
    </row>
    <row r="9" spans="1:8" x14ac:dyDescent="0.4">
      <c r="A9" s="9" t="s">
        <v>59</v>
      </c>
      <c r="B9">
        <v>7</v>
      </c>
      <c r="C9">
        <v>4</v>
      </c>
      <c r="D9">
        <v>11</v>
      </c>
    </row>
    <row r="10" spans="1:8" x14ac:dyDescent="0.4">
      <c r="A10" s="9" t="s">
        <v>28</v>
      </c>
      <c r="B10">
        <v>147</v>
      </c>
      <c r="C10">
        <v>133</v>
      </c>
      <c r="D10">
        <v>280</v>
      </c>
    </row>
    <row r="11" spans="1:8" x14ac:dyDescent="0.4">
      <c r="A11" s="9" t="s">
        <v>40</v>
      </c>
      <c r="B11">
        <v>16</v>
      </c>
      <c r="C11">
        <v>21</v>
      </c>
      <c r="D11">
        <v>37</v>
      </c>
    </row>
    <row r="12" spans="1:8" x14ac:dyDescent="0.4">
      <c r="A12" s="9" t="s">
        <v>141</v>
      </c>
      <c r="B12">
        <v>170</v>
      </c>
      <c r="C12">
        <v>158</v>
      </c>
      <c r="D12">
        <v>328</v>
      </c>
    </row>
    <row r="15" spans="1:8" x14ac:dyDescent="0.4">
      <c r="A15" s="9" t="s">
        <v>182</v>
      </c>
      <c r="F15" t="s">
        <v>183</v>
      </c>
    </row>
    <row r="16" spans="1:8" x14ac:dyDescent="0.4">
      <c r="A16" s="16" t="s">
        <v>3</v>
      </c>
      <c r="B16" s="16" t="s">
        <v>191</v>
      </c>
      <c r="C16" s="16" t="s">
        <v>154</v>
      </c>
      <c r="D16" s="16" t="s">
        <v>155</v>
      </c>
      <c r="F16" s="16" t="s">
        <v>3</v>
      </c>
      <c r="G16" s="16" t="s">
        <v>153</v>
      </c>
      <c r="H16" s="16" t="s">
        <v>192</v>
      </c>
    </row>
    <row r="17" spans="1:8" x14ac:dyDescent="0.4">
      <c r="A17" s="17" t="s">
        <v>59</v>
      </c>
      <c r="B17" s="17">
        <v>7</v>
      </c>
      <c r="C17" s="17">
        <v>4</v>
      </c>
      <c r="D17" s="16">
        <f>B17+C17</f>
        <v>11</v>
      </c>
      <c r="F17" s="17" t="s">
        <v>59</v>
      </c>
      <c r="G17" s="28">
        <f>(D17*$B$20)/$D$20</f>
        <v>5.7012195121951219</v>
      </c>
      <c r="H17" s="28">
        <f>(D17*$C$20)/$D$20</f>
        <v>5.2987804878048781</v>
      </c>
    </row>
    <row r="18" spans="1:8" x14ac:dyDescent="0.4">
      <c r="A18" s="17" t="s">
        <v>28</v>
      </c>
      <c r="B18" s="17">
        <v>147</v>
      </c>
      <c r="C18" s="17">
        <v>133</v>
      </c>
      <c r="D18" s="16">
        <f t="shared" ref="D18:D19" si="0">B18+C18</f>
        <v>280</v>
      </c>
      <c r="F18" s="17" t="s">
        <v>28</v>
      </c>
      <c r="G18" s="28">
        <f t="shared" ref="G18:G19" si="1">(D18*$B$20)/$D$20</f>
        <v>145.1219512195122</v>
      </c>
      <c r="H18" s="28">
        <f t="shared" ref="H18:H19" si="2">(D18*$C$20)/$D$20</f>
        <v>134.8780487804878</v>
      </c>
    </row>
    <row r="19" spans="1:8" x14ac:dyDescent="0.4">
      <c r="A19" s="17" t="s">
        <v>40</v>
      </c>
      <c r="B19" s="17">
        <v>16</v>
      </c>
      <c r="C19" s="17">
        <v>21</v>
      </c>
      <c r="D19" s="16">
        <f t="shared" si="0"/>
        <v>37</v>
      </c>
      <c r="F19" s="17" t="s">
        <v>40</v>
      </c>
      <c r="G19" s="28">
        <f t="shared" si="1"/>
        <v>19.176829268292682</v>
      </c>
      <c r="H19" s="28">
        <f t="shared" si="2"/>
        <v>17.823170731707318</v>
      </c>
    </row>
    <row r="20" spans="1:8" x14ac:dyDescent="0.4">
      <c r="A20" s="16" t="s">
        <v>156</v>
      </c>
      <c r="B20" s="16">
        <f>B17+B18+B19</f>
        <v>170</v>
      </c>
      <c r="C20" s="16">
        <f t="shared" ref="C20:D20" si="3">C17+C18+C19</f>
        <v>158</v>
      </c>
      <c r="D20" s="16">
        <f t="shared" si="3"/>
        <v>328</v>
      </c>
      <c r="F20" s="17"/>
      <c r="G20" s="17"/>
      <c r="H20" s="17"/>
    </row>
    <row r="22" spans="1:8" x14ac:dyDescent="0.4">
      <c r="C22" s="31" t="s">
        <v>157</v>
      </c>
    </row>
    <row r="23" spans="1:8" x14ac:dyDescent="0.4">
      <c r="C23" s="31" t="s">
        <v>158</v>
      </c>
      <c r="D23" s="36">
        <f>_xlfn.CHISQ.TEST(B17:C19,G17:H19)</f>
        <v>0.41536711378893876</v>
      </c>
    </row>
    <row r="24" spans="1:8" x14ac:dyDescent="0.4">
      <c r="C24" t="s">
        <v>159</v>
      </c>
      <c r="D24" t="s">
        <v>160</v>
      </c>
    </row>
    <row r="25" spans="1:8" x14ac:dyDescent="0.4">
      <c r="C25" t="s">
        <v>161</v>
      </c>
      <c r="D25" t="s">
        <v>162</v>
      </c>
    </row>
    <row r="26" spans="1:8" x14ac:dyDescent="0.4">
      <c r="A26" s="2" t="s">
        <v>163</v>
      </c>
    </row>
    <row r="27" spans="1:8" x14ac:dyDescent="0.4">
      <c r="A27" t="s">
        <v>164</v>
      </c>
    </row>
    <row r="29" spans="1:8" x14ac:dyDescent="0.4">
      <c r="A29" s="53"/>
    </row>
    <row r="30" spans="1:8" x14ac:dyDescent="0.4">
      <c r="A30" s="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0B35-4307-404A-B636-13331D2EF4F3}">
  <dimension ref="A1:B188"/>
  <sheetViews>
    <sheetView workbookViewId="0">
      <selection activeCell="B19" sqref="B19"/>
    </sheetView>
  </sheetViews>
  <sheetFormatPr defaultRowHeight="16" x14ac:dyDescent="0.4"/>
  <cols>
    <col min="1" max="1" width="26.25" customWidth="1"/>
    <col min="2" max="2" width="20.08203125" customWidth="1"/>
    <col min="4" max="4" width="24.25" bestFit="1" customWidth="1"/>
  </cols>
  <sheetData>
    <row r="1" spans="1:2" x14ac:dyDescent="0.4">
      <c r="A1" t="s">
        <v>172</v>
      </c>
    </row>
    <row r="2" spans="1:2" x14ac:dyDescent="0.4">
      <c r="A2" s="33" t="s">
        <v>231</v>
      </c>
    </row>
    <row r="3" spans="1:2" x14ac:dyDescent="0.4">
      <c r="A3" s="21"/>
    </row>
    <row r="4" spans="1:2" x14ac:dyDescent="0.4">
      <c r="A4" s="2" t="s">
        <v>234</v>
      </c>
    </row>
    <row r="5" spans="1:2" x14ac:dyDescent="0.4">
      <c r="A5" s="17" t="s">
        <v>233</v>
      </c>
      <c r="B5" s="28">
        <f>AVERAGEIFS(Clean_Data!X2:X1472, Clean_Data!E2:E1472, 1, Clean_Data!AC2:AC1472, 1)</f>
        <v>5.4936708860759493</v>
      </c>
    </row>
    <row r="6" spans="1:2" x14ac:dyDescent="0.4">
      <c r="A6" s="17" t="s">
        <v>232</v>
      </c>
      <c r="B6" s="28">
        <f>AVERAGEIFS(Clean_Data!X2:X1472, Clean_Data!E2:E1472, 1, Clean_Data!AC2:AC1472, 0)</f>
        <v>5.9823529411764707</v>
      </c>
    </row>
    <row r="8" spans="1:2" x14ac:dyDescent="0.4">
      <c r="A8" s="2" t="s">
        <v>163</v>
      </c>
    </row>
    <row r="9" spans="1:2" x14ac:dyDescent="0.4">
      <c r="A9" t="s">
        <v>235</v>
      </c>
    </row>
    <row r="11" spans="1:2" x14ac:dyDescent="0.4">
      <c r="A11" s="31" t="s">
        <v>196</v>
      </c>
      <c r="B11" s="30"/>
    </row>
    <row r="12" spans="1:2" x14ac:dyDescent="0.4">
      <c r="A12" s="35" t="s">
        <v>158</v>
      </c>
      <c r="B12" s="36">
        <f>_xlfn.T.TEST(A19:A89,B19:B188,2,3)</f>
        <v>0.64891042958376977</v>
      </c>
    </row>
    <row r="13" spans="1:2" x14ac:dyDescent="0.4">
      <c r="A13" s="37"/>
      <c r="B13" s="38"/>
    </row>
    <row r="14" spans="1:2" x14ac:dyDescent="0.4">
      <c r="A14" s="39" t="s">
        <v>163</v>
      </c>
      <c r="B14" s="38"/>
    </row>
    <row r="15" spans="1:2" x14ac:dyDescent="0.4">
      <c r="A15" s="9" t="s">
        <v>244</v>
      </c>
      <c r="B15" s="38"/>
    </row>
    <row r="17" spans="1:2" x14ac:dyDescent="0.4">
      <c r="A17" t="s">
        <v>243</v>
      </c>
    </row>
    <row r="18" spans="1:2" x14ac:dyDescent="0.4">
      <c r="A18" s="17" t="s">
        <v>233</v>
      </c>
      <c r="B18" s="17" t="s">
        <v>291</v>
      </c>
    </row>
    <row r="19" spans="1:2" x14ac:dyDescent="0.4">
      <c r="A19" s="17">
        <v>2</v>
      </c>
      <c r="B19" s="17">
        <v>2</v>
      </c>
    </row>
    <row r="20" spans="1:2" x14ac:dyDescent="0.4">
      <c r="A20" s="17">
        <v>6</v>
      </c>
      <c r="B20" s="17">
        <v>0</v>
      </c>
    </row>
    <row r="21" spans="1:2" x14ac:dyDescent="0.4">
      <c r="A21" s="17">
        <v>6</v>
      </c>
      <c r="B21" s="17">
        <v>0</v>
      </c>
    </row>
    <row r="22" spans="1:2" x14ac:dyDescent="0.4">
      <c r="A22" s="17">
        <v>7</v>
      </c>
      <c r="B22" s="17">
        <v>7</v>
      </c>
    </row>
    <row r="23" spans="1:2" x14ac:dyDescent="0.4">
      <c r="A23" s="17">
        <v>5</v>
      </c>
      <c r="B23" s="17">
        <v>6</v>
      </c>
    </row>
    <row r="24" spans="1:2" x14ac:dyDescent="0.4">
      <c r="A24" s="17">
        <v>4</v>
      </c>
      <c r="B24" s="17">
        <v>2</v>
      </c>
    </row>
    <row r="25" spans="1:2" x14ac:dyDescent="0.4">
      <c r="A25" s="17">
        <v>0</v>
      </c>
      <c r="B25" s="17">
        <v>2</v>
      </c>
    </row>
    <row r="26" spans="1:2" x14ac:dyDescent="0.4">
      <c r="A26" s="17">
        <v>6</v>
      </c>
      <c r="B26" s="17">
        <v>15</v>
      </c>
    </row>
    <row r="27" spans="1:2" x14ac:dyDescent="0.4">
      <c r="A27" s="17">
        <v>0</v>
      </c>
      <c r="B27" s="17">
        <v>3</v>
      </c>
    </row>
    <row r="28" spans="1:2" x14ac:dyDescent="0.4">
      <c r="A28" s="17">
        <v>0</v>
      </c>
      <c r="B28" s="17">
        <v>2</v>
      </c>
    </row>
    <row r="29" spans="1:2" x14ac:dyDescent="0.4">
      <c r="A29" s="17">
        <v>0</v>
      </c>
      <c r="B29" s="17">
        <v>8</v>
      </c>
    </row>
    <row r="30" spans="1:2" x14ac:dyDescent="0.4">
      <c r="A30" s="17">
        <v>7</v>
      </c>
      <c r="B30" s="17">
        <v>2</v>
      </c>
    </row>
    <row r="31" spans="1:2" x14ac:dyDescent="0.4">
      <c r="A31" s="17">
        <v>9</v>
      </c>
      <c r="B31" s="17">
        <v>9</v>
      </c>
    </row>
    <row r="32" spans="1:2" x14ac:dyDescent="0.4">
      <c r="A32" s="17">
        <v>2</v>
      </c>
      <c r="B32" s="17">
        <v>7</v>
      </c>
    </row>
    <row r="33" spans="1:2" x14ac:dyDescent="0.4">
      <c r="A33" s="17">
        <v>7</v>
      </c>
      <c r="B33" s="17">
        <v>3</v>
      </c>
    </row>
    <row r="34" spans="1:2" x14ac:dyDescent="0.4">
      <c r="A34" s="17">
        <v>9</v>
      </c>
      <c r="B34" s="17">
        <v>10</v>
      </c>
    </row>
    <row r="35" spans="1:2" x14ac:dyDescent="0.4">
      <c r="A35" s="17">
        <v>7</v>
      </c>
      <c r="B35" s="17">
        <v>15</v>
      </c>
    </row>
    <row r="36" spans="1:2" x14ac:dyDescent="0.4">
      <c r="A36" s="17">
        <v>11</v>
      </c>
      <c r="B36" s="17">
        <v>14</v>
      </c>
    </row>
    <row r="37" spans="1:2" x14ac:dyDescent="0.4">
      <c r="A37" s="17">
        <v>15</v>
      </c>
      <c r="B37" s="17">
        <v>3</v>
      </c>
    </row>
    <row r="38" spans="1:2" x14ac:dyDescent="0.4">
      <c r="A38" s="17">
        <v>8</v>
      </c>
      <c r="B38" s="17">
        <v>5</v>
      </c>
    </row>
    <row r="39" spans="1:2" x14ac:dyDescent="0.4">
      <c r="A39" s="17">
        <v>0</v>
      </c>
      <c r="B39" s="17">
        <v>8</v>
      </c>
    </row>
    <row r="40" spans="1:2" x14ac:dyDescent="0.4">
      <c r="A40" s="17">
        <v>7</v>
      </c>
      <c r="B40" s="17">
        <v>12</v>
      </c>
    </row>
    <row r="41" spans="1:2" x14ac:dyDescent="0.4">
      <c r="A41" s="17">
        <v>7</v>
      </c>
      <c r="B41" s="17">
        <v>18</v>
      </c>
    </row>
    <row r="42" spans="1:2" x14ac:dyDescent="0.4">
      <c r="A42" s="17">
        <v>10</v>
      </c>
      <c r="B42" s="17">
        <v>2</v>
      </c>
    </row>
    <row r="43" spans="1:2" x14ac:dyDescent="0.4">
      <c r="A43" s="17">
        <v>7</v>
      </c>
      <c r="B43" s="17">
        <v>6</v>
      </c>
    </row>
    <row r="44" spans="1:2" x14ac:dyDescent="0.4">
      <c r="A44" s="17">
        <v>6</v>
      </c>
      <c r="B44" s="17">
        <v>15</v>
      </c>
    </row>
    <row r="45" spans="1:2" x14ac:dyDescent="0.4">
      <c r="A45" s="17">
        <v>1</v>
      </c>
      <c r="B45" s="17">
        <v>8</v>
      </c>
    </row>
    <row r="46" spans="1:2" x14ac:dyDescent="0.4">
      <c r="A46" s="17">
        <v>8</v>
      </c>
      <c r="B46" s="17">
        <v>0</v>
      </c>
    </row>
    <row r="47" spans="1:2" x14ac:dyDescent="0.4">
      <c r="A47" s="17">
        <v>7</v>
      </c>
      <c r="B47" s="17">
        <v>7</v>
      </c>
    </row>
    <row r="48" spans="1:2" x14ac:dyDescent="0.4">
      <c r="A48" s="17">
        <v>0</v>
      </c>
      <c r="B48" s="17">
        <v>2</v>
      </c>
    </row>
    <row r="49" spans="1:2" x14ac:dyDescent="0.4">
      <c r="A49" s="17">
        <v>9</v>
      </c>
      <c r="B49" s="17">
        <v>7</v>
      </c>
    </row>
    <row r="50" spans="1:2" x14ac:dyDescent="0.4">
      <c r="A50" s="17">
        <v>2</v>
      </c>
      <c r="B50" s="17">
        <v>8</v>
      </c>
    </row>
    <row r="51" spans="1:2" x14ac:dyDescent="0.4">
      <c r="A51" s="17">
        <v>6</v>
      </c>
      <c r="B51" s="17">
        <v>9</v>
      </c>
    </row>
    <row r="52" spans="1:2" x14ac:dyDescent="0.4">
      <c r="A52" s="17">
        <v>14</v>
      </c>
      <c r="B52" s="17">
        <v>17</v>
      </c>
    </row>
    <row r="53" spans="1:2" x14ac:dyDescent="0.4">
      <c r="A53" s="17">
        <v>7</v>
      </c>
      <c r="B53" s="17">
        <v>0</v>
      </c>
    </row>
    <row r="54" spans="1:2" x14ac:dyDescent="0.4">
      <c r="A54" s="17">
        <v>8</v>
      </c>
      <c r="B54" s="17">
        <v>7</v>
      </c>
    </row>
    <row r="55" spans="1:2" x14ac:dyDescent="0.4">
      <c r="A55" s="17">
        <v>0</v>
      </c>
      <c r="B55" s="17">
        <v>10</v>
      </c>
    </row>
    <row r="56" spans="1:2" x14ac:dyDescent="0.4">
      <c r="A56" s="17">
        <v>2</v>
      </c>
      <c r="B56" s="17">
        <v>3</v>
      </c>
    </row>
    <row r="57" spans="1:2" x14ac:dyDescent="0.4">
      <c r="A57" s="17">
        <v>11</v>
      </c>
      <c r="B57" s="17">
        <v>1</v>
      </c>
    </row>
    <row r="58" spans="1:2" x14ac:dyDescent="0.4">
      <c r="A58" s="17">
        <v>10</v>
      </c>
      <c r="B58" s="17">
        <v>10</v>
      </c>
    </row>
    <row r="59" spans="1:2" x14ac:dyDescent="0.4">
      <c r="A59" s="17">
        <v>9</v>
      </c>
      <c r="B59" s="17">
        <v>9</v>
      </c>
    </row>
    <row r="60" spans="1:2" x14ac:dyDescent="0.4">
      <c r="A60" s="17">
        <v>0</v>
      </c>
      <c r="B60" s="17">
        <v>10</v>
      </c>
    </row>
    <row r="61" spans="1:2" x14ac:dyDescent="0.4">
      <c r="A61" s="17">
        <v>2</v>
      </c>
      <c r="B61" s="17">
        <v>6</v>
      </c>
    </row>
    <row r="62" spans="1:2" x14ac:dyDescent="0.4">
      <c r="A62" s="17">
        <v>8</v>
      </c>
      <c r="B62" s="17">
        <v>0</v>
      </c>
    </row>
    <row r="63" spans="1:2" x14ac:dyDescent="0.4">
      <c r="A63" s="17">
        <v>7</v>
      </c>
      <c r="B63" s="17">
        <v>2</v>
      </c>
    </row>
    <row r="64" spans="1:2" x14ac:dyDescent="0.4">
      <c r="A64" s="17">
        <v>1</v>
      </c>
      <c r="B64" s="17">
        <v>8</v>
      </c>
    </row>
    <row r="65" spans="1:2" x14ac:dyDescent="0.4">
      <c r="A65" s="17">
        <v>2</v>
      </c>
      <c r="B65" s="17">
        <v>4</v>
      </c>
    </row>
    <row r="66" spans="1:2" x14ac:dyDescent="0.4">
      <c r="A66" s="17">
        <v>4</v>
      </c>
      <c r="B66" s="17">
        <v>10</v>
      </c>
    </row>
    <row r="67" spans="1:2" x14ac:dyDescent="0.4">
      <c r="A67" s="17">
        <v>6</v>
      </c>
      <c r="B67" s="17">
        <v>2</v>
      </c>
    </row>
    <row r="68" spans="1:2" x14ac:dyDescent="0.4">
      <c r="A68" s="17">
        <v>9</v>
      </c>
      <c r="B68" s="17">
        <v>2</v>
      </c>
    </row>
    <row r="69" spans="1:2" x14ac:dyDescent="0.4">
      <c r="A69" s="17">
        <v>2</v>
      </c>
      <c r="B69" s="17">
        <v>7</v>
      </c>
    </row>
    <row r="70" spans="1:2" x14ac:dyDescent="0.4">
      <c r="A70" s="17">
        <v>4</v>
      </c>
      <c r="B70" s="17">
        <v>10</v>
      </c>
    </row>
    <row r="71" spans="1:2" x14ac:dyDescent="0.4">
      <c r="A71" s="17">
        <v>15</v>
      </c>
      <c r="B71" s="17">
        <v>1</v>
      </c>
    </row>
    <row r="72" spans="1:2" x14ac:dyDescent="0.4">
      <c r="A72" s="17">
        <v>17</v>
      </c>
      <c r="B72" s="17">
        <v>6</v>
      </c>
    </row>
    <row r="73" spans="1:2" x14ac:dyDescent="0.4">
      <c r="A73" s="17">
        <v>3</v>
      </c>
      <c r="B73" s="17">
        <v>7</v>
      </c>
    </row>
    <row r="74" spans="1:2" x14ac:dyDescent="0.4">
      <c r="A74" s="17">
        <v>3</v>
      </c>
      <c r="B74" s="17">
        <v>2</v>
      </c>
    </row>
    <row r="75" spans="1:2" x14ac:dyDescent="0.4">
      <c r="A75" s="17">
        <v>0</v>
      </c>
      <c r="B75" s="17">
        <v>2</v>
      </c>
    </row>
    <row r="76" spans="1:2" x14ac:dyDescent="0.4">
      <c r="A76" s="17">
        <v>15</v>
      </c>
      <c r="B76" s="17">
        <v>7</v>
      </c>
    </row>
    <row r="77" spans="1:2" x14ac:dyDescent="0.4">
      <c r="A77" s="17">
        <v>3</v>
      </c>
      <c r="B77" s="17">
        <v>3</v>
      </c>
    </row>
    <row r="78" spans="1:2" x14ac:dyDescent="0.4">
      <c r="A78" s="17">
        <v>7</v>
      </c>
      <c r="B78" s="17">
        <v>8</v>
      </c>
    </row>
    <row r="79" spans="1:2" x14ac:dyDescent="0.4">
      <c r="A79" s="17">
        <v>2</v>
      </c>
      <c r="B79" s="17">
        <v>8</v>
      </c>
    </row>
    <row r="80" spans="1:2" x14ac:dyDescent="0.4">
      <c r="A80" s="17">
        <v>4</v>
      </c>
      <c r="B80" s="17">
        <v>4</v>
      </c>
    </row>
    <row r="81" spans="1:2" x14ac:dyDescent="0.4">
      <c r="A81" s="17">
        <v>2</v>
      </c>
      <c r="B81" s="17">
        <v>10</v>
      </c>
    </row>
    <row r="82" spans="1:2" x14ac:dyDescent="0.4">
      <c r="A82" s="17">
        <v>2</v>
      </c>
      <c r="B82" s="17">
        <v>6</v>
      </c>
    </row>
    <row r="83" spans="1:2" x14ac:dyDescent="0.4">
      <c r="A83" s="17">
        <v>8</v>
      </c>
      <c r="B83" s="17">
        <v>2</v>
      </c>
    </row>
    <row r="84" spans="1:2" x14ac:dyDescent="0.4">
      <c r="A84" s="17">
        <v>3</v>
      </c>
      <c r="B84" s="17">
        <v>7</v>
      </c>
    </row>
    <row r="85" spans="1:2" x14ac:dyDescent="0.4">
      <c r="A85" s="17">
        <v>0</v>
      </c>
      <c r="B85" s="17">
        <v>8</v>
      </c>
    </row>
    <row r="86" spans="1:2" x14ac:dyDescent="0.4">
      <c r="A86" s="17">
        <v>6</v>
      </c>
      <c r="B86" s="17">
        <v>13</v>
      </c>
    </row>
    <row r="87" spans="1:2" x14ac:dyDescent="0.4">
      <c r="A87" s="17">
        <v>8</v>
      </c>
      <c r="B87" s="17">
        <v>10</v>
      </c>
    </row>
    <row r="88" spans="1:2" x14ac:dyDescent="0.4">
      <c r="A88" s="17">
        <v>4</v>
      </c>
      <c r="B88" s="17">
        <v>3</v>
      </c>
    </row>
    <row r="89" spans="1:2" x14ac:dyDescent="0.4">
      <c r="A89" s="17">
        <v>16</v>
      </c>
      <c r="B89" s="17">
        <v>16</v>
      </c>
    </row>
    <row r="90" spans="1:2" x14ac:dyDescent="0.4">
      <c r="B90" s="17">
        <v>2</v>
      </c>
    </row>
    <row r="91" spans="1:2" x14ac:dyDescent="0.4">
      <c r="B91" s="17">
        <v>0</v>
      </c>
    </row>
    <row r="92" spans="1:2" x14ac:dyDescent="0.4">
      <c r="B92" s="17">
        <v>4</v>
      </c>
    </row>
    <row r="93" spans="1:2" x14ac:dyDescent="0.4">
      <c r="B93" s="17">
        <v>2</v>
      </c>
    </row>
    <row r="94" spans="1:2" x14ac:dyDescent="0.4">
      <c r="B94" s="17">
        <v>2</v>
      </c>
    </row>
    <row r="95" spans="1:2" x14ac:dyDescent="0.4">
      <c r="B95" s="17">
        <v>2</v>
      </c>
    </row>
    <row r="96" spans="1:2" x14ac:dyDescent="0.4">
      <c r="B96" s="17">
        <v>2</v>
      </c>
    </row>
    <row r="97" spans="2:2" x14ac:dyDescent="0.4">
      <c r="B97" s="17">
        <v>6</v>
      </c>
    </row>
    <row r="98" spans="2:2" x14ac:dyDescent="0.4">
      <c r="B98" s="17">
        <v>4</v>
      </c>
    </row>
    <row r="99" spans="2:2" x14ac:dyDescent="0.4">
      <c r="B99" s="17">
        <v>4</v>
      </c>
    </row>
    <row r="100" spans="2:2" x14ac:dyDescent="0.4">
      <c r="B100" s="17">
        <v>0</v>
      </c>
    </row>
    <row r="101" spans="2:2" x14ac:dyDescent="0.4">
      <c r="B101" s="17">
        <v>7</v>
      </c>
    </row>
    <row r="102" spans="2:2" x14ac:dyDescent="0.4">
      <c r="B102" s="17">
        <v>0</v>
      </c>
    </row>
    <row r="103" spans="2:2" x14ac:dyDescent="0.4">
      <c r="B103" s="17">
        <v>9</v>
      </c>
    </row>
    <row r="104" spans="2:2" x14ac:dyDescent="0.4">
      <c r="B104" s="17">
        <v>7</v>
      </c>
    </row>
    <row r="105" spans="2:2" x14ac:dyDescent="0.4">
      <c r="B105" s="17">
        <v>8</v>
      </c>
    </row>
    <row r="106" spans="2:2" x14ac:dyDescent="0.4">
      <c r="B106" s="17">
        <v>3</v>
      </c>
    </row>
    <row r="107" spans="2:2" x14ac:dyDescent="0.4">
      <c r="B107" s="17">
        <v>7</v>
      </c>
    </row>
    <row r="108" spans="2:2" x14ac:dyDescent="0.4">
      <c r="B108" s="17">
        <v>8</v>
      </c>
    </row>
    <row r="109" spans="2:2" x14ac:dyDescent="0.4">
      <c r="B109" s="17">
        <v>9</v>
      </c>
    </row>
    <row r="110" spans="2:2" x14ac:dyDescent="0.4">
      <c r="B110" s="17">
        <v>5</v>
      </c>
    </row>
    <row r="111" spans="2:2" x14ac:dyDescent="0.4">
      <c r="B111" s="17">
        <v>8</v>
      </c>
    </row>
    <row r="112" spans="2:2" x14ac:dyDescent="0.4">
      <c r="B112" s="17">
        <v>0</v>
      </c>
    </row>
    <row r="113" spans="2:2" x14ac:dyDescent="0.4">
      <c r="B113" s="17">
        <v>8</v>
      </c>
    </row>
    <row r="114" spans="2:2" x14ac:dyDescent="0.4">
      <c r="B114" s="17">
        <v>0</v>
      </c>
    </row>
    <row r="115" spans="2:2" x14ac:dyDescent="0.4">
      <c r="B115" s="17">
        <v>9</v>
      </c>
    </row>
    <row r="116" spans="2:2" x14ac:dyDescent="0.4">
      <c r="B116" s="17">
        <v>2</v>
      </c>
    </row>
    <row r="117" spans="2:2" x14ac:dyDescent="0.4">
      <c r="B117" s="17">
        <v>6</v>
      </c>
    </row>
    <row r="118" spans="2:2" x14ac:dyDescent="0.4">
      <c r="B118" s="17">
        <v>3</v>
      </c>
    </row>
    <row r="119" spans="2:2" x14ac:dyDescent="0.4">
      <c r="B119" s="17">
        <v>7</v>
      </c>
    </row>
    <row r="120" spans="2:2" x14ac:dyDescent="0.4">
      <c r="B120" s="17">
        <v>7</v>
      </c>
    </row>
    <row r="121" spans="2:2" x14ac:dyDescent="0.4">
      <c r="B121" s="17">
        <v>2</v>
      </c>
    </row>
    <row r="122" spans="2:2" x14ac:dyDescent="0.4">
      <c r="B122" s="17">
        <v>0</v>
      </c>
    </row>
    <row r="123" spans="2:2" x14ac:dyDescent="0.4">
      <c r="B123" s="17">
        <v>7</v>
      </c>
    </row>
    <row r="124" spans="2:2" x14ac:dyDescent="0.4">
      <c r="B124" s="17">
        <v>8</v>
      </c>
    </row>
    <row r="125" spans="2:2" x14ac:dyDescent="0.4">
      <c r="B125" s="17">
        <v>3</v>
      </c>
    </row>
    <row r="126" spans="2:2" x14ac:dyDescent="0.4">
      <c r="B126" s="17">
        <v>7</v>
      </c>
    </row>
    <row r="127" spans="2:2" x14ac:dyDescent="0.4">
      <c r="B127" s="17">
        <v>4</v>
      </c>
    </row>
    <row r="128" spans="2:2" x14ac:dyDescent="0.4">
      <c r="B128" s="17">
        <v>10</v>
      </c>
    </row>
    <row r="129" spans="2:2" x14ac:dyDescent="0.4">
      <c r="B129" s="17">
        <v>7</v>
      </c>
    </row>
    <row r="130" spans="2:2" x14ac:dyDescent="0.4">
      <c r="B130" s="17">
        <v>7</v>
      </c>
    </row>
    <row r="131" spans="2:2" x14ac:dyDescent="0.4">
      <c r="B131" s="17">
        <v>4</v>
      </c>
    </row>
    <row r="132" spans="2:2" x14ac:dyDescent="0.4">
      <c r="B132" s="17">
        <v>14</v>
      </c>
    </row>
    <row r="133" spans="2:2" x14ac:dyDescent="0.4">
      <c r="B133" s="17">
        <v>7</v>
      </c>
    </row>
    <row r="134" spans="2:2" x14ac:dyDescent="0.4">
      <c r="B134" s="17">
        <v>6</v>
      </c>
    </row>
    <row r="135" spans="2:2" x14ac:dyDescent="0.4">
      <c r="B135" s="17">
        <v>1</v>
      </c>
    </row>
    <row r="136" spans="2:2" x14ac:dyDescent="0.4">
      <c r="B136" s="17">
        <v>7</v>
      </c>
    </row>
    <row r="137" spans="2:2" x14ac:dyDescent="0.4">
      <c r="B137" s="17">
        <v>3</v>
      </c>
    </row>
    <row r="138" spans="2:2" x14ac:dyDescent="0.4">
      <c r="B138" s="17">
        <v>7</v>
      </c>
    </row>
    <row r="139" spans="2:2" x14ac:dyDescent="0.4">
      <c r="B139" s="17">
        <v>7</v>
      </c>
    </row>
    <row r="140" spans="2:2" x14ac:dyDescent="0.4">
      <c r="B140" s="17">
        <v>6</v>
      </c>
    </row>
    <row r="141" spans="2:2" x14ac:dyDescent="0.4">
      <c r="B141" s="17">
        <v>8</v>
      </c>
    </row>
    <row r="142" spans="2:2" x14ac:dyDescent="0.4">
      <c r="B142" s="17">
        <v>6</v>
      </c>
    </row>
    <row r="143" spans="2:2" x14ac:dyDescent="0.4">
      <c r="B143" s="17">
        <v>2</v>
      </c>
    </row>
    <row r="144" spans="2:2" x14ac:dyDescent="0.4">
      <c r="B144" s="17">
        <v>2</v>
      </c>
    </row>
    <row r="145" spans="2:2" x14ac:dyDescent="0.4">
      <c r="B145" s="17">
        <v>0</v>
      </c>
    </row>
    <row r="146" spans="2:2" x14ac:dyDescent="0.4">
      <c r="B146" s="17">
        <v>16</v>
      </c>
    </row>
    <row r="147" spans="2:2" x14ac:dyDescent="0.4">
      <c r="B147" s="17">
        <v>2</v>
      </c>
    </row>
    <row r="148" spans="2:2" x14ac:dyDescent="0.4">
      <c r="B148" s="17">
        <v>3</v>
      </c>
    </row>
    <row r="149" spans="2:2" x14ac:dyDescent="0.4">
      <c r="B149" s="17">
        <v>11</v>
      </c>
    </row>
    <row r="150" spans="2:2" x14ac:dyDescent="0.4">
      <c r="B150" s="17">
        <v>7</v>
      </c>
    </row>
    <row r="151" spans="2:2" x14ac:dyDescent="0.4">
      <c r="B151" s="17">
        <v>3</v>
      </c>
    </row>
    <row r="152" spans="2:2" x14ac:dyDescent="0.4">
      <c r="B152" s="17">
        <v>12</v>
      </c>
    </row>
    <row r="153" spans="2:2" x14ac:dyDescent="0.4">
      <c r="B153" s="17">
        <v>3</v>
      </c>
    </row>
    <row r="154" spans="2:2" x14ac:dyDescent="0.4">
      <c r="B154" s="17">
        <v>8</v>
      </c>
    </row>
    <row r="155" spans="2:2" x14ac:dyDescent="0.4">
      <c r="B155" s="17">
        <v>7</v>
      </c>
    </row>
    <row r="156" spans="2:2" x14ac:dyDescent="0.4">
      <c r="B156" s="17">
        <v>2</v>
      </c>
    </row>
    <row r="157" spans="2:2" x14ac:dyDescent="0.4">
      <c r="B157" s="17">
        <v>0</v>
      </c>
    </row>
    <row r="158" spans="2:2" x14ac:dyDescent="0.4">
      <c r="B158" s="17">
        <v>9</v>
      </c>
    </row>
    <row r="159" spans="2:2" x14ac:dyDescent="0.4">
      <c r="B159" s="17">
        <v>13</v>
      </c>
    </row>
    <row r="160" spans="2:2" x14ac:dyDescent="0.4">
      <c r="B160" s="17">
        <v>6</v>
      </c>
    </row>
    <row r="161" spans="2:2" x14ac:dyDescent="0.4">
      <c r="B161" s="17">
        <v>7</v>
      </c>
    </row>
    <row r="162" spans="2:2" x14ac:dyDescent="0.4">
      <c r="B162" s="17">
        <v>2</v>
      </c>
    </row>
    <row r="163" spans="2:2" x14ac:dyDescent="0.4">
      <c r="B163" s="17">
        <v>2</v>
      </c>
    </row>
    <row r="164" spans="2:2" x14ac:dyDescent="0.4">
      <c r="B164" s="17">
        <v>16</v>
      </c>
    </row>
    <row r="165" spans="2:2" x14ac:dyDescent="0.4">
      <c r="B165" s="17">
        <v>12</v>
      </c>
    </row>
    <row r="166" spans="2:2" x14ac:dyDescent="0.4">
      <c r="B166" s="17">
        <v>14</v>
      </c>
    </row>
    <row r="167" spans="2:2" x14ac:dyDescent="0.4">
      <c r="B167" s="17">
        <v>7</v>
      </c>
    </row>
    <row r="168" spans="2:2" x14ac:dyDescent="0.4">
      <c r="B168" s="17">
        <v>7</v>
      </c>
    </row>
    <row r="169" spans="2:2" x14ac:dyDescent="0.4">
      <c r="B169" s="17">
        <v>0</v>
      </c>
    </row>
    <row r="170" spans="2:2" x14ac:dyDescent="0.4">
      <c r="B170" s="17">
        <v>9</v>
      </c>
    </row>
    <row r="171" spans="2:2" x14ac:dyDescent="0.4">
      <c r="B171" s="17">
        <v>17</v>
      </c>
    </row>
    <row r="172" spans="2:2" x14ac:dyDescent="0.4">
      <c r="B172" s="17">
        <v>7</v>
      </c>
    </row>
    <row r="173" spans="2:2" x14ac:dyDescent="0.4">
      <c r="B173" s="17">
        <v>8</v>
      </c>
    </row>
    <row r="174" spans="2:2" x14ac:dyDescent="0.4">
      <c r="B174" s="17">
        <v>0</v>
      </c>
    </row>
    <row r="175" spans="2:2" x14ac:dyDescent="0.4">
      <c r="B175" s="17">
        <v>2</v>
      </c>
    </row>
    <row r="176" spans="2:2" x14ac:dyDescent="0.4">
      <c r="B176" s="17">
        <v>0</v>
      </c>
    </row>
    <row r="177" spans="2:2" x14ac:dyDescent="0.4">
      <c r="B177" s="17">
        <v>9</v>
      </c>
    </row>
    <row r="178" spans="2:2" x14ac:dyDescent="0.4">
      <c r="B178" s="17">
        <v>3</v>
      </c>
    </row>
    <row r="179" spans="2:2" x14ac:dyDescent="0.4">
      <c r="B179" s="17">
        <v>7</v>
      </c>
    </row>
    <row r="180" spans="2:2" x14ac:dyDescent="0.4">
      <c r="B180" s="17">
        <v>13</v>
      </c>
    </row>
    <row r="181" spans="2:2" x14ac:dyDescent="0.4">
      <c r="B181" s="17">
        <v>9</v>
      </c>
    </row>
    <row r="182" spans="2:2" x14ac:dyDescent="0.4">
      <c r="B182" s="17">
        <v>12</v>
      </c>
    </row>
    <row r="183" spans="2:2" x14ac:dyDescent="0.4">
      <c r="B183" s="17">
        <v>0</v>
      </c>
    </row>
    <row r="184" spans="2:2" x14ac:dyDescent="0.4">
      <c r="B184" s="17">
        <v>8</v>
      </c>
    </row>
    <row r="185" spans="2:2" x14ac:dyDescent="0.4">
      <c r="B185" s="17">
        <v>2</v>
      </c>
    </row>
    <row r="186" spans="2:2" x14ac:dyDescent="0.4">
      <c r="B186" s="17">
        <v>4</v>
      </c>
    </row>
    <row r="187" spans="2:2" x14ac:dyDescent="0.4">
      <c r="B187" s="17">
        <v>2</v>
      </c>
    </row>
    <row r="188" spans="2:2" x14ac:dyDescent="0.4">
      <c r="B188" s="17">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78A9-5E4D-49EE-86B5-080360C86512}">
  <dimension ref="A1:E16"/>
  <sheetViews>
    <sheetView workbookViewId="0">
      <selection activeCell="A5" sqref="A5"/>
    </sheetView>
  </sheetViews>
  <sheetFormatPr defaultRowHeight="16" x14ac:dyDescent="0.4"/>
  <cols>
    <col min="1" max="1" width="21.1640625" bestFit="1" customWidth="1"/>
    <col min="2" max="2" width="20.08203125" bestFit="1" customWidth="1"/>
    <col min="3" max="3" width="23.25" bestFit="1" customWidth="1"/>
    <col min="4" max="4" width="12.08203125" customWidth="1"/>
    <col min="5" max="5" width="11.75" bestFit="1" customWidth="1"/>
    <col min="6" max="6" width="21.1640625" bestFit="1" customWidth="1"/>
    <col min="7" max="7" width="11" bestFit="1" customWidth="1"/>
    <col min="8" max="8" width="14.83203125" bestFit="1" customWidth="1"/>
  </cols>
  <sheetData>
    <row r="1" spans="1:5" x14ac:dyDescent="0.4">
      <c r="A1" t="s">
        <v>173</v>
      </c>
    </row>
    <row r="2" spans="1:5" x14ac:dyDescent="0.4">
      <c r="A2" s="18" t="s">
        <v>174</v>
      </c>
    </row>
    <row r="3" spans="1:5" x14ac:dyDescent="0.4">
      <c r="A3" s="18"/>
    </row>
    <row r="4" spans="1:5" x14ac:dyDescent="0.4">
      <c r="A4" s="18"/>
    </row>
    <row r="5" spans="1:5" x14ac:dyDescent="0.4">
      <c r="A5" s="2" t="s">
        <v>245</v>
      </c>
    </row>
    <row r="6" spans="1:5" x14ac:dyDescent="0.4">
      <c r="A6" s="8" t="s">
        <v>111</v>
      </c>
      <c r="B6" s="9">
        <v>1</v>
      </c>
      <c r="C6" t="s">
        <v>239</v>
      </c>
    </row>
    <row r="7" spans="1:5" x14ac:dyDescent="0.4">
      <c r="A7" s="18"/>
    </row>
    <row r="8" spans="1:5" x14ac:dyDescent="0.4">
      <c r="A8" s="8" t="s">
        <v>140</v>
      </c>
      <c r="B8" t="s">
        <v>147</v>
      </c>
      <c r="C8" t="s">
        <v>142</v>
      </c>
      <c r="E8" s="2" t="s">
        <v>148</v>
      </c>
    </row>
    <row r="9" spans="1:5" x14ac:dyDescent="0.4">
      <c r="A9" s="9" t="s">
        <v>59</v>
      </c>
      <c r="B9">
        <v>4</v>
      </c>
      <c r="C9">
        <v>11</v>
      </c>
      <c r="E9" s="10">
        <f>GETPIVOTDATA("Sum of Recent Exit Flag",$A$8,"Department","Human Resources")/GETPIVOTDATA("Count of EmployeeNumber",$A$8,"Department","Human Resources")</f>
        <v>0.36363636363636365</v>
      </c>
    </row>
    <row r="10" spans="1:5" x14ac:dyDescent="0.4">
      <c r="A10" s="13" t="s">
        <v>28</v>
      </c>
      <c r="B10" s="14">
        <v>133</v>
      </c>
      <c r="C10" s="14">
        <v>280</v>
      </c>
      <c r="D10" s="14"/>
      <c r="E10" s="15">
        <f>GETPIVOTDATA("Sum of Recent Exit Flag",$A$8,"Department","Research &amp; Development")/GETPIVOTDATA("Count of EmployeeNumber",$A$8,"Department","Research &amp; Development")</f>
        <v>0.47499999999999998</v>
      </c>
    </row>
    <row r="11" spans="1:5" x14ac:dyDescent="0.4">
      <c r="A11" s="13" t="s">
        <v>40</v>
      </c>
      <c r="B11" s="14">
        <v>21</v>
      </c>
      <c r="C11" s="14">
        <v>37</v>
      </c>
      <c r="D11" s="14"/>
      <c r="E11" s="15">
        <f>GETPIVOTDATA("Sum of Recent Exit Flag",$A$8,"Department","Sales")/GETPIVOTDATA("Count of EmployeeNumber",$A$8,"Department","Sales")</f>
        <v>0.56756756756756754</v>
      </c>
    </row>
    <row r="12" spans="1:5" x14ac:dyDescent="0.4">
      <c r="A12" s="9" t="s">
        <v>141</v>
      </c>
      <c r="B12">
        <v>158</v>
      </c>
      <c r="C12">
        <v>328</v>
      </c>
      <c r="E12" s="10"/>
    </row>
    <row r="15" spans="1:5" x14ac:dyDescent="0.4">
      <c r="A15" s="2" t="s">
        <v>163</v>
      </c>
    </row>
    <row r="16" spans="1:5" x14ac:dyDescent="0.4">
      <c r="A16"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19AB-41B8-4AD8-A8A4-5115AF2D2208}">
  <dimension ref="A1:I28"/>
  <sheetViews>
    <sheetView workbookViewId="0">
      <selection activeCell="A20" sqref="A20"/>
    </sheetView>
  </sheetViews>
  <sheetFormatPr defaultRowHeight="16" x14ac:dyDescent="0.4"/>
  <cols>
    <col min="1" max="1" width="23.25" bestFit="1" customWidth="1"/>
    <col min="2" max="2" width="19.58203125" bestFit="1" customWidth="1"/>
    <col min="3" max="3" width="10.83203125" customWidth="1"/>
    <col min="4" max="4" width="10.33203125" bestFit="1" customWidth="1"/>
    <col min="7" max="7" width="14.9140625" bestFit="1" customWidth="1"/>
    <col min="8" max="8" width="13.33203125" customWidth="1"/>
    <col min="9" max="9" width="14.1640625" customWidth="1"/>
  </cols>
  <sheetData>
    <row r="1" spans="1:9" x14ac:dyDescent="0.4">
      <c r="A1" t="s">
        <v>176</v>
      </c>
    </row>
    <row r="2" spans="1:9" x14ac:dyDescent="0.4">
      <c r="A2" s="18" t="s">
        <v>177</v>
      </c>
    </row>
    <row r="3" spans="1:9" x14ac:dyDescent="0.4">
      <c r="A3" s="18"/>
    </row>
    <row r="4" spans="1:9" x14ac:dyDescent="0.4">
      <c r="A4" s="2" t="s">
        <v>299</v>
      </c>
    </row>
    <row r="5" spans="1:9" x14ac:dyDescent="0.4">
      <c r="A5" s="8" t="s">
        <v>111</v>
      </c>
      <c r="B5" s="9">
        <v>1</v>
      </c>
      <c r="C5" t="s">
        <v>239</v>
      </c>
    </row>
    <row r="7" spans="1:9" x14ac:dyDescent="0.4">
      <c r="A7" s="8" t="s">
        <v>142</v>
      </c>
      <c r="B7" s="8" t="s">
        <v>178</v>
      </c>
    </row>
    <row r="8" spans="1:9" x14ac:dyDescent="0.4">
      <c r="A8" s="8" t="s">
        <v>179</v>
      </c>
      <c r="B8" t="s">
        <v>193</v>
      </c>
      <c r="C8" t="s">
        <v>181</v>
      </c>
      <c r="D8" t="s">
        <v>141</v>
      </c>
    </row>
    <row r="9" spans="1:9" x14ac:dyDescent="0.4">
      <c r="A9" s="9" t="s">
        <v>35</v>
      </c>
      <c r="B9">
        <v>12</v>
      </c>
      <c r="C9">
        <v>19</v>
      </c>
      <c r="D9">
        <v>31</v>
      </c>
    </row>
    <row r="10" spans="1:9" x14ac:dyDescent="0.4">
      <c r="A10" s="9" t="s">
        <v>44</v>
      </c>
      <c r="B10">
        <v>28</v>
      </c>
      <c r="C10">
        <v>26</v>
      </c>
      <c r="D10">
        <v>54</v>
      </c>
    </row>
    <row r="11" spans="1:9" x14ac:dyDescent="0.4">
      <c r="A11" s="9" t="s">
        <v>31</v>
      </c>
      <c r="B11">
        <v>130</v>
      </c>
      <c r="C11">
        <v>113</v>
      </c>
      <c r="D11">
        <v>243</v>
      </c>
    </row>
    <row r="12" spans="1:9" x14ac:dyDescent="0.4">
      <c r="A12" s="9" t="s">
        <v>141</v>
      </c>
      <c r="B12">
        <v>170</v>
      </c>
      <c r="C12">
        <v>158</v>
      </c>
      <c r="D12">
        <v>328</v>
      </c>
    </row>
    <row r="13" spans="1:9" ht="17" customHeight="1" x14ac:dyDescent="0.4"/>
    <row r="15" spans="1:9" x14ac:dyDescent="0.4">
      <c r="A15" t="s">
        <v>182</v>
      </c>
      <c r="G15" t="s">
        <v>183</v>
      </c>
    </row>
    <row r="16" spans="1:9" x14ac:dyDescent="0.4">
      <c r="A16" s="17" t="s">
        <v>179</v>
      </c>
      <c r="B16" s="23" t="s">
        <v>180</v>
      </c>
      <c r="C16" s="23" t="s">
        <v>181</v>
      </c>
      <c r="D16" s="17" t="s">
        <v>155</v>
      </c>
      <c r="G16" s="17" t="s">
        <v>179</v>
      </c>
      <c r="H16" s="17" t="s">
        <v>180</v>
      </c>
      <c r="I16" s="17" t="s">
        <v>181</v>
      </c>
    </row>
    <row r="17" spans="1:9" x14ac:dyDescent="0.4">
      <c r="A17" s="22" t="s">
        <v>35</v>
      </c>
      <c r="B17" s="17">
        <v>12</v>
      </c>
      <c r="C17" s="17">
        <v>19</v>
      </c>
      <c r="D17" s="17">
        <f>B17+C17</f>
        <v>31</v>
      </c>
      <c r="G17" s="17" t="s">
        <v>35</v>
      </c>
      <c r="H17" s="17">
        <f>(D17*$B$20)/$D$20</f>
        <v>16.067073170731707</v>
      </c>
      <c r="I17" s="17">
        <f>(D17*$C$20)/$D$20</f>
        <v>14.932926829268293</v>
      </c>
    </row>
    <row r="18" spans="1:9" x14ac:dyDescent="0.4">
      <c r="A18" s="22" t="s">
        <v>44</v>
      </c>
      <c r="B18" s="17">
        <v>28</v>
      </c>
      <c r="C18" s="17">
        <v>26</v>
      </c>
      <c r="D18" s="17">
        <f t="shared" ref="D18:D19" si="0">B18+C18</f>
        <v>54</v>
      </c>
      <c r="G18" s="17" t="s">
        <v>44</v>
      </c>
      <c r="H18" s="17">
        <f t="shared" ref="H18:H19" si="1">(D18*$B$20)/$D$20</f>
        <v>27.987804878048781</v>
      </c>
      <c r="I18" s="17">
        <f t="shared" ref="I18:I19" si="2">(D18*$C$20)/$D$20</f>
        <v>26.012195121951219</v>
      </c>
    </row>
    <row r="19" spans="1:9" x14ac:dyDescent="0.4">
      <c r="A19" s="22" t="s">
        <v>31</v>
      </c>
      <c r="B19" s="17">
        <v>130</v>
      </c>
      <c r="C19" s="17">
        <v>113</v>
      </c>
      <c r="D19" s="17">
        <f t="shared" si="0"/>
        <v>243</v>
      </c>
      <c r="G19" s="17" t="s">
        <v>31</v>
      </c>
      <c r="H19" s="17">
        <f t="shared" si="1"/>
        <v>125.94512195121951</v>
      </c>
      <c r="I19" s="17">
        <f t="shared" si="2"/>
        <v>117.05487804878049</v>
      </c>
    </row>
    <row r="20" spans="1:9" x14ac:dyDescent="0.4">
      <c r="A20" s="17" t="s">
        <v>156</v>
      </c>
      <c r="B20" s="17">
        <f>B17+B18+B19</f>
        <v>170</v>
      </c>
      <c r="C20" s="17">
        <f t="shared" ref="C20:D20" si="3">C17+C18+C19</f>
        <v>158</v>
      </c>
      <c r="D20" s="17">
        <f t="shared" si="3"/>
        <v>328</v>
      </c>
    </row>
    <row r="23" spans="1:9" x14ac:dyDescent="0.4">
      <c r="C23" s="31" t="s">
        <v>157</v>
      </c>
      <c r="D23" s="30"/>
    </row>
    <row r="24" spans="1:9" x14ac:dyDescent="0.4">
      <c r="C24" s="31" t="s">
        <v>158</v>
      </c>
      <c r="D24" s="45">
        <f>_xlfn.CHISQ.TEST(B17:C19,H17:I19)</f>
        <v>0.29995904947637542</v>
      </c>
    </row>
    <row r="25" spans="1:9" x14ac:dyDescent="0.4">
      <c r="C25" t="s">
        <v>159</v>
      </c>
      <c r="D25" t="s">
        <v>160</v>
      </c>
    </row>
    <row r="26" spans="1:9" x14ac:dyDescent="0.4">
      <c r="C26" t="s">
        <v>161</v>
      </c>
      <c r="D26" t="s">
        <v>162</v>
      </c>
    </row>
    <row r="27" spans="1:9" x14ac:dyDescent="0.4">
      <c r="A27" s="2" t="s">
        <v>163</v>
      </c>
    </row>
    <row r="28" spans="1:9" x14ac:dyDescent="0.4">
      <c r="A28" t="s">
        <v>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6D4C-98FD-4D6C-8025-E99238CD23D0}">
  <dimension ref="A1:C193"/>
  <sheetViews>
    <sheetView workbookViewId="0">
      <selection activeCell="A4" sqref="A4"/>
    </sheetView>
  </sheetViews>
  <sheetFormatPr defaultRowHeight="16" x14ac:dyDescent="0.4"/>
  <cols>
    <col min="1" max="1" width="21.75" customWidth="1"/>
    <col min="2" max="2" width="29.1640625" bestFit="1" customWidth="1"/>
    <col min="3" max="4" width="15.33203125" bestFit="1" customWidth="1"/>
    <col min="5" max="5" width="10.33203125" bestFit="1" customWidth="1"/>
  </cols>
  <sheetData>
    <row r="1" spans="1:3" x14ac:dyDescent="0.4">
      <c r="A1" t="s">
        <v>185</v>
      </c>
    </row>
    <row r="2" spans="1:3" x14ac:dyDescent="0.4">
      <c r="A2" s="18" t="s">
        <v>186</v>
      </c>
    </row>
    <row r="4" spans="1:3" x14ac:dyDescent="0.4">
      <c r="A4" s="2" t="s">
        <v>300</v>
      </c>
    </row>
    <row r="5" spans="1:3" x14ac:dyDescent="0.4">
      <c r="A5" s="8" t="s">
        <v>111</v>
      </c>
      <c r="B5" s="9">
        <v>1</v>
      </c>
      <c r="C5" t="s">
        <v>239</v>
      </c>
    </row>
    <row r="7" spans="1:3" x14ac:dyDescent="0.4">
      <c r="A7" s="8" t="s">
        <v>189</v>
      </c>
      <c r="B7" t="s">
        <v>188</v>
      </c>
    </row>
    <row r="8" spans="1:3" x14ac:dyDescent="0.4">
      <c r="A8" s="9" t="s">
        <v>190</v>
      </c>
      <c r="B8" s="24">
        <v>2.7411764705882353</v>
      </c>
    </row>
    <row r="9" spans="1:3" x14ac:dyDescent="0.4">
      <c r="A9" s="9" t="s">
        <v>181</v>
      </c>
      <c r="B9" s="24">
        <v>2.8544303797468356</v>
      </c>
    </row>
    <row r="10" spans="1:3" x14ac:dyDescent="0.4">
      <c r="A10" s="9" t="s">
        <v>141</v>
      </c>
      <c r="B10" s="24">
        <v>2.7957317073170733</v>
      </c>
    </row>
    <row r="12" spans="1:3" x14ac:dyDescent="0.4">
      <c r="A12" s="9" t="s">
        <v>199</v>
      </c>
    </row>
    <row r="14" spans="1:3" x14ac:dyDescent="0.4">
      <c r="A14" s="31" t="s">
        <v>196</v>
      </c>
      <c r="B14" s="30"/>
    </row>
    <row r="15" spans="1:3" ht="16.5" x14ac:dyDescent="0.45">
      <c r="A15" s="35" t="s">
        <v>198</v>
      </c>
      <c r="B15" s="44">
        <f>_xlfn.T.TEST(A19:A176,B19:B188,2,3)</f>
        <v>0.14839900957977697</v>
      </c>
    </row>
    <row r="16" spans="1:3" ht="16.5" x14ac:dyDescent="0.45">
      <c r="A16" s="2"/>
      <c r="B16" s="25"/>
    </row>
    <row r="17" spans="1:2" x14ac:dyDescent="0.4">
      <c r="A17" s="2" t="s">
        <v>197</v>
      </c>
    </row>
    <row r="18" spans="1:2" x14ac:dyDescent="0.4">
      <c r="A18" s="16" t="s">
        <v>194</v>
      </c>
      <c r="B18" s="16" t="s">
        <v>195</v>
      </c>
    </row>
    <row r="19" spans="1:2" x14ac:dyDescent="0.4">
      <c r="A19" s="17">
        <v>3</v>
      </c>
      <c r="B19" s="17">
        <v>3</v>
      </c>
    </row>
    <row r="20" spans="1:2" x14ac:dyDescent="0.4">
      <c r="A20" s="17">
        <v>3</v>
      </c>
      <c r="B20" s="17">
        <v>3</v>
      </c>
    </row>
    <row r="21" spans="1:2" x14ac:dyDescent="0.4">
      <c r="A21" s="17">
        <v>4</v>
      </c>
      <c r="B21" s="17">
        <v>3</v>
      </c>
    </row>
    <row r="22" spans="1:2" x14ac:dyDescent="0.4">
      <c r="A22" s="17">
        <v>4</v>
      </c>
      <c r="B22" s="17">
        <v>2</v>
      </c>
    </row>
    <row r="23" spans="1:2" x14ac:dyDescent="0.4">
      <c r="A23" s="17">
        <v>3</v>
      </c>
      <c r="B23" s="17">
        <v>4</v>
      </c>
    </row>
    <row r="24" spans="1:2" x14ac:dyDescent="0.4">
      <c r="A24" s="17">
        <v>2</v>
      </c>
      <c r="B24" s="17">
        <v>4</v>
      </c>
    </row>
    <row r="25" spans="1:2" x14ac:dyDescent="0.4">
      <c r="A25" s="17">
        <v>3</v>
      </c>
      <c r="B25" s="17">
        <v>3</v>
      </c>
    </row>
    <row r="26" spans="1:2" x14ac:dyDescent="0.4">
      <c r="A26" s="17">
        <v>3</v>
      </c>
      <c r="B26" s="17">
        <v>3</v>
      </c>
    </row>
    <row r="27" spans="1:2" x14ac:dyDescent="0.4">
      <c r="A27" s="17">
        <v>2</v>
      </c>
      <c r="B27" s="17">
        <v>3</v>
      </c>
    </row>
    <row r="28" spans="1:2" x14ac:dyDescent="0.4">
      <c r="A28" s="17">
        <v>3</v>
      </c>
      <c r="B28" s="17">
        <v>2</v>
      </c>
    </row>
    <row r="29" spans="1:2" x14ac:dyDescent="0.4">
      <c r="A29" s="17">
        <v>3</v>
      </c>
      <c r="B29" s="17">
        <v>3</v>
      </c>
    </row>
    <row r="30" spans="1:2" x14ac:dyDescent="0.4">
      <c r="A30" s="17">
        <v>3</v>
      </c>
      <c r="B30" s="17">
        <v>3</v>
      </c>
    </row>
    <row r="31" spans="1:2" x14ac:dyDescent="0.4">
      <c r="A31" s="17">
        <v>4</v>
      </c>
      <c r="B31" s="17">
        <v>2</v>
      </c>
    </row>
    <row r="32" spans="1:2" x14ac:dyDescent="0.4">
      <c r="A32" s="17">
        <v>3</v>
      </c>
      <c r="B32" s="17">
        <v>3</v>
      </c>
    </row>
    <row r="33" spans="1:2" x14ac:dyDescent="0.4">
      <c r="A33" s="17">
        <v>3</v>
      </c>
      <c r="B33" s="17">
        <v>1</v>
      </c>
    </row>
    <row r="34" spans="1:2" x14ac:dyDescent="0.4">
      <c r="A34" s="17">
        <v>3</v>
      </c>
      <c r="B34" s="17">
        <v>3</v>
      </c>
    </row>
    <row r="35" spans="1:2" x14ac:dyDescent="0.4">
      <c r="A35" s="17">
        <v>2</v>
      </c>
      <c r="B35" s="17">
        <v>3</v>
      </c>
    </row>
    <row r="36" spans="1:2" x14ac:dyDescent="0.4">
      <c r="A36" s="17">
        <v>3</v>
      </c>
      <c r="B36" s="17">
        <v>3</v>
      </c>
    </row>
    <row r="37" spans="1:2" x14ac:dyDescent="0.4">
      <c r="A37" s="17">
        <v>3</v>
      </c>
      <c r="B37" s="17">
        <v>4</v>
      </c>
    </row>
    <row r="38" spans="1:2" x14ac:dyDescent="0.4">
      <c r="A38" s="17">
        <v>2</v>
      </c>
      <c r="B38" s="17">
        <v>4</v>
      </c>
    </row>
    <row r="39" spans="1:2" x14ac:dyDescent="0.4">
      <c r="A39" s="17">
        <v>3</v>
      </c>
      <c r="B39" s="17">
        <v>3</v>
      </c>
    </row>
    <row r="40" spans="1:2" x14ac:dyDescent="0.4">
      <c r="A40" s="17">
        <v>3</v>
      </c>
      <c r="B40" s="17">
        <v>4</v>
      </c>
    </row>
    <row r="41" spans="1:2" x14ac:dyDescent="0.4">
      <c r="A41" s="17">
        <v>2</v>
      </c>
      <c r="B41" s="17">
        <v>3</v>
      </c>
    </row>
    <row r="42" spans="1:2" x14ac:dyDescent="0.4">
      <c r="A42" s="17">
        <v>3</v>
      </c>
      <c r="B42" s="17">
        <v>3</v>
      </c>
    </row>
    <row r="43" spans="1:2" x14ac:dyDescent="0.4">
      <c r="A43" s="17">
        <v>2</v>
      </c>
      <c r="B43" s="17">
        <v>2</v>
      </c>
    </row>
    <row r="44" spans="1:2" x14ac:dyDescent="0.4">
      <c r="A44" s="17">
        <v>1</v>
      </c>
      <c r="B44" s="17">
        <v>3</v>
      </c>
    </row>
    <row r="45" spans="1:2" x14ac:dyDescent="0.4">
      <c r="A45" s="17">
        <v>4</v>
      </c>
      <c r="B45" s="17">
        <v>3</v>
      </c>
    </row>
    <row r="46" spans="1:2" x14ac:dyDescent="0.4">
      <c r="A46" s="17">
        <v>2</v>
      </c>
      <c r="B46" s="17">
        <v>3</v>
      </c>
    </row>
    <row r="47" spans="1:2" x14ac:dyDescent="0.4">
      <c r="A47" s="17">
        <v>3</v>
      </c>
      <c r="B47" s="17">
        <v>1</v>
      </c>
    </row>
    <row r="48" spans="1:2" x14ac:dyDescent="0.4">
      <c r="A48" s="17">
        <v>2</v>
      </c>
      <c r="B48" s="17">
        <v>3</v>
      </c>
    </row>
    <row r="49" spans="1:2" x14ac:dyDescent="0.4">
      <c r="A49" s="17">
        <v>3</v>
      </c>
      <c r="B49" s="17">
        <v>3</v>
      </c>
    </row>
    <row r="50" spans="1:2" x14ac:dyDescent="0.4">
      <c r="A50" s="17">
        <v>3</v>
      </c>
      <c r="B50" s="17">
        <v>3</v>
      </c>
    </row>
    <row r="51" spans="1:2" x14ac:dyDescent="0.4">
      <c r="A51" s="17">
        <v>2</v>
      </c>
      <c r="B51" s="17">
        <v>1</v>
      </c>
    </row>
    <row r="52" spans="1:2" x14ac:dyDescent="0.4">
      <c r="A52" s="17">
        <v>4</v>
      </c>
      <c r="B52" s="17">
        <v>3</v>
      </c>
    </row>
    <row r="53" spans="1:2" x14ac:dyDescent="0.4">
      <c r="A53" s="17">
        <v>3</v>
      </c>
      <c r="B53" s="17">
        <v>3</v>
      </c>
    </row>
    <row r="54" spans="1:2" x14ac:dyDescent="0.4">
      <c r="A54" s="17">
        <v>3</v>
      </c>
      <c r="B54" s="17">
        <v>3</v>
      </c>
    </row>
    <row r="55" spans="1:2" x14ac:dyDescent="0.4">
      <c r="A55" s="17">
        <v>3</v>
      </c>
      <c r="B55" s="17">
        <v>3</v>
      </c>
    </row>
    <row r="56" spans="1:2" x14ac:dyDescent="0.4">
      <c r="A56" s="17">
        <v>2</v>
      </c>
      <c r="B56" s="17">
        <v>2</v>
      </c>
    </row>
    <row r="57" spans="1:2" x14ac:dyDescent="0.4">
      <c r="A57" s="17">
        <v>3</v>
      </c>
      <c r="B57" s="17">
        <v>3</v>
      </c>
    </row>
    <row r="58" spans="1:2" x14ac:dyDescent="0.4">
      <c r="A58" s="17">
        <v>4</v>
      </c>
      <c r="B58" s="17">
        <v>3</v>
      </c>
    </row>
    <row r="59" spans="1:2" x14ac:dyDescent="0.4">
      <c r="A59" s="17">
        <v>4</v>
      </c>
      <c r="B59" s="17">
        <v>3</v>
      </c>
    </row>
    <row r="60" spans="1:2" x14ac:dyDescent="0.4">
      <c r="A60" s="17">
        <v>3</v>
      </c>
      <c r="B60" s="17">
        <v>3</v>
      </c>
    </row>
    <row r="61" spans="1:2" x14ac:dyDescent="0.4">
      <c r="A61" s="17">
        <v>4</v>
      </c>
      <c r="B61" s="17">
        <v>3</v>
      </c>
    </row>
    <row r="62" spans="1:2" x14ac:dyDescent="0.4">
      <c r="A62" s="17">
        <v>1</v>
      </c>
      <c r="B62" s="17">
        <v>2</v>
      </c>
    </row>
    <row r="63" spans="1:2" x14ac:dyDescent="0.4">
      <c r="A63" s="17">
        <v>3</v>
      </c>
      <c r="B63" s="17">
        <v>2</v>
      </c>
    </row>
    <row r="64" spans="1:2" x14ac:dyDescent="0.4">
      <c r="A64" s="17">
        <v>4</v>
      </c>
      <c r="B64" s="17">
        <v>3</v>
      </c>
    </row>
    <row r="65" spans="1:2" x14ac:dyDescent="0.4">
      <c r="A65" s="17">
        <v>3</v>
      </c>
      <c r="B65" s="17">
        <v>3</v>
      </c>
    </row>
    <row r="66" spans="1:2" x14ac:dyDescent="0.4">
      <c r="A66" s="17">
        <v>2</v>
      </c>
      <c r="B66" s="17">
        <v>3</v>
      </c>
    </row>
    <row r="67" spans="1:2" x14ac:dyDescent="0.4">
      <c r="A67" s="17">
        <v>3</v>
      </c>
      <c r="B67" s="17">
        <v>4</v>
      </c>
    </row>
    <row r="68" spans="1:2" x14ac:dyDescent="0.4">
      <c r="A68" s="17">
        <v>3</v>
      </c>
      <c r="B68" s="17">
        <v>3</v>
      </c>
    </row>
    <row r="69" spans="1:2" x14ac:dyDescent="0.4">
      <c r="A69" s="17">
        <v>3</v>
      </c>
      <c r="B69" s="17">
        <v>3</v>
      </c>
    </row>
    <row r="70" spans="1:2" x14ac:dyDescent="0.4">
      <c r="A70" s="17">
        <v>2</v>
      </c>
      <c r="B70" s="17">
        <v>1</v>
      </c>
    </row>
    <row r="71" spans="1:2" x14ac:dyDescent="0.4">
      <c r="A71" s="17">
        <v>4</v>
      </c>
      <c r="B71" s="17">
        <v>3</v>
      </c>
    </row>
    <row r="72" spans="1:2" x14ac:dyDescent="0.4">
      <c r="A72" s="17">
        <v>3</v>
      </c>
      <c r="B72" s="17">
        <v>2</v>
      </c>
    </row>
    <row r="73" spans="1:2" x14ac:dyDescent="0.4">
      <c r="A73" s="17">
        <v>2</v>
      </c>
      <c r="B73" s="17">
        <v>3</v>
      </c>
    </row>
    <row r="74" spans="1:2" x14ac:dyDescent="0.4">
      <c r="A74" s="17">
        <v>3</v>
      </c>
      <c r="B74" s="17">
        <v>3</v>
      </c>
    </row>
    <row r="75" spans="1:2" x14ac:dyDescent="0.4">
      <c r="A75" s="17">
        <v>3</v>
      </c>
      <c r="B75" s="17">
        <v>3</v>
      </c>
    </row>
    <row r="76" spans="1:2" x14ac:dyDescent="0.4">
      <c r="A76" s="17">
        <v>3</v>
      </c>
      <c r="B76" s="17">
        <v>2</v>
      </c>
    </row>
    <row r="77" spans="1:2" x14ac:dyDescent="0.4">
      <c r="A77" s="17">
        <v>3</v>
      </c>
      <c r="B77" s="17">
        <v>3</v>
      </c>
    </row>
    <row r="78" spans="1:2" x14ac:dyDescent="0.4">
      <c r="A78" s="17">
        <v>4</v>
      </c>
      <c r="B78" s="17">
        <v>2</v>
      </c>
    </row>
    <row r="79" spans="1:2" x14ac:dyDescent="0.4">
      <c r="A79" s="17">
        <v>3</v>
      </c>
      <c r="B79" s="17">
        <v>3</v>
      </c>
    </row>
    <row r="80" spans="1:2" x14ac:dyDescent="0.4">
      <c r="A80" s="17">
        <v>3</v>
      </c>
      <c r="B80" s="17">
        <v>3</v>
      </c>
    </row>
    <row r="81" spans="1:2" x14ac:dyDescent="0.4">
      <c r="A81" s="17">
        <v>2</v>
      </c>
      <c r="B81" s="17">
        <v>3</v>
      </c>
    </row>
    <row r="82" spans="1:2" x14ac:dyDescent="0.4">
      <c r="A82" s="17">
        <v>2</v>
      </c>
      <c r="B82" s="17">
        <v>3</v>
      </c>
    </row>
    <row r="83" spans="1:2" x14ac:dyDescent="0.4">
      <c r="A83" s="17">
        <v>3</v>
      </c>
      <c r="B83" s="17">
        <v>3</v>
      </c>
    </row>
    <row r="84" spans="1:2" x14ac:dyDescent="0.4">
      <c r="A84" s="17">
        <v>3</v>
      </c>
      <c r="B84" s="17">
        <v>2</v>
      </c>
    </row>
    <row r="85" spans="1:2" x14ac:dyDescent="0.4">
      <c r="A85" s="17">
        <v>3</v>
      </c>
      <c r="B85" s="17">
        <v>2</v>
      </c>
    </row>
    <row r="86" spans="1:2" x14ac:dyDescent="0.4">
      <c r="A86" s="17">
        <v>2</v>
      </c>
      <c r="B86" s="17">
        <v>4</v>
      </c>
    </row>
    <row r="87" spans="1:2" x14ac:dyDescent="0.4">
      <c r="A87" s="17">
        <v>3</v>
      </c>
      <c r="B87" s="17">
        <v>4</v>
      </c>
    </row>
    <row r="88" spans="1:2" x14ac:dyDescent="0.4">
      <c r="A88" s="17">
        <v>3</v>
      </c>
      <c r="B88" s="17">
        <v>2</v>
      </c>
    </row>
    <row r="89" spans="1:2" x14ac:dyDescent="0.4">
      <c r="A89" s="17">
        <v>4</v>
      </c>
      <c r="B89" s="17">
        <v>4</v>
      </c>
    </row>
    <row r="90" spans="1:2" x14ac:dyDescent="0.4">
      <c r="A90" s="17">
        <v>3</v>
      </c>
      <c r="B90" s="17">
        <v>3</v>
      </c>
    </row>
    <row r="91" spans="1:2" x14ac:dyDescent="0.4">
      <c r="A91" s="17">
        <v>2</v>
      </c>
      <c r="B91" s="17">
        <v>4</v>
      </c>
    </row>
    <row r="92" spans="1:2" x14ac:dyDescent="0.4">
      <c r="A92" s="17">
        <v>2</v>
      </c>
      <c r="B92" s="17">
        <v>1</v>
      </c>
    </row>
    <row r="93" spans="1:2" x14ac:dyDescent="0.4">
      <c r="A93" s="17">
        <v>3</v>
      </c>
      <c r="B93" s="17">
        <v>3</v>
      </c>
    </row>
    <row r="94" spans="1:2" x14ac:dyDescent="0.4">
      <c r="A94" s="17">
        <v>3</v>
      </c>
      <c r="B94" s="17">
        <v>1</v>
      </c>
    </row>
    <row r="95" spans="1:2" x14ac:dyDescent="0.4">
      <c r="A95" s="17">
        <v>3</v>
      </c>
      <c r="B95" s="17">
        <v>3</v>
      </c>
    </row>
    <row r="96" spans="1:2" x14ac:dyDescent="0.4">
      <c r="A96" s="17">
        <v>3</v>
      </c>
      <c r="B96" s="17">
        <v>3</v>
      </c>
    </row>
    <row r="97" spans="1:2" x14ac:dyDescent="0.4">
      <c r="A97" s="17">
        <v>3</v>
      </c>
      <c r="B97" s="17">
        <v>3</v>
      </c>
    </row>
    <row r="98" spans="1:2" x14ac:dyDescent="0.4">
      <c r="A98" s="17">
        <v>3</v>
      </c>
      <c r="B98" s="17">
        <v>2</v>
      </c>
    </row>
    <row r="99" spans="1:2" x14ac:dyDescent="0.4">
      <c r="A99" s="17">
        <v>2</v>
      </c>
      <c r="B99" s="17">
        <v>2</v>
      </c>
    </row>
    <row r="100" spans="1:2" x14ac:dyDescent="0.4">
      <c r="A100" s="17">
        <v>4</v>
      </c>
      <c r="B100" s="17">
        <v>4</v>
      </c>
    </row>
    <row r="101" spans="1:2" x14ac:dyDescent="0.4">
      <c r="A101" s="17">
        <v>2</v>
      </c>
      <c r="B101" s="17">
        <v>4</v>
      </c>
    </row>
    <row r="102" spans="1:2" x14ac:dyDescent="0.4">
      <c r="A102" s="17">
        <v>4</v>
      </c>
      <c r="B102" s="17">
        <v>4</v>
      </c>
    </row>
    <row r="103" spans="1:2" x14ac:dyDescent="0.4">
      <c r="A103" s="17">
        <v>3</v>
      </c>
      <c r="B103" s="17">
        <v>3</v>
      </c>
    </row>
    <row r="104" spans="1:2" x14ac:dyDescent="0.4">
      <c r="A104" s="17">
        <v>4</v>
      </c>
      <c r="B104" s="17">
        <v>2</v>
      </c>
    </row>
    <row r="105" spans="1:2" x14ac:dyDescent="0.4">
      <c r="A105" s="17">
        <v>2</v>
      </c>
      <c r="B105" s="17">
        <v>2</v>
      </c>
    </row>
    <row r="106" spans="1:2" x14ac:dyDescent="0.4">
      <c r="A106" s="17">
        <v>2</v>
      </c>
      <c r="B106" s="17">
        <v>3</v>
      </c>
    </row>
    <row r="107" spans="1:2" x14ac:dyDescent="0.4">
      <c r="A107" s="17">
        <v>2</v>
      </c>
      <c r="B107" s="17">
        <v>3</v>
      </c>
    </row>
    <row r="108" spans="1:2" x14ac:dyDescent="0.4">
      <c r="A108" s="17">
        <v>4</v>
      </c>
      <c r="B108" s="17">
        <v>2</v>
      </c>
    </row>
    <row r="109" spans="1:2" x14ac:dyDescent="0.4">
      <c r="A109" s="17">
        <v>3</v>
      </c>
      <c r="B109" s="17">
        <v>3</v>
      </c>
    </row>
    <row r="110" spans="1:2" x14ac:dyDescent="0.4">
      <c r="A110" s="17">
        <v>4</v>
      </c>
      <c r="B110" s="17">
        <v>1</v>
      </c>
    </row>
    <row r="111" spans="1:2" x14ac:dyDescent="0.4">
      <c r="A111" s="17">
        <v>4</v>
      </c>
      <c r="B111" s="17">
        <v>2</v>
      </c>
    </row>
    <row r="112" spans="1:2" x14ac:dyDescent="0.4">
      <c r="A112" s="17">
        <v>4</v>
      </c>
      <c r="B112" s="17">
        <v>3</v>
      </c>
    </row>
    <row r="113" spans="1:2" x14ac:dyDescent="0.4">
      <c r="A113" s="17">
        <v>3</v>
      </c>
      <c r="B113" s="17">
        <v>2</v>
      </c>
    </row>
    <row r="114" spans="1:2" x14ac:dyDescent="0.4">
      <c r="A114" s="17">
        <v>3</v>
      </c>
      <c r="B114" s="17">
        <v>2</v>
      </c>
    </row>
    <row r="115" spans="1:2" x14ac:dyDescent="0.4">
      <c r="A115" s="17">
        <v>3</v>
      </c>
      <c r="B115" s="17">
        <v>2</v>
      </c>
    </row>
    <row r="116" spans="1:2" x14ac:dyDescent="0.4">
      <c r="A116" s="17">
        <v>3</v>
      </c>
      <c r="B116" s="17">
        <v>4</v>
      </c>
    </row>
    <row r="117" spans="1:2" x14ac:dyDescent="0.4">
      <c r="A117" s="17">
        <v>3</v>
      </c>
      <c r="B117" s="17">
        <v>3</v>
      </c>
    </row>
    <row r="118" spans="1:2" x14ac:dyDescent="0.4">
      <c r="A118" s="17">
        <v>3</v>
      </c>
      <c r="B118" s="17">
        <v>3</v>
      </c>
    </row>
    <row r="119" spans="1:2" x14ac:dyDescent="0.4">
      <c r="A119" s="17">
        <v>3</v>
      </c>
      <c r="B119" s="17">
        <v>2</v>
      </c>
    </row>
    <row r="120" spans="1:2" x14ac:dyDescent="0.4">
      <c r="A120" s="17">
        <v>3</v>
      </c>
      <c r="B120" s="17">
        <v>3</v>
      </c>
    </row>
    <row r="121" spans="1:2" x14ac:dyDescent="0.4">
      <c r="A121" s="17">
        <v>3</v>
      </c>
      <c r="B121" s="17">
        <v>2</v>
      </c>
    </row>
    <row r="122" spans="1:2" x14ac:dyDescent="0.4">
      <c r="A122" s="17">
        <v>3</v>
      </c>
      <c r="B122" s="17">
        <v>1</v>
      </c>
    </row>
    <row r="123" spans="1:2" x14ac:dyDescent="0.4">
      <c r="A123" s="17">
        <v>3</v>
      </c>
      <c r="B123" s="17">
        <v>3</v>
      </c>
    </row>
    <row r="124" spans="1:2" x14ac:dyDescent="0.4">
      <c r="A124" s="17">
        <v>3</v>
      </c>
      <c r="B124" s="17">
        <v>2</v>
      </c>
    </row>
    <row r="125" spans="1:2" x14ac:dyDescent="0.4">
      <c r="A125" s="17">
        <v>2</v>
      </c>
      <c r="B125" s="17">
        <v>2</v>
      </c>
    </row>
    <row r="126" spans="1:2" x14ac:dyDescent="0.4">
      <c r="A126" s="17">
        <v>3</v>
      </c>
      <c r="B126" s="17">
        <v>3</v>
      </c>
    </row>
    <row r="127" spans="1:2" x14ac:dyDescent="0.4">
      <c r="A127" s="17">
        <v>3</v>
      </c>
      <c r="B127" s="17">
        <v>3</v>
      </c>
    </row>
    <row r="128" spans="1:2" x14ac:dyDescent="0.4">
      <c r="A128" s="17">
        <v>3</v>
      </c>
      <c r="B128" s="17">
        <v>3</v>
      </c>
    </row>
    <row r="129" spans="1:2" x14ac:dyDescent="0.4">
      <c r="A129" s="17">
        <v>3</v>
      </c>
      <c r="B129" s="17">
        <v>3</v>
      </c>
    </row>
    <row r="130" spans="1:2" x14ac:dyDescent="0.4">
      <c r="A130" s="17">
        <v>3</v>
      </c>
      <c r="B130" s="17">
        <v>3</v>
      </c>
    </row>
    <row r="131" spans="1:2" x14ac:dyDescent="0.4">
      <c r="A131" s="17">
        <v>3</v>
      </c>
      <c r="B131" s="17">
        <v>1</v>
      </c>
    </row>
    <row r="132" spans="1:2" x14ac:dyDescent="0.4">
      <c r="A132" s="17">
        <v>3</v>
      </c>
      <c r="B132" s="17">
        <v>3</v>
      </c>
    </row>
    <row r="133" spans="1:2" x14ac:dyDescent="0.4">
      <c r="A133" s="17">
        <v>1</v>
      </c>
      <c r="B133" s="17">
        <v>3</v>
      </c>
    </row>
    <row r="134" spans="1:2" x14ac:dyDescent="0.4">
      <c r="A134" s="17">
        <v>2</v>
      </c>
      <c r="B134" s="17">
        <v>3</v>
      </c>
    </row>
    <row r="135" spans="1:2" x14ac:dyDescent="0.4">
      <c r="A135" s="17">
        <v>1</v>
      </c>
      <c r="B135" s="17">
        <v>3</v>
      </c>
    </row>
    <row r="136" spans="1:2" x14ac:dyDescent="0.4">
      <c r="A136" s="17">
        <v>2</v>
      </c>
      <c r="B136" s="17">
        <v>4</v>
      </c>
    </row>
    <row r="137" spans="1:2" x14ac:dyDescent="0.4">
      <c r="A137" s="17">
        <v>2</v>
      </c>
      <c r="B137" s="17">
        <v>3</v>
      </c>
    </row>
    <row r="138" spans="1:2" x14ac:dyDescent="0.4">
      <c r="A138" s="17">
        <v>3</v>
      </c>
      <c r="B138" s="17">
        <v>2</v>
      </c>
    </row>
    <row r="139" spans="1:2" x14ac:dyDescent="0.4">
      <c r="A139" s="17">
        <v>3</v>
      </c>
      <c r="B139" s="17">
        <v>3</v>
      </c>
    </row>
    <row r="140" spans="1:2" x14ac:dyDescent="0.4">
      <c r="A140" s="17">
        <v>3</v>
      </c>
      <c r="B140" s="17">
        <v>3</v>
      </c>
    </row>
    <row r="141" spans="1:2" x14ac:dyDescent="0.4">
      <c r="A141" s="17">
        <v>2</v>
      </c>
      <c r="B141" s="17">
        <v>3</v>
      </c>
    </row>
    <row r="142" spans="1:2" x14ac:dyDescent="0.4">
      <c r="A142" s="17">
        <v>3</v>
      </c>
      <c r="B142" s="17">
        <v>3</v>
      </c>
    </row>
    <row r="143" spans="1:2" x14ac:dyDescent="0.4">
      <c r="A143" s="17">
        <v>3</v>
      </c>
      <c r="B143" s="17">
        <v>3</v>
      </c>
    </row>
    <row r="144" spans="1:2" x14ac:dyDescent="0.4">
      <c r="A144" s="17">
        <v>3</v>
      </c>
      <c r="B144" s="17">
        <v>2</v>
      </c>
    </row>
    <row r="145" spans="1:2" x14ac:dyDescent="0.4">
      <c r="A145" s="17">
        <v>3</v>
      </c>
      <c r="B145" s="17">
        <v>3</v>
      </c>
    </row>
    <row r="146" spans="1:2" x14ac:dyDescent="0.4">
      <c r="A146" s="17">
        <v>3</v>
      </c>
      <c r="B146" s="17">
        <v>3</v>
      </c>
    </row>
    <row r="147" spans="1:2" x14ac:dyDescent="0.4">
      <c r="A147" s="17">
        <v>3</v>
      </c>
      <c r="B147" s="17">
        <v>3</v>
      </c>
    </row>
    <row r="148" spans="1:2" x14ac:dyDescent="0.4">
      <c r="A148" s="17">
        <v>1</v>
      </c>
      <c r="B148" s="17">
        <v>2</v>
      </c>
    </row>
    <row r="149" spans="1:2" x14ac:dyDescent="0.4">
      <c r="A149" s="17">
        <v>3</v>
      </c>
      <c r="B149" s="17">
        <v>3</v>
      </c>
    </row>
    <row r="150" spans="1:2" x14ac:dyDescent="0.4">
      <c r="A150" s="17">
        <v>2</v>
      </c>
      <c r="B150" s="17">
        <v>2</v>
      </c>
    </row>
    <row r="151" spans="1:2" x14ac:dyDescent="0.4">
      <c r="A151" s="17">
        <v>3</v>
      </c>
      <c r="B151" s="17">
        <v>1</v>
      </c>
    </row>
    <row r="152" spans="1:2" x14ac:dyDescent="0.4">
      <c r="A152" s="17">
        <v>3</v>
      </c>
      <c r="B152" s="17">
        <v>3</v>
      </c>
    </row>
    <row r="153" spans="1:2" x14ac:dyDescent="0.4">
      <c r="A153" s="17">
        <v>3</v>
      </c>
      <c r="B153" s="17">
        <v>3</v>
      </c>
    </row>
    <row r="154" spans="1:2" x14ac:dyDescent="0.4">
      <c r="A154" s="17">
        <v>3</v>
      </c>
      <c r="B154" s="17">
        <v>3</v>
      </c>
    </row>
    <row r="155" spans="1:2" x14ac:dyDescent="0.4">
      <c r="A155" s="17">
        <v>3</v>
      </c>
      <c r="B155" s="17">
        <v>3</v>
      </c>
    </row>
    <row r="156" spans="1:2" x14ac:dyDescent="0.4">
      <c r="A156" s="17">
        <v>3</v>
      </c>
      <c r="B156" s="17">
        <v>3</v>
      </c>
    </row>
    <row r="157" spans="1:2" x14ac:dyDescent="0.4">
      <c r="A157" s="17">
        <v>3</v>
      </c>
      <c r="B157" s="17">
        <v>3</v>
      </c>
    </row>
    <row r="158" spans="1:2" x14ac:dyDescent="0.4">
      <c r="A158" s="17">
        <v>3</v>
      </c>
      <c r="B158" s="17">
        <v>3</v>
      </c>
    </row>
    <row r="159" spans="1:2" x14ac:dyDescent="0.4">
      <c r="A159" s="17">
        <v>4</v>
      </c>
      <c r="B159" s="17">
        <v>3</v>
      </c>
    </row>
    <row r="160" spans="1:2" x14ac:dyDescent="0.4">
      <c r="A160" s="17">
        <v>3</v>
      </c>
      <c r="B160" s="17">
        <v>2</v>
      </c>
    </row>
    <row r="161" spans="1:2" x14ac:dyDescent="0.4">
      <c r="A161" s="17">
        <v>4</v>
      </c>
      <c r="B161" s="17">
        <v>4</v>
      </c>
    </row>
    <row r="162" spans="1:2" x14ac:dyDescent="0.4">
      <c r="A162" s="17">
        <v>2</v>
      </c>
      <c r="B162" s="17">
        <v>4</v>
      </c>
    </row>
    <row r="163" spans="1:2" x14ac:dyDescent="0.4">
      <c r="A163" s="17">
        <v>3</v>
      </c>
      <c r="B163" s="17">
        <v>1</v>
      </c>
    </row>
    <row r="164" spans="1:2" x14ac:dyDescent="0.4">
      <c r="A164" s="17">
        <v>2</v>
      </c>
      <c r="B164" s="17">
        <v>3</v>
      </c>
    </row>
    <row r="165" spans="1:2" x14ac:dyDescent="0.4">
      <c r="A165" s="17">
        <v>3</v>
      </c>
      <c r="B165" s="17">
        <v>4</v>
      </c>
    </row>
    <row r="166" spans="1:2" x14ac:dyDescent="0.4">
      <c r="A166" s="17">
        <v>3</v>
      </c>
      <c r="B166" s="17">
        <v>2</v>
      </c>
    </row>
    <row r="167" spans="1:2" x14ac:dyDescent="0.4">
      <c r="A167" s="17">
        <v>3</v>
      </c>
      <c r="B167" s="17">
        <v>3</v>
      </c>
    </row>
    <row r="168" spans="1:2" x14ac:dyDescent="0.4">
      <c r="A168" s="17">
        <v>3</v>
      </c>
      <c r="B168" s="17">
        <v>2</v>
      </c>
    </row>
    <row r="169" spans="1:2" x14ac:dyDescent="0.4">
      <c r="A169" s="17">
        <v>2</v>
      </c>
      <c r="B169" s="17">
        <v>3</v>
      </c>
    </row>
    <row r="170" spans="1:2" x14ac:dyDescent="0.4">
      <c r="A170" s="17">
        <v>3</v>
      </c>
      <c r="B170" s="17">
        <v>3</v>
      </c>
    </row>
    <row r="171" spans="1:2" x14ac:dyDescent="0.4">
      <c r="A171" s="17">
        <v>3</v>
      </c>
      <c r="B171" s="17">
        <v>3</v>
      </c>
    </row>
    <row r="172" spans="1:2" x14ac:dyDescent="0.4">
      <c r="A172" s="17">
        <v>2</v>
      </c>
      <c r="B172" s="17">
        <v>2</v>
      </c>
    </row>
    <row r="173" spans="1:2" x14ac:dyDescent="0.4">
      <c r="A173" s="17">
        <v>2</v>
      </c>
      <c r="B173" s="17">
        <v>3</v>
      </c>
    </row>
    <row r="174" spans="1:2" x14ac:dyDescent="0.4">
      <c r="A174" s="17">
        <v>3</v>
      </c>
      <c r="B174" s="17">
        <v>3</v>
      </c>
    </row>
    <row r="175" spans="1:2" x14ac:dyDescent="0.4">
      <c r="A175" s="17">
        <v>3</v>
      </c>
      <c r="B175" s="17">
        <v>3</v>
      </c>
    </row>
    <row r="176" spans="1:2" x14ac:dyDescent="0.4">
      <c r="A176" s="17">
        <v>3</v>
      </c>
      <c r="B176" s="17">
        <v>3</v>
      </c>
    </row>
    <row r="177" spans="1:2" x14ac:dyDescent="0.4">
      <c r="A177" s="17"/>
      <c r="B177" s="17">
        <v>3</v>
      </c>
    </row>
    <row r="178" spans="1:2" x14ac:dyDescent="0.4">
      <c r="A178" s="17"/>
      <c r="B178" s="17">
        <v>2</v>
      </c>
    </row>
    <row r="179" spans="1:2" x14ac:dyDescent="0.4">
      <c r="A179" s="17"/>
      <c r="B179" s="17">
        <v>2</v>
      </c>
    </row>
    <row r="180" spans="1:2" x14ac:dyDescent="0.4">
      <c r="A180" s="17"/>
      <c r="B180" s="17">
        <v>2</v>
      </c>
    </row>
    <row r="181" spans="1:2" x14ac:dyDescent="0.4">
      <c r="A181" s="17"/>
      <c r="B181" s="17">
        <v>3</v>
      </c>
    </row>
    <row r="182" spans="1:2" x14ac:dyDescent="0.4">
      <c r="A182" s="17"/>
      <c r="B182" s="17">
        <v>3</v>
      </c>
    </row>
    <row r="183" spans="1:2" x14ac:dyDescent="0.4">
      <c r="A183" s="17"/>
      <c r="B183" s="17">
        <v>2</v>
      </c>
    </row>
    <row r="184" spans="1:2" x14ac:dyDescent="0.4">
      <c r="A184" s="17"/>
      <c r="B184" s="17">
        <v>1</v>
      </c>
    </row>
    <row r="185" spans="1:2" x14ac:dyDescent="0.4">
      <c r="A185" s="17"/>
      <c r="B185" s="17">
        <v>3</v>
      </c>
    </row>
    <row r="186" spans="1:2" x14ac:dyDescent="0.4">
      <c r="A186" s="17"/>
      <c r="B186" s="17">
        <v>3</v>
      </c>
    </row>
    <row r="187" spans="1:2" x14ac:dyDescent="0.4">
      <c r="A187" s="17"/>
      <c r="B187" s="17">
        <v>3</v>
      </c>
    </row>
    <row r="188" spans="1:2" x14ac:dyDescent="0.4">
      <c r="A188" s="17"/>
      <c r="B188" s="17">
        <v>3</v>
      </c>
    </row>
    <row r="191" spans="1:2" x14ac:dyDescent="0.4">
      <c r="A191" s="2" t="s">
        <v>163</v>
      </c>
    </row>
    <row r="192" spans="1:2" x14ac:dyDescent="0.4">
      <c r="A192" t="s">
        <v>201</v>
      </c>
    </row>
    <row r="193" spans="1:1" x14ac:dyDescent="0.4">
      <c r="A193"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5D49-F07F-4DEE-953C-4906DE5019A8}">
  <dimension ref="A1:P331"/>
  <sheetViews>
    <sheetView workbookViewId="0">
      <selection activeCell="C6" sqref="C6"/>
    </sheetView>
  </sheetViews>
  <sheetFormatPr defaultRowHeight="16" x14ac:dyDescent="0.4"/>
  <cols>
    <col min="1" max="1" width="29.1640625" customWidth="1"/>
    <col min="2" max="2" width="24.4140625" customWidth="1"/>
    <col min="3" max="3" width="15.83203125" customWidth="1"/>
    <col min="4" max="4" width="12" customWidth="1"/>
    <col min="5" max="5" width="10.75" customWidth="1"/>
    <col min="6" max="6" width="13.4140625" customWidth="1"/>
    <col min="7" max="7" width="22" bestFit="1" customWidth="1"/>
    <col min="8" max="8" width="3.75" bestFit="1" customWidth="1"/>
    <col min="9" max="9" width="4.75" bestFit="1" customWidth="1"/>
    <col min="10" max="10" width="36.58203125" bestFit="1" customWidth="1"/>
    <col min="11" max="11" width="9.58203125" bestFit="1" customWidth="1"/>
    <col min="12" max="12" width="24.6640625" bestFit="1" customWidth="1"/>
    <col min="13" max="13" width="12.9140625" bestFit="1" customWidth="1"/>
    <col min="14" max="14" width="17.6640625" bestFit="1" customWidth="1"/>
    <col min="15" max="15" width="19.5" bestFit="1" customWidth="1"/>
    <col min="16" max="16" width="22" bestFit="1" customWidth="1"/>
    <col min="17" max="17" width="4.75" bestFit="1" customWidth="1"/>
    <col min="18" max="18" width="3.75" bestFit="1" customWidth="1"/>
    <col min="19" max="19" width="4.75" bestFit="1" customWidth="1"/>
    <col min="20" max="20" width="3.75" bestFit="1" customWidth="1"/>
    <col min="21" max="21" width="4.75" bestFit="1" customWidth="1"/>
    <col min="22" max="22" width="3.75" bestFit="1" customWidth="1"/>
    <col min="23" max="23" width="6.25" bestFit="1" customWidth="1"/>
    <col min="24" max="24" width="3.75" bestFit="1" customWidth="1"/>
    <col min="25" max="25" width="4.75" bestFit="1" customWidth="1"/>
    <col min="26" max="26" width="2.75" bestFit="1" customWidth="1"/>
    <col min="27" max="27" width="4.75" bestFit="1" customWidth="1"/>
    <col min="28" max="28" width="3.75" bestFit="1" customWidth="1"/>
    <col min="29" max="29" width="4.75" bestFit="1" customWidth="1"/>
    <col min="30" max="30" width="3.75" bestFit="1" customWidth="1"/>
    <col min="31" max="31" width="4.75" bestFit="1" customWidth="1"/>
    <col min="32" max="32" width="3.75" bestFit="1" customWidth="1"/>
    <col min="33" max="33" width="4.75" bestFit="1" customWidth="1"/>
    <col min="34" max="34" width="6.25" bestFit="1" customWidth="1"/>
    <col min="35" max="35" width="4.75" bestFit="1" customWidth="1"/>
    <col min="36" max="36" width="1.75" bestFit="1" customWidth="1"/>
    <col min="37" max="37" width="4.75" bestFit="1" customWidth="1"/>
    <col min="38" max="38" width="3.75" bestFit="1" customWidth="1"/>
    <col min="39" max="39" width="4.75" bestFit="1" customWidth="1"/>
    <col min="40" max="40" width="2.75" bestFit="1" customWidth="1"/>
    <col min="41" max="41" width="4.75" bestFit="1" customWidth="1"/>
    <col min="42" max="42" width="3.75" bestFit="1" customWidth="1"/>
    <col min="43" max="43" width="4.75" bestFit="1" customWidth="1"/>
    <col min="44" max="44" width="2.75" bestFit="1" customWidth="1"/>
    <col min="45" max="45" width="6.25" bestFit="1" customWidth="1"/>
    <col min="46" max="46" width="10.33203125" bestFit="1" customWidth="1"/>
    <col min="47" max="47" width="4.75" bestFit="1" customWidth="1"/>
    <col min="48" max="48" width="6.25" bestFit="1" customWidth="1"/>
    <col min="49" max="55" width="4.75" bestFit="1" customWidth="1"/>
    <col min="56" max="56" width="6.25" bestFit="1" customWidth="1"/>
    <col min="57" max="63" width="4.75" bestFit="1" customWidth="1"/>
    <col min="64" max="65" width="6.25" bestFit="1" customWidth="1"/>
    <col min="66" max="72" width="4.75" bestFit="1" customWidth="1"/>
    <col min="73" max="73" width="6.25" bestFit="1" customWidth="1"/>
    <col min="74" max="80" width="4.75" bestFit="1" customWidth="1"/>
    <col min="81" max="81" width="6.25" bestFit="1" customWidth="1"/>
    <col min="82" max="88" width="4.75" bestFit="1" customWidth="1"/>
    <col min="89" max="89" width="6.25" bestFit="1" customWidth="1"/>
    <col min="90" max="96" width="4.75" bestFit="1" customWidth="1"/>
    <col min="97" max="98" width="6.25" bestFit="1" customWidth="1"/>
    <col min="99" max="104" width="4.75" bestFit="1" customWidth="1"/>
    <col min="105" max="105" width="6.25" bestFit="1" customWidth="1"/>
    <col min="106" max="112" width="4.75" bestFit="1" customWidth="1"/>
    <col min="113" max="113" width="6.25" bestFit="1" customWidth="1"/>
    <col min="114" max="120" width="4.75" bestFit="1" customWidth="1"/>
    <col min="121" max="121" width="6.25" bestFit="1" customWidth="1"/>
    <col min="122" max="128" width="4.75" bestFit="1" customWidth="1"/>
    <col min="129" max="130" width="6.25" bestFit="1" customWidth="1"/>
    <col min="131" max="131" width="10.33203125" bestFit="1" customWidth="1"/>
    <col min="132" max="133" width="6.25" bestFit="1" customWidth="1"/>
    <col min="134" max="135" width="4.75" bestFit="1" customWidth="1"/>
    <col min="136" max="136" width="6.25" bestFit="1" customWidth="1"/>
    <col min="137" max="140" width="4.75" bestFit="1" customWidth="1"/>
    <col min="141" max="141" width="6.25" bestFit="1" customWidth="1"/>
    <col min="142" max="145" width="4.75" bestFit="1" customWidth="1"/>
    <col min="146" max="146" width="6.25" bestFit="1" customWidth="1"/>
    <col min="147" max="149" width="4.75" bestFit="1" customWidth="1"/>
    <col min="150" max="152" width="6.25" bestFit="1" customWidth="1"/>
    <col min="153" max="155" width="4.75" bestFit="1" customWidth="1"/>
    <col min="156" max="156" width="6.25" bestFit="1" customWidth="1"/>
    <col min="157" max="159" width="4.75" bestFit="1" customWidth="1"/>
    <col min="160" max="160" width="6.25" bestFit="1" customWidth="1"/>
    <col min="161" max="164" width="4.75" bestFit="1" customWidth="1"/>
    <col min="165" max="165" width="6.25" bestFit="1" customWidth="1"/>
    <col min="166" max="168" width="4.75" bestFit="1" customWidth="1"/>
    <col min="169" max="170" width="6.25" bestFit="1" customWidth="1"/>
    <col min="171" max="174" width="4.75" bestFit="1" customWidth="1"/>
    <col min="175" max="175" width="6.25" bestFit="1" customWidth="1"/>
    <col min="176" max="179" width="4.75" bestFit="1" customWidth="1"/>
    <col min="180" max="180" width="6.25" bestFit="1" customWidth="1"/>
    <col min="181" max="184" width="4.75" bestFit="1" customWidth="1"/>
    <col min="185" max="185" width="6.25" bestFit="1" customWidth="1"/>
    <col min="186" max="189" width="4.75" bestFit="1" customWidth="1"/>
    <col min="190" max="191" width="6.25" bestFit="1" customWidth="1"/>
    <col min="192" max="195" width="4.75" bestFit="1" customWidth="1"/>
    <col min="196" max="196" width="6.25" bestFit="1" customWidth="1"/>
    <col min="197" max="200" width="4.75" bestFit="1" customWidth="1"/>
    <col min="201" max="201" width="6.25" bestFit="1" customWidth="1"/>
    <col min="202" max="205" width="4.75" bestFit="1" customWidth="1"/>
    <col min="206" max="206" width="6.25" bestFit="1" customWidth="1"/>
    <col min="207" max="210" width="4.75" bestFit="1" customWidth="1"/>
    <col min="211" max="212" width="6.25" bestFit="1" customWidth="1"/>
    <col min="213" max="216" width="4.75" bestFit="1" customWidth="1"/>
    <col min="217" max="217" width="6.25" bestFit="1" customWidth="1"/>
    <col min="218" max="221" width="4.75" bestFit="1" customWidth="1"/>
    <col min="222" max="222" width="6.25" bestFit="1" customWidth="1"/>
    <col min="223" max="225" width="4.75" bestFit="1" customWidth="1"/>
    <col min="226" max="226" width="6.25" bestFit="1" customWidth="1"/>
    <col min="227" max="230" width="4.75" bestFit="1" customWidth="1"/>
    <col min="231" max="233" width="6.25" bestFit="1" customWidth="1"/>
    <col min="234" max="235" width="3.75" bestFit="1" customWidth="1"/>
    <col min="236" max="236" width="6.25" bestFit="1" customWidth="1"/>
    <col min="237" max="238" width="3.75" bestFit="1" customWidth="1"/>
    <col min="239" max="239" width="6.25" bestFit="1" customWidth="1"/>
    <col min="240" max="243" width="4.75" bestFit="1" customWidth="1"/>
    <col min="244" max="244" width="6.25" bestFit="1" customWidth="1"/>
    <col min="245" max="246" width="4.75" bestFit="1" customWidth="1"/>
    <col min="247" max="248" width="6.25" bestFit="1" customWidth="1"/>
    <col min="249" max="252" width="4.75" bestFit="1" customWidth="1"/>
    <col min="253" max="253" width="6.25" bestFit="1" customWidth="1"/>
    <col min="254" max="257" width="4.75" bestFit="1" customWidth="1"/>
    <col min="258" max="258" width="6.25" bestFit="1" customWidth="1"/>
    <col min="259" max="262" width="4.75" bestFit="1" customWidth="1"/>
    <col min="263" max="263" width="6.25" bestFit="1" customWidth="1"/>
    <col min="264" max="267" width="4.75" bestFit="1" customWidth="1"/>
    <col min="268" max="269" width="6.25" bestFit="1" customWidth="1"/>
    <col min="270" max="273" width="4.75" bestFit="1" customWidth="1"/>
    <col min="274" max="274" width="6.25" bestFit="1" customWidth="1"/>
    <col min="275" max="278" width="4.75" bestFit="1" customWidth="1"/>
    <col min="279" max="279" width="6.25" bestFit="1" customWidth="1"/>
    <col min="280" max="283" width="4.75" bestFit="1" customWidth="1"/>
    <col min="284" max="284" width="6.25" bestFit="1" customWidth="1"/>
    <col min="285" max="288" width="4.75" bestFit="1" customWidth="1"/>
    <col min="289" max="290" width="6.25" bestFit="1" customWidth="1"/>
    <col min="291" max="294" width="4.75" bestFit="1" customWidth="1"/>
    <col min="295" max="295" width="6.25" bestFit="1" customWidth="1"/>
    <col min="296" max="299" width="4.75" bestFit="1" customWidth="1"/>
    <col min="300" max="300" width="6.25" bestFit="1" customWidth="1"/>
    <col min="301" max="304" width="4.75" bestFit="1" customWidth="1"/>
    <col min="305" max="305" width="6.25" bestFit="1" customWidth="1"/>
    <col min="306" max="309" width="4.75" bestFit="1" customWidth="1"/>
    <col min="310" max="312" width="6.25" bestFit="1" customWidth="1"/>
    <col min="313" max="313" width="10.33203125" bestFit="1" customWidth="1"/>
    <col min="314" max="315" width="6.25" bestFit="1" customWidth="1"/>
    <col min="316" max="316" width="4.75" bestFit="1" customWidth="1"/>
    <col min="317" max="317" width="6.25" bestFit="1" customWidth="1"/>
    <col min="318" max="318" width="3.75" bestFit="1" customWidth="1"/>
    <col min="319" max="319" width="6.25" bestFit="1" customWidth="1"/>
    <col min="320" max="320" width="4.75" bestFit="1" customWidth="1"/>
    <col min="321" max="321" width="6.25" bestFit="1" customWidth="1"/>
    <col min="322" max="322" width="3.33203125" bestFit="1" customWidth="1"/>
    <col min="323" max="324" width="6.25" bestFit="1" customWidth="1"/>
    <col min="325" max="325" width="3.75" bestFit="1" customWidth="1"/>
    <col min="326" max="326" width="6.25" bestFit="1" customWidth="1"/>
    <col min="327" max="327" width="4.75" bestFit="1" customWidth="1"/>
    <col min="328" max="328" width="6.25" bestFit="1" customWidth="1"/>
    <col min="329" max="329" width="4.75" bestFit="1" customWidth="1"/>
    <col min="330" max="332" width="6.25" bestFit="1" customWidth="1"/>
    <col min="333" max="333" width="3.33203125" bestFit="1" customWidth="1"/>
    <col min="334" max="334" width="6.25" bestFit="1" customWidth="1"/>
    <col min="335" max="335" width="4.75" bestFit="1" customWidth="1"/>
    <col min="336" max="336" width="6.25" bestFit="1" customWidth="1"/>
    <col min="337" max="337" width="3.75" bestFit="1" customWidth="1"/>
    <col min="338" max="339" width="6.25" bestFit="1" customWidth="1"/>
    <col min="340" max="340" width="4.75" bestFit="1" customWidth="1"/>
    <col min="341" max="341" width="6.25" bestFit="1" customWidth="1"/>
    <col min="342" max="342" width="3.75" bestFit="1" customWidth="1"/>
    <col min="343" max="343" width="6.25" bestFit="1" customWidth="1"/>
    <col min="344" max="344" width="4.75" bestFit="1" customWidth="1"/>
    <col min="345" max="345" width="6.25" bestFit="1" customWidth="1"/>
    <col min="346" max="346" width="3.33203125" bestFit="1" customWidth="1"/>
    <col min="347" max="348" width="6.25" bestFit="1" customWidth="1"/>
    <col min="349" max="349" width="3.75" bestFit="1" customWidth="1"/>
    <col min="350" max="350" width="6.25" bestFit="1" customWidth="1"/>
    <col min="351" max="351" width="4.75" bestFit="1" customWidth="1"/>
    <col min="352" max="352" width="6.25" bestFit="1" customWidth="1"/>
    <col min="353" max="353" width="3.33203125" bestFit="1" customWidth="1"/>
    <col min="354" max="354" width="6.25" bestFit="1" customWidth="1"/>
    <col min="355" max="355" width="4.75" bestFit="1" customWidth="1"/>
    <col min="356" max="357" width="6.25" bestFit="1" customWidth="1"/>
    <col min="358" max="358" width="4.75" bestFit="1" customWidth="1"/>
    <col min="359" max="359" width="6.25" bestFit="1" customWidth="1"/>
    <col min="360" max="360" width="3.33203125" bestFit="1" customWidth="1"/>
    <col min="361" max="361" width="6.25" bestFit="1" customWidth="1"/>
    <col min="362" max="362" width="4.75" bestFit="1" customWidth="1"/>
    <col min="363" max="363" width="6.25" bestFit="1" customWidth="1"/>
    <col min="364" max="364" width="3.75" bestFit="1" customWidth="1"/>
    <col min="365" max="367" width="6.25" bestFit="1" customWidth="1"/>
    <col min="368" max="368" width="4.75" bestFit="1" customWidth="1"/>
    <col min="369" max="369" width="6.25" bestFit="1" customWidth="1"/>
    <col min="370" max="370" width="3.75" bestFit="1" customWidth="1"/>
    <col min="371" max="371" width="6.25" bestFit="1" customWidth="1"/>
    <col min="372" max="372" width="4.75" bestFit="1" customWidth="1"/>
    <col min="373" max="373" width="6.25" bestFit="1" customWidth="1"/>
    <col min="374" max="374" width="3.33203125" bestFit="1" customWidth="1"/>
    <col min="375" max="376" width="6.25" bestFit="1" customWidth="1"/>
    <col min="377" max="377" width="3.75" bestFit="1" customWidth="1"/>
    <col min="378" max="378" width="6.25" bestFit="1" customWidth="1"/>
    <col min="379" max="379" width="4.75" bestFit="1" customWidth="1"/>
    <col min="380" max="380" width="6.25" bestFit="1" customWidth="1"/>
    <col min="381" max="381" width="3.33203125" bestFit="1" customWidth="1"/>
    <col min="382" max="382" width="6.25" bestFit="1" customWidth="1"/>
    <col min="383" max="383" width="4.75" bestFit="1" customWidth="1"/>
    <col min="384" max="385" width="6.25" bestFit="1" customWidth="1"/>
    <col min="386" max="386" width="4.75" bestFit="1" customWidth="1"/>
    <col min="387" max="387" width="6.25" bestFit="1" customWidth="1"/>
    <col min="388" max="388" width="3.33203125" bestFit="1" customWidth="1"/>
    <col min="389" max="389" width="6.25" bestFit="1" customWidth="1"/>
    <col min="390" max="390" width="4.75" bestFit="1" customWidth="1"/>
    <col min="391" max="391" width="6.25" bestFit="1" customWidth="1"/>
    <col min="392" max="392" width="3.75" bestFit="1" customWidth="1"/>
    <col min="393" max="394" width="6.25" bestFit="1" customWidth="1"/>
    <col min="395" max="395" width="3.33203125" bestFit="1" customWidth="1"/>
    <col min="396" max="396" width="6.25" bestFit="1" customWidth="1"/>
    <col min="397" max="397" width="4.75" bestFit="1" customWidth="1"/>
    <col min="398" max="398" width="6.25" bestFit="1" customWidth="1"/>
    <col min="399" max="399" width="3.75" bestFit="1" customWidth="1"/>
    <col min="400" max="400" width="6.25" bestFit="1" customWidth="1"/>
    <col min="401" max="401" width="4.75" bestFit="1" customWidth="1"/>
    <col min="402" max="405" width="6.25" bestFit="1" customWidth="1"/>
    <col min="406" max="406" width="3.33203125" bestFit="1" customWidth="1"/>
    <col min="407" max="407" width="6.25" bestFit="1" customWidth="1"/>
    <col min="408" max="408" width="4.75" bestFit="1" customWidth="1"/>
    <col min="409" max="410" width="6.25" bestFit="1" customWidth="1"/>
    <col min="411" max="411" width="3.33203125" bestFit="1" customWidth="1"/>
    <col min="412" max="412" width="6.25" bestFit="1" customWidth="1"/>
    <col min="413" max="413" width="4.75" bestFit="1" customWidth="1"/>
    <col min="414" max="414" width="6.25" bestFit="1" customWidth="1"/>
    <col min="415" max="415" width="3.75" bestFit="1" customWidth="1"/>
    <col min="416" max="416" width="6.25" bestFit="1" customWidth="1"/>
    <col min="417" max="417" width="4.75" bestFit="1" customWidth="1"/>
    <col min="418" max="419" width="6.25" bestFit="1" customWidth="1"/>
    <col min="420" max="420" width="4.75" bestFit="1" customWidth="1"/>
    <col min="421" max="421" width="6.25" bestFit="1" customWidth="1"/>
    <col min="422" max="422" width="3.75" bestFit="1" customWidth="1"/>
    <col min="423" max="423" width="6.25" bestFit="1" customWidth="1"/>
    <col min="424" max="424" width="4.75" bestFit="1" customWidth="1"/>
    <col min="425" max="425" width="6.25" bestFit="1" customWidth="1"/>
    <col min="426" max="426" width="3.33203125" bestFit="1" customWidth="1"/>
    <col min="427" max="428" width="6.25" bestFit="1" customWidth="1"/>
    <col min="429" max="429" width="3.75" bestFit="1" customWidth="1"/>
    <col min="430" max="430" width="6.25" bestFit="1" customWidth="1"/>
    <col min="431" max="431" width="4.75" bestFit="1" customWidth="1"/>
    <col min="432" max="432" width="6.25" bestFit="1" customWidth="1"/>
    <col min="433" max="433" width="3.33203125" bestFit="1" customWidth="1"/>
    <col min="434" max="434" width="6.25" bestFit="1" customWidth="1"/>
    <col min="435" max="435" width="4.75" bestFit="1" customWidth="1"/>
    <col min="436" max="438" width="6.25" bestFit="1" customWidth="1"/>
    <col min="439" max="439" width="3.33203125" bestFit="1" customWidth="1"/>
    <col min="440" max="440" width="6.25" bestFit="1" customWidth="1"/>
    <col min="441" max="441" width="3.75" bestFit="1" customWidth="1"/>
    <col min="442" max="443" width="6.25" bestFit="1" customWidth="1"/>
    <col min="444" max="444" width="4.75" bestFit="1" customWidth="1"/>
    <col min="445" max="445" width="6.25" bestFit="1" customWidth="1"/>
    <col min="446" max="446" width="3.75" bestFit="1" customWidth="1"/>
    <col min="447" max="447" width="6.25" bestFit="1" customWidth="1"/>
    <col min="448" max="448" width="4.75" bestFit="1" customWidth="1"/>
    <col min="449" max="449" width="6.25" bestFit="1" customWidth="1"/>
    <col min="450" max="450" width="3.33203125" bestFit="1" customWidth="1"/>
    <col min="451" max="452" width="6.25" bestFit="1" customWidth="1"/>
    <col min="453" max="453" width="3.75" bestFit="1" customWidth="1"/>
    <col min="454" max="454" width="6.25" bestFit="1" customWidth="1"/>
    <col min="455" max="455" width="4.75" bestFit="1" customWidth="1"/>
    <col min="456" max="456" width="6.25" bestFit="1" customWidth="1"/>
    <col min="457" max="457" width="3.33203125" bestFit="1" customWidth="1"/>
    <col min="458" max="458" width="6.25" bestFit="1" customWidth="1"/>
    <col min="459" max="459" width="4.75" bestFit="1" customWidth="1"/>
    <col min="460" max="461" width="6.25" bestFit="1" customWidth="1"/>
    <col min="462" max="462" width="4.75" bestFit="1" customWidth="1"/>
    <col min="463" max="463" width="6.25" bestFit="1" customWidth="1"/>
    <col min="464" max="464" width="3.33203125" bestFit="1" customWidth="1"/>
    <col min="465" max="465" width="6.25" bestFit="1" customWidth="1"/>
    <col min="466" max="466" width="4.75" bestFit="1" customWidth="1"/>
    <col min="467" max="467" width="6.25" bestFit="1" customWidth="1"/>
    <col min="468" max="468" width="3.75" bestFit="1" customWidth="1"/>
    <col min="469" max="471" width="6.25" bestFit="1" customWidth="1"/>
    <col min="472" max="472" width="3.75" bestFit="1" customWidth="1"/>
    <col min="473" max="473" width="6.25" bestFit="1" customWidth="1"/>
    <col min="474" max="474" width="4.75" bestFit="1" customWidth="1"/>
    <col min="475" max="475" width="6.25" bestFit="1" customWidth="1"/>
    <col min="476" max="476" width="3.33203125" bestFit="1" customWidth="1"/>
    <col min="477" max="478" width="6.25" bestFit="1" customWidth="1"/>
    <col min="479" max="479" width="3.75" bestFit="1" customWidth="1"/>
    <col min="480" max="480" width="6.25" bestFit="1" customWidth="1"/>
    <col min="481" max="481" width="4.75" bestFit="1" customWidth="1"/>
    <col min="482" max="482" width="6.25" bestFit="1" customWidth="1"/>
    <col min="483" max="483" width="3.33203125" bestFit="1" customWidth="1"/>
    <col min="484" max="484" width="6.25" bestFit="1" customWidth="1"/>
    <col min="485" max="485" width="4.75" bestFit="1" customWidth="1"/>
    <col min="486" max="487" width="6.25" bestFit="1" customWidth="1"/>
    <col min="488" max="488" width="4.75" bestFit="1" customWidth="1"/>
    <col min="489" max="489" width="6.25" bestFit="1" customWidth="1"/>
    <col min="490" max="490" width="3.33203125" bestFit="1" customWidth="1"/>
    <col min="491" max="491" width="6.25" bestFit="1" customWidth="1"/>
    <col min="492" max="492" width="4.75" bestFit="1" customWidth="1"/>
    <col min="493" max="493" width="6.25" bestFit="1" customWidth="1"/>
    <col min="494" max="494" width="3.75" bestFit="1" customWidth="1"/>
    <col min="495" max="496" width="6.25" bestFit="1" customWidth="1"/>
    <col min="497" max="497" width="3.33203125" bestFit="1" customWidth="1"/>
    <col min="498" max="498" width="6.25" bestFit="1" customWidth="1"/>
    <col min="499" max="499" width="4.75" bestFit="1" customWidth="1"/>
    <col min="500" max="500" width="6.25" bestFit="1" customWidth="1"/>
    <col min="501" max="501" width="3.75" bestFit="1" customWidth="1"/>
    <col min="502" max="502" width="6.25" bestFit="1" customWidth="1"/>
    <col min="503" max="503" width="4.75" bestFit="1" customWidth="1"/>
    <col min="504" max="506" width="6.25" bestFit="1" customWidth="1"/>
    <col min="507" max="507" width="3.75" bestFit="1" customWidth="1"/>
    <col min="508" max="508" width="6.25" bestFit="1" customWidth="1"/>
    <col min="509" max="509" width="3.33203125" bestFit="1" customWidth="1"/>
    <col min="510" max="510" width="6.25" bestFit="1" customWidth="1"/>
    <col min="511" max="511" width="4.75" bestFit="1" customWidth="1"/>
    <col min="512" max="513" width="6.25" bestFit="1" customWidth="1"/>
    <col min="514" max="514" width="4.75" bestFit="1" customWidth="1"/>
    <col min="515" max="515" width="6.25" bestFit="1" customWidth="1"/>
    <col min="516" max="516" width="3.33203125" bestFit="1" customWidth="1"/>
    <col min="517" max="517" width="6.25" bestFit="1" customWidth="1"/>
    <col min="518" max="518" width="4.75" bestFit="1" customWidth="1"/>
    <col min="519" max="519" width="6.25" bestFit="1" customWidth="1"/>
    <col min="520" max="520" width="3.75" bestFit="1" customWidth="1"/>
    <col min="521" max="522" width="6.25" bestFit="1" customWidth="1"/>
    <col min="523" max="523" width="3.33203125" bestFit="1" customWidth="1"/>
    <col min="524" max="524" width="6.25" bestFit="1" customWidth="1"/>
    <col min="525" max="525" width="4.75" bestFit="1" customWidth="1"/>
    <col min="526" max="526" width="6.25" bestFit="1" customWidth="1"/>
    <col min="527" max="527" width="3.75" bestFit="1" customWidth="1"/>
    <col min="528" max="528" width="6.25" bestFit="1" customWidth="1"/>
    <col min="529" max="529" width="4.75" bestFit="1" customWidth="1"/>
    <col min="530" max="531" width="6.25" bestFit="1" customWidth="1"/>
    <col min="532" max="532" width="4.75" bestFit="1" customWidth="1"/>
    <col min="533" max="533" width="6.25" bestFit="1" customWidth="1"/>
    <col min="534" max="534" width="3.75" bestFit="1" customWidth="1"/>
    <col min="535" max="535" width="6.25" bestFit="1" customWidth="1"/>
    <col min="536" max="536" width="4.75" bestFit="1" customWidth="1"/>
    <col min="537" max="537" width="6.25" bestFit="1" customWidth="1"/>
    <col min="538" max="538" width="3.33203125" bestFit="1" customWidth="1"/>
    <col min="539" max="542" width="6.25" bestFit="1" customWidth="1"/>
    <col min="543" max="543" width="10.33203125" bestFit="1" customWidth="1"/>
  </cols>
  <sheetData>
    <row r="1" spans="1:16" x14ac:dyDescent="0.4">
      <c r="A1" t="s">
        <v>202</v>
      </c>
      <c r="J1" s="2" t="s">
        <v>218</v>
      </c>
    </row>
    <row r="2" spans="1:16" x14ac:dyDescent="0.4">
      <c r="A2" s="18" t="s">
        <v>219</v>
      </c>
      <c r="J2" s="17" t="s">
        <v>211</v>
      </c>
      <c r="K2" s="17"/>
      <c r="L2" s="17"/>
      <c r="M2" s="17"/>
      <c r="N2" s="17"/>
      <c r="O2" s="17"/>
      <c r="P2" s="17"/>
    </row>
    <row r="3" spans="1:16" x14ac:dyDescent="0.4">
      <c r="A3" s="18" t="s">
        <v>203</v>
      </c>
      <c r="J3" s="16" t="s">
        <v>145</v>
      </c>
      <c r="K3" s="16" t="s">
        <v>25</v>
      </c>
      <c r="L3" s="16" t="s">
        <v>62</v>
      </c>
      <c r="M3" s="16" t="s">
        <v>63</v>
      </c>
      <c r="N3" s="16" t="s">
        <v>64</v>
      </c>
      <c r="O3" s="16" t="s">
        <v>65</v>
      </c>
      <c r="P3" s="16" t="s">
        <v>127</v>
      </c>
    </row>
    <row r="4" spans="1:16" x14ac:dyDescent="0.4">
      <c r="A4" s="50"/>
      <c r="J4" s="17">
        <v>0</v>
      </c>
      <c r="K4" s="17"/>
      <c r="L4" s="17">
        <v>1</v>
      </c>
      <c r="M4" s="17">
        <v>4</v>
      </c>
      <c r="N4" s="17">
        <v>4</v>
      </c>
      <c r="O4" s="17">
        <v>3</v>
      </c>
      <c r="P4" s="17">
        <v>3</v>
      </c>
    </row>
    <row r="5" spans="1:16" x14ac:dyDescent="0.4">
      <c r="A5" s="16" t="s">
        <v>301</v>
      </c>
      <c r="B5" s="16"/>
      <c r="C5" s="16"/>
      <c r="D5" s="16"/>
      <c r="E5" s="16"/>
      <c r="J5" s="17">
        <v>0</v>
      </c>
      <c r="K5" s="17"/>
      <c r="L5" s="17">
        <v>2</v>
      </c>
      <c r="M5" s="17">
        <v>3</v>
      </c>
      <c r="N5" s="17">
        <v>1</v>
      </c>
      <c r="O5" s="17">
        <v>3</v>
      </c>
      <c r="P5" s="17">
        <v>2.25</v>
      </c>
    </row>
    <row r="6" spans="1:16" ht="48" x14ac:dyDescent="0.4">
      <c r="A6" s="26" t="s">
        <v>204</v>
      </c>
      <c r="B6" s="27" t="s">
        <v>210</v>
      </c>
      <c r="C6" s="27" t="s">
        <v>306</v>
      </c>
      <c r="D6" s="51" t="s">
        <v>208</v>
      </c>
      <c r="E6" s="51" t="s">
        <v>209</v>
      </c>
      <c r="J6" s="17">
        <v>0</v>
      </c>
      <c r="K6" s="17"/>
      <c r="L6" s="17">
        <v>1</v>
      </c>
      <c r="M6" s="17">
        <v>3</v>
      </c>
      <c r="N6" s="17">
        <v>2</v>
      </c>
      <c r="O6" s="17">
        <v>3</v>
      </c>
      <c r="P6" s="17">
        <v>2.25</v>
      </c>
    </row>
    <row r="7" spans="1:16" x14ac:dyDescent="0.4">
      <c r="A7" s="17" t="s">
        <v>205</v>
      </c>
      <c r="B7" s="28">
        <f>AVERAGEIFS(Clean_Data!AF:AF, Clean_Data!E:E, 1,Clean_Data!AC:AC, 1)</f>
        <v>2.6962025316455698</v>
      </c>
      <c r="C7" s="28">
        <f>AVERAGEIFS(Clean_Data!AF:AF, Clean_Data!E:E, 1,Clean_Data!AC:AC, 0)</f>
        <v>2.7</v>
      </c>
      <c r="D7" s="52">
        <f>C7-B7</f>
        <v>3.7974683544304E-3</v>
      </c>
      <c r="E7" s="52">
        <f>CORREL(M4:M331,J4:J331)</f>
        <v>-1.7602728929965485E-3</v>
      </c>
      <c r="J7" s="17">
        <v>0</v>
      </c>
      <c r="K7" s="17"/>
      <c r="L7" s="17">
        <v>1</v>
      </c>
      <c r="M7" s="17">
        <v>2</v>
      </c>
      <c r="N7" s="17">
        <v>4</v>
      </c>
      <c r="O7" s="17">
        <v>2</v>
      </c>
      <c r="P7" s="17">
        <v>2.25</v>
      </c>
    </row>
    <row r="8" spans="1:16" x14ac:dyDescent="0.4">
      <c r="A8" s="17" t="s">
        <v>206</v>
      </c>
      <c r="B8" s="28">
        <f>AVERAGEIFS(Clean_Data!AE:AE, Clean_Data!E:E, 1,Clean_Data!AC:AC, 1)</f>
        <v>2.7721518987341773</v>
      </c>
      <c r="C8" s="28">
        <f>AVERAGEIFS(Clean_Data!AE:AE, Clean_Data!E:E, 1,Clean_Data!AC:AC, 0)</f>
        <v>2.7705882352941176</v>
      </c>
      <c r="D8" s="52">
        <f t="shared" ref="D8:D11" si="0">C8-B8</f>
        <v>-1.5636634400597593E-3</v>
      </c>
      <c r="E8" s="52">
        <f>CORREL(L4:L331,J4:J331)</f>
        <v>7.0587377743187851E-4</v>
      </c>
      <c r="J8" s="17">
        <v>0</v>
      </c>
      <c r="K8" s="17"/>
      <c r="L8" s="17">
        <v>2</v>
      </c>
      <c r="M8" s="17">
        <v>3</v>
      </c>
      <c r="N8" s="17">
        <v>4</v>
      </c>
      <c r="O8" s="17">
        <v>4</v>
      </c>
      <c r="P8" s="17">
        <v>3.25</v>
      </c>
    </row>
    <row r="9" spans="1:16" x14ac:dyDescent="0.4">
      <c r="A9" s="17" t="s">
        <v>64</v>
      </c>
      <c r="B9" s="28">
        <f>AVERAGEIFS(Clean_Data!AG:AG, Clean_Data!E:E, 1,Clean_Data!AC:AC, 1)</f>
        <v>2.6708860759493671</v>
      </c>
      <c r="C9" s="28">
        <f>AVERAGEIFS(Clean_Data!AG:AG, Clean_Data!E:E, 1,Clean_Data!AC:AC, 0)</f>
        <v>2.8117647058823527</v>
      </c>
      <c r="D9" s="52">
        <f t="shared" si="0"/>
        <v>0.14087862993298561</v>
      </c>
      <c r="E9" s="52">
        <f>CORREL(N4:N331,J4:J331)</f>
        <v>-6.8488432232988686E-2</v>
      </c>
      <c r="J9" s="17">
        <v>0</v>
      </c>
      <c r="K9" s="17"/>
      <c r="L9" s="17">
        <v>2</v>
      </c>
      <c r="M9" s="17">
        <v>3</v>
      </c>
      <c r="N9" s="17">
        <v>1</v>
      </c>
      <c r="O9" s="17">
        <v>4</v>
      </c>
      <c r="P9" s="17">
        <v>2.5</v>
      </c>
    </row>
    <row r="10" spans="1:16" x14ac:dyDescent="0.4">
      <c r="A10" s="17" t="s">
        <v>207</v>
      </c>
      <c r="B10" s="28">
        <f>AVERAGEIFS(Clean_Data!AH:AH, Clean_Data!E:E, 1,Clean_Data!AC:AC, 1)</f>
        <v>2.8544303797468356</v>
      </c>
      <c r="C10" s="28">
        <f>AVERAGEIFS(Clean_Data!AH:AH, Clean_Data!E:E, 1,Clean_Data!AC:AC, 0)</f>
        <v>2.7411764705882353</v>
      </c>
      <c r="D10" s="52">
        <f t="shared" si="0"/>
        <v>-0.11325390915860023</v>
      </c>
      <c r="E10" s="52">
        <f>CORREL(O4:O331,J4:J331)</f>
        <v>7.9710298314730393E-2</v>
      </c>
      <c r="J10" s="17">
        <v>0</v>
      </c>
      <c r="K10" s="17"/>
      <c r="L10" s="17">
        <v>4</v>
      </c>
      <c r="M10" s="17">
        <v>1</v>
      </c>
      <c r="N10" s="17">
        <v>4</v>
      </c>
      <c r="O10" s="17">
        <v>3</v>
      </c>
      <c r="P10" s="17">
        <v>3</v>
      </c>
    </row>
    <row r="11" spans="1:16" x14ac:dyDescent="0.4">
      <c r="A11" s="17" t="s">
        <v>127</v>
      </c>
      <c r="B11" s="28">
        <f>AVERAGEIFS(Clean_Data!AI:AI, Clean_Data!E:E, 1,Clean_Data!AC:AC, 1)</f>
        <v>2.7484177215189876</v>
      </c>
      <c r="C11" s="28">
        <f>AVERAGEIFS(Clean_Data!AI:AI, Clean_Data!E:E, 1,Clean_Data!AC:AC, 0)</f>
        <v>2.7558823529411764</v>
      </c>
      <c r="D11" s="52">
        <f t="shared" si="0"/>
        <v>7.4646314221888943E-3</v>
      </c>
      <c r="E11" s="52">
        <f>CORREL(P4:P331,J4:J331)</f>
        <v>-7.682532554493123E-3</v>
      </c>
      <c r="J11" s="17">
        <v>0</v>
      </c>
      <c r="K11" s="17"/>
      <c r="L11" s="17">
        <v>4</v>
      </c>
      <c r="M11" s="17">
        <v>2</v>
      </c>
      <c r="N11" s="17">
        <v>4</v>
      </c>
      <c r="O11" s="17">
        <v>3</v>
      </c>
      <c r="P11" s="17">
        <v>3.25</v>
      </c>
    </row>
    <row r="12" spans="1:16" x14ac:dyDescent="0.4">
      <c r="J12" s="17">
        <v>0</v>
      </c>
      <c r="K12" s="17"/>
      <c r="L12" s="17">
        <v>4</v>
      </c>
      <c r="M12" s="17">
        <v>2</v>
      </c>
      <c r="N12" s="17">
        <v>1</v>
      </c>
      <c r="O12" s="17">
        <v>3</v>
      </c>
      <c r="P12" s="17">
        <v>2.5</v>
      </c>
    </row>
    <row r="13" spans="1:16" x14ac:dyDescent="0.4">
      <c r="J13" s="17">
        <v>0</v>
      </c>
      <c r="K13" s="17"/>
      <c r="L13" s="17">
        <v>4</v>
      </c>
      <c r="M13" s="17">
        <v>3</v>
      </c>
      <c r="N13" s="17">
        <v>4</v>
      </c>
      <c r="O13" s="17">
        <v>2</v>
      </c>
      <c r="P13" s="17">
        <v>3.25</v>
      </c>
    </row>
    <row r="14" spans="1:16" x14ac:dyDescent="0.4">
      <c r="A14" s="2" t="s">
        <v>163</v>
      </c>
      <c r="J14" s="17">
        <v>0</v>
      </c>
      <c r="K14" s="17"/>
      <c r="L14" s="17">
        <v>3</v>
      </c>
      <c r="M14" s="17">
        <v>2</v>
      </c>
      <c r="N14" s="17">
        <v>1</v>
      </c>
      <c r="O14" s="17">
        <v>3</v>
      </c>
      <c r="P14" s="17">
        <v>2.25</v>
      </c>
    </row>
    <row r="15" spans="1:16" x14ac:dyDescent="0.4">
      <c r="A15" t="s">
        <v>205</v>
      </c>
      <c r="B15" s="11" t="s">
        <v>212</v>
      </c>
      <c r="J15" s="17">
        <v>0</v>
      </c>
      <c r="K15" s="17"/>
      <c r="L15" s="17">
        <v>3</v>
      </c>
      <c r="M15" s="17">
        <v>2</v>
      </c>
      <c r="N15" s="17">
        <v>1</v>
      </c>
      <c r="O15" s="17">
        <v>3</v>
      </c>
      <c r="P15" s="17">
        <v>2.25</v>
      </c>
    </row>
    <row r="16" spans="1:16" x14ac:dyDescent="0.4">
      <c r="A16" t="s">
        <v>206</v>
      </c>
      <c r="B16" s="11" t="s">
        <v>213</v>
      </c>
      <c r="J16" s="17">
        <v>0</v>
      </c>
      <c r="K16" s="17"/>
      <c r="L16" s="17">
        <v>3</v>
      </c>
      <c r="M16" s="17">
        <v>1</v>
      </c>
      <c r="N16" s="17">
        <v>4</v>
      </c>
      <c r="O16" s="17">
        <v>2</v>
      </c>
      <c r="P16" s="17">
        <v>2.5</v>
      </c>
    </row>
    <row r="17" spans="1:16" x14ac:dyDescent="0.4">
      <c r="A17" t="s">
        <v>64</v>
      </c>
      <c r="B17" s="11" t="s">
        <v>214</v>
      </c>
      <c r="J17" s="17">
        <v>0</v>
      </c>
      <c r="K17" s="17"/>
      <c r="L17" s="17">
        <v>3</v>
      </c>
      <c r="M17" s="17">
        <v>4</v>
      </c>
      <c r="N17" s="17">
        <v>2</v>
      </c>
      <c r="O17" s="17">
        <v>3</v>
      </c>
      <c r="P17" s="17">
        <v>3</v>
      </c>
    </row>
    <row r="18" spans="1:16" x14ac:dyDescent="0.4">
      <c r="A18" t="s">
        <v>207</v>
      </c>
      <c r="B18" s="11" t="s">
        <v>215</v>
      </c>
      <c r="J18" s="17">
        <v>0</v>
      </c>
      <c r="K18" s="17"/>
      <c r="L18" s="17">
        <v>4</v>
      </c>
      <c r="M18" s="17">
        <v>1</v>
      </c>
      <c r="N18" s="17">
        <v>2</v>
      </c>
      <c r="O18" s="17">
        <v>1</v>
      </c>
      <c r="P18" s="17">
        <v>2</v>
      </c>
    </row>
    <row r="19" spans="1:16" x14ac:dyDescent="0.4">
      <c r="A19" t="s">
        <v>127</v>
      </c>
      <c r="B19" s="11" t="s">
        <v>216</v>
      </c>
      <c r="J19" s="17">
        <v>0</v>
      </c>
      <c r="K19" s="17"/>
      <c r="L19" s="17">
        <v>1</v>
      </c>
      <c r="M19" s="17">
        <v>2</v>
      </c>
      <c r="N19" s="17">
        <v>1</v>
      </c>
      <c r="O19" s="17">
        <v>3</v>
      </c>
      <c r="P19" s="17">
        <v>1.75</v>
      </c>
    </row>
    <row r="20" spans="1:16" x14ac:dyDescent="0.4">
      <c r="A20" s="2" t="s">
        <v>217</v>
      </c>
      <c r="J20" s="17">
        <v>0</v>
      </c>
      <c r="K20" s="17"/>
      <c r="L20" s="17">
        <v>2</v>
      </c>
      <c r="M20" s="17">
        <v>3</v>
      </c>
      <c r="N20" s="17">
        <v>4</v>
      </c>
      <c r="O20" s="17">
        <v>3</v>
      </c>
      <c r="P20" s="17">
        <v>3</v>
      </c>
    </row>
    <row r="21" spans="1:16" x14ac:dyDescent="0.4">
      <c r="J21" s="17">
        <v>0</v>
      </c>
      <c r="K21" s="17"/>
      <c r="L21" s="17">
        <v>1</v>
      </c>
      <c r="M21" s="17">
        <v>4</v>
      </c>
      <c r="N21" s="17">
        <v>4</v>
      </c>
      <c r="O21" s="17">
        <v>3</v>
      </c>
      <c r="P21" s="17">
        <v>3</v>
      </c>
    </row>
    <row r="22" spans="1:16" x14ac:dyDescent="0.4">
      <c r="J22" s="17">
        <v>0</v>
      </c>
      <c r="K22" s="17"/>
      <c r="L22" s="17">
        <v>4</v>
      </c>
      <c r="M22" s="17">
        <v>4</v>
      </c>
      <c r="N22" s="17">
        <v>3</v>
      </c>
      <c r="O22" s="17">
        <v>4</v>
      </c>
      <c r="P22" s="17">
        <v>3.75</v>
      </c>
    </row>
    <row r="23" spans="1:16" x14ac:dyDescent="0.4">
      <c r="J23" s="17">
        <v>1</v>
      </c>
      <c r="K23" s="17" t="s">
        <v>49</v>
      </c>
      <c r="L23" s="17">
        <v>4</v>
      </c>
      <c r="M23" s="17">
        <v>3</v>
      </c>
      <c r="N23" s="17">
        <v>2</v>
      </c>
      <c r="O23" s="17">
        <v>3</v>
      </c>
      <c r="P23" s="17">
        <v>3</v>
      </c>
    </row>
    <row r="24" spans="1:16" x14ac:dyDescent="0.4">
      <c r="J24" s="17">
        <v>0</v>
      </c>
      <c r="K24" s="17" t="s">
        <v>49</v>
      </c>
      <c r="L24" s="17">
        <v>1</v>
      </c>
      <c r="M24" s="17">
        <v>3</v>
      </c>
      <c r="N24" s="17">
        <v>3</v>
      </c>
      <c r="O24" s="17">
        <v>4</v>
      </c>
      <c r="P24" s="17">
        <v>2.75</v>
      </c>
    </row>
    <row r="25" spans="1:16" x14ac:dyDescent="0.4">
      <c r="J25" s="17">
        <v>0</v>
      </c>
      <c r="K25" s="17" t="s">
        <v>49</v>
      </c>
      <c r="L25" s="17">
        <v>1</v>
      </c>
      <c r="M25" s="17">
        <v>4</v>
      </c>
      <c r="N25" s="17">
        <v>2</v>
      </c>
      <c r="O25" s="17">
        <v>3</v>
      </c>
      <c r="P25" s="17">
        <v>2.5</v>
      </c>
    </row>
    <row r="26" spans="1:16" x14ac:dyDescent="0.4">
      <c r="J26" s="17">
        <v>1</v>
      </c>
      <c r="K26" s="17" t="s">
        <v>49</v>
      </c>
      <c r="L26" s="17">
        <v>2</v>
      </c>
      <c r="M26" s="17">
        <v>2</v>
      </c>
      <c r="N26" s="17">
        <v>3</v>
      </c>
      <c r="O26" s="17">
        <v>3</v>
      </c>
      <c r="P26" s="17">
        <v>2.5</v>
      </c>
    </row>
    <row r="27" spans="1:16" x14ac:dyDescent="0.4">
      <c r="J27" s="17">
        <v>1</v>
      </c>
      <c r="K27" s="17" t="s">
        <v>38</v>
      </c>
      <c r="L27" s="17">
        <v>4</v>
      </c>
      <c r="M27" s="17">
        <v>1</v>
      </c>
      <c r="N27" s="17">
        <v>2</v>
      </c>
      <c r="O27" s="17">
        <v>4</v>
      </c>
      <c r="P27" s="17">
        <v>2.75</v>
      </c>
    </row>
    <row r="28" spans="1:16" x14ac:dyDescent="0.4">
      <c r="J28" s="17">
        <v>1</v>
      </c>
      <c r="K28" s="17" t="s">
        <v>49</v>
      </c>
      <c r="L28" s="17">
        <v>1</v>
      </c>
      <c r="M28" s="17">
        <v>3</v>
      </c>
      <c r="N28" s="17">
        <v>1</v>
      </c>
      <c r="O28" s="17">
        <v>4</v>
      </c>
      <c r="P28" s="17">
        <v>2.25</v>
      </c>
    </row>
    <row r="29" spans="1:16" x14ac:dyDescent="0.4">
      <c r="J29" s="17">
        <v>1</v>
      </c>
      <c r="K29" s="17" t="s">
        <v>38</v>
      </c>
      <c r="L29" s="17">
        <v>1</v>
      </c>
      <c r="M29" s="17">
        <v>2</v>
      </c>
      <c r="N29" s="17">
        <v>3</v>
      </c>
      <c r="O29" s="17">
        <v>3</v>
      </c>
      <c r="P29" s="17">
        <v>2.25</v>
      </c>
    </row>
    <row r="30" spans="1:16" x14ac:dyDescent="0.4">
      <c r="J30" s="17">
        <v>1</v>
      </c>
      <c r="K30" s="17" t="s">
        <v>38</v>
      </c>
      <c r="L30" s="17">
        <v>4</v>
      </c>
      <c r="M30" s="17">
        <v>4</v>
      </c>
      <c r="N30" s="17">
        <v>1</v>
      </c>
      <c r="O30" s="17">
        <v>2</v>
      </c>
      <c r="P30" s="17">
        <v>2.75</v>
      </c>
    </row>
    <row r="31" spans="1:16" x14ac:dyDescent="0.4">
      <c r="J31" s="17">
        <v>0</v>
      </c>
      <c r="K31" s="17" t="s">
        <v>38</v>
      </c>
      <c r="L31" s="17">
        <v>3</v>
      </c>
      <c r="M31" s="17">
        <v>4</v>
      </c>
      <c r="N31" s="17">
        <v>4</v>
      </c>
      <c r="O31" s="17">
        <v>4</v>
      </c>
      <c r="P31" s="17">
        <v>3.75</v>
      </c>
    </row>
    <row r="32" spans="1:16" x14ac:dyDescent="0.4">
      <c r="J32" s="17">
        <v>0</v>
      </c>
      <c r="K32" s="17" t="s">
        <v>49</v>
      </c>
      <c r="L32" s="17">
        <v>1</v>
      </c>
      <c r="M32" s="17">
        <v>3</v>
      </c>
      <c r="N32" s="17">
        <v>3</v>
      </c>
      <c r="O32" s="17">
        <v>3</v>
      </c>
      <c r="P32" s="17">
        <v>2.5</v>
      </c>
    </row>
    <row r="33" spans="10:16" x14ac:dyDescent="0.4">
      <c r="J33" s="17">
        <v>0</v>
      </c>
      <c r="K33" s="17" t="s">
        <v>38</v>
      </c>
      <c r="L33" s="17">
        <v>2</v>
      </c>
      <c r="M33" s="17">
        <v>2</v>
      </c>
      <c r="N33" s="17">
        <v>4</v>
      </c>
      <c r="O33" s="17">
        <v>3</v>
      </c>
      <c r="P33" s="17">
        <v>2.75</v>
      </c>
    </row>
    <row r="34" spans="10:16" x14ac:dyDescent="0.4">
      <c r="J34" s="17">
        <v>0</v>
      </c>
      <c r="K34" s="17" t="s">
        <v>38</v>
      </c>
      <c r="L34" s="17">
        <v>4</v>
      </c>
      <c r="M34" s="17">
        <v>1</v>
      </c>
      <c r="N34" s="17">
        <v>2</v>
      </c>
      <c r="O34" s="17">
        <v>2</v>
      </c>
      <c r="P34" s="17">
        <v>2.25</v>
      </c>
    </row>
    <row r="35" spans="10:16" x14ac:dyDescent="0.4">
      <c r="J35" s="17">
        <v>1</v>
      </c>
      <c r="K35" s="17" t="s">
        <v>49</v>
      </c>
      <c r="L35" s="17">
        <v>4</v>
      </c>
      <c r="M35" s="17">
        <v>3</v>
      </c>
      <c r="N35" s="17">
        <v>1</v>
      </c>
      <c r="O35" s="17">
        <v>3</v>
      </c>
      <c r="P35" s="17">
        <v>2.75</v>
      </c>
    </row>
    <row r="36" spans="10:16" x14ac:dyDescent="0.4">
      <c r="J36" s="17">
        <v>1</v>
      </c>
      <c r="K36" s="17" t="s">
        <v>49</v>
      </c>
      <c r="L36" s="17">
        <v>2</v>
      </c>
      <c r="M36" s="17">
        <v>3</v>
      </c>
      <c r="N36" s="17">
        <v>3</v>
      </c>
      <c r="O36" s="17">
        <v>3</v>
      </c>
      <c r="P36" s="17">
        <v>2.75</v>
      </c>
    </row>
    <row r="37" spans="10:16" x14ac:dyDescent="0.4">
      <c r="J37" s="17">
        <v>0</v>
      </c>
      <c r="K37" s="17" t="s">
        <v>49</v>
      </c>
      <c r="L37" s="17">
        <v>3</v>
      </c>
      <c r="M37" s="17">
        <v>2</v>
      </c>
      <c r="N37" s="17">
        <v>4</v>
      </c>
      <c r="O37" s="17">
        <v>3</v>
      </c>
      <c r="P37" s="17">
        <v>3</v>
      </c>
    </row>
    <row r="38" spans="10:16" x14ac:dyDescent="0.4">
      <c r="J38" s="17">
        <v>1</v>
      </c>
      <c r="K38" s="17" t="s">
        <v>38</v>
      </c>
      <c r="L38" s="17">
        <v>4</v>
      </c>
      <c r="M38" s="17">
        <v>3</v>
      </c>
      <c r="N38" s="17">
        <v>3</v>
      </c>
      <c r="O38" s="17">
        <v>2</v>
      </c>
      <c r="P38" s="17">
        <v>3</v>
      </c>
    </row>
    <row r="39" spans="10:16" x14ac:dyDescent="0.4">
      <c r="J39" s="17">
        <v>1</v>
      </c>
      <c r="K39" s="17" t="s">
        <v>49</v>
      </c>
      <c r="L39" s="17">
        <v>3</v>
      </c>
      <c r="M39" s="17">
        <v>3</v>
      </c>
      <c r="N39" s="17">
        <v>1</v>
      </c>
      <c r="O39" s="17">
        <v>3</v>
      </c>
      <c r="P39" s="17">
        <v>2.5</v>
      </c>
    </row>
    <row r="40" spans="10:16" x14ac:dyDescent="0.4">
      <c r="J40" s="17">
        <v>0</v>
      </c>
      <c r="K40" s="17" t="s">
        <v>49</v>
      </c>
      <c r="L40" s="17">
        <v>1</v>
      </c>
      <c r="M40" s="17">
        <v>4</v>
      </c>
      <c r="N40" s="17">
        <v>4</v>
      </c>
      <c r="O40" s="17">
        <v>3</v>
      </c>
      <c r="P40" s="17">
        <v>3</v>
      </c>
    </row>
    <row r="41" spans="10:16" x14ac:dyDescent="0.4">
      <c r="J41" s="17">
        <v>0</v>
      </c>
      <c r="K41" s="17" t="s">
        <v>38</v>
      </c>
      <c r="L41" s="17">
        <v>4</v>
      </c>
      <c r="M41" s="17">
        <v>3</v>
      </c>
      <c r="N41" s="17">
        <v>2</v>
      </c>
      <c r="O41" s="17">
        <v>3</v>
      </c>
      <c r="P41" s="17">
        <v>3</v>
      </c>
    </row>
    <row r="42" spans="10:16" x14ac:dyDescent="0.4">
      <c r="J42" s="17">
        <v>0</v>
      </c>
      <c r="K42" s="17" t="s">
        <v>49</v>
      </c>
      <c r="L42" s="17">
        <v>4</v>
      </c>
      <c r="M42" s="17">
        <v>4</v>
      </c>
      <c r="N42" s="17">
        <v>1</v>
      </c>
      <c r="O42" s="17">
        <v>1</v>
      </c>
      <c r="P42" s="17">
        <v>2.5</v>
      </c>
    </row>
    <row r="43" spans="10:16" x14ac:dyDescent="0.4">
      <c r="J43" s="17">
        <v>0</v>
      </c>
      <c r="K43" s="17" t="s">
        <v>38</v>
      </c>
      <c r="L43" s="17">
        <v>3</v>
      </c>
      <c r="M43" s="17">
        <v>1</v>
      </c>
      <c r="N43" s="17">
        <v>3</v>
      </c>
      <c r="O43" s="17">
        <v>3</v>
      </c>
      <c r="P43" s="17">
        <v>2.5</v>
      </c>
    </row>
    <row r="44" spans="10:16" x14ac:dyDescent="0.4">
      <c r="J44" s="17">
        <v>0</v>
      </c>
      <c r="K44" s="17" t="s">
        <v>49</v>
      </c>
      <c r="L44" s="17">
        <v>4</v>
      </c>
      <c r="M44" s="17">
        <v>4</v>
      </c>
      <c r="N44" s="17">
        <v>1</v>
      </c>
      <c r="O44" s="17">
        <v>3</v>
      </c>
      <c r="P44" s="17">
        <v>3</v>
      </c>
    </row>
    <row r="45" spans="10:16" x14ac:dyDescent="0.4">
      <c r="J45" s="17">
        <v>0</v>
      </c>
      <c r="K45" s="17" t="s">
        <v>38</v>
      </c>
      <c r="L45" s="17">
        <v>3</v>
      </c>
      <c r="M45" s="17">
        <v>3</v>
      </c>
      <c r="N45" s="17">
        <v>3</v>
      </c>
      <c r="O45" s="17">
        <v>3</v>
      </c>
      <c r="P45" s="17">
        <v>3</v>
      </c>
    </row>
    <row r="46" spans="10:16" x14ac:dyDescent="0.4">
      <c r="J46" s="17">
        <v>0</v>
      </c>
      <c r="K46" s="17" t="s">
        <v>38</v>
      </c>
      <c r="L46" s="17">
        <v>2</v>
      </c>
      <c r="M46" s="17">
        <v>2</v>
      </c>
      <c r="N46" s="17">
        <v>4</v>
      </c>
      <c r="O46" s="17">
        <v>1</v>
      </c>
      <c r="P46" s="17">
        <v>2.25</v>
      </c>
    </row>
    <row r="47" spans="10:16" x14ac:dyDescent="0.4">
      <c r="J47" s="17">
        <v>1</v>
      </c>
      <c r="K47" s="17" t="s">
        <v>49</v>
      </c>
      <c r="L47" s="17">
        <v>2</v>
      </c>
      <c r="M47" s="17">
        <v>4</v>
      </c>
      <c r="N47" s="17">
        <v>3</v>
      </c>
      <c r="O47" s="17">
        <v>3</v>
      </c>
      <c r="P47" s="17">
        <v>3</v>
      </c>
    </row>
    <row r="48" spans="10:16" x14ac:dyDescent="0.4">
      <c r="J48" s="17">
        <v>1</v>
      </c>
      <c r="K48" s="17" t="s">
        <v>49</v>
      </c>
      <c r="L48" s="17">
        <v>3</v>
      </c>
      <c r="M48" s="17">
        <v>3</v>
      </c>
      <c r="N48" s="17">
        <v>4</v>
      </c>
      <c r="O48" s="17">
        <v>3</v>
      </c>
      <c r="P48" s="17">
        <v>3.25</v>
      </c>
    </row>
    <row r="49" spans="10:16" x14ac:dyDescent="0.4">
      <c r="J49" s="17">
        <v>0</v>
      </c>
      <c r="K49" s="17" t="s">
        <v>38</v>
      </c>
      <c r="L49" s="17">
        <v>3</v>
      </c>
      <c r="M49" s="17">
        <v>4</v>
      </c>
      <c r="N49" s="17">
        <v>4</v>
      </c>
      <c r="O49" s="17">
        <v>3</v>
      </c>
      <c r="P49" s="17">
        <v>3.5</v>
      </c>
    </row>
    <row r="50" spans="10:16" x14ac:dyDescent="0.4">
      <c r="J50" s="17">
        <v>1</v>
      </c>
      <c r="K50" s="17" t="s">
        <v>38</v>
      </c>
      <c r="L50" s="17">
        <v>1</v>
      </c>
      <c r="M50" s="17">
        <v>3</v>
      </c>
      <c r="N50" s="17">
        <v>4</v>
      </c>
      <c r="O50" s="17">
        <v>4</v>
      </c>
      <c r="P50" s="17">
        <v>3</v>
      </c>
    </row>
    <row r="51" spans="10:16" x14ac:dyDescent="0.4">
      <c r="J51" s="17">
        <v>0</v>
      </c>
      <c r="K51" s="17" t="s">
        <v>38</v>
      </c>
      <c r="L51" s="17">
        <v>3</v>
      </c>
      <c r="M51" s="17">
        <v>4</v>
      </c>
      <c r="N51" s="17">
        <v>3</v>
      </c>
      <c r="O51" s="17">
        <v>3</v>
      </c>
      <c r="P51" s="17">
        <v>3.25</v>
      </c>
    </row>
    <row r="52" spans="10:16" x14ac:dyDescent="0.4">
      <c r="J52" s="17">
        <v>1</v>
      </c>
      <c r="K52" s="17" t="s">
        <v>49</v>
      </c>
      <c r="L52" s="17">
        <v>2</v>
      </c>
      <c r="M52" s="17">
        <v>3</v>
      </c>
      <c r="N52" s="17">
        <v>1</v>
      </c>
      <c r="O52" s="17">
        <v>3</v>
      </c>
      <c r="P52" s="17">
        <v>2.25</v>
      </c>
    </row>
    <row r="53" spans="10:16" x14ac:dyDescent="0.4">
      <c r="J53" s="17">
        <v>1</v>
      </c>
      <c r="K53" s="17" t="s">
        <v>38</v>
      </c>
      <c r="L53" s="17">
        <v>4</v>
      </c>
      <c r="M53" s="17">
        <v>1</v>
      </c>
      <c r="N53" s="17">
        <v>2</v>
      </c>
      <c r="O53" s="17">
        <v>3</v>
      </c>
      <c r="P53" s="17">
        <v>2.5</v>
      </c>
    </row>
    <row r="54" spans="10:16" x14ac:dyDescent="0.4">
      <c r="J54" s="17">
        <v>1</v>
      </c>
      <c r="K54" s="17" t="s">
        <v>49</v>
      </c>
      <c r="L54" s="17">
        <v>1</v>
      </c>
      <c r="M54" s="17">
        <v>3</v>
      </c>
      <c r="N54" s="17">
        <v>4</v>
      </c>
      <c r="O54" s="17">
        <v>3</v>
      </c>
      <c r="P54" s="17">
        <v>2.75</v>
      </c>
    </row>
    <row r="55" spans="10:16" x14ac:dyDescent="0.4">
      <c r="J55" s="17">
        <v>0</v>
      </c>
      <c r="K55" s="17" t="s">
        <v>49</v>
      </c>
      <c r="L55" s="17">
        <v>1</v>
      </c>
      <c r="M55" s="17">
        <v>3</v>
      </c>
      <c r="N55" s="17">
        <v>4</v>
      </c>
      <c r="O55" s="17">
        <v>3</v>
      </c>
      <c r="P55" s="17">
        <v>2.75</v>
      </c>
    </row>
    <row r="56" spans="10:16" x14ac:dyDescent="0.4">
      <c r="J56" s="17">
        <v>0</v>
      </c>
      <c r="K56" s="17" t="s">
        <v>49</v>
      </c>
      <c r="L56" s="17">
        <v>4</v>
      </c>
      <c r="M56" s="17">
        <v>1</v>
      </c>
      <c r="N56" s="17">
        <v>3</v>
      </c>
      <c r="O56" s="17">
        <v>3</v>
      </c>
      <c r="P56" s="17">
        <v>2.75</v>
      </c>
    </row>
    <row r="57" spans="10:16" x14ac:dyDescent="0.4">
      <c r="J57" s="17">
        <v>1</v>
      </c>
      <c r="K57" s="17" t="s">
        <v>38</v>
      </c>
      <c r="L57" s="17">
        <v>1</v>
      </c>
      <c r="M57" s="17">
        <v>2</v>
      </c>
      <c r="N57" s="17">
        <v>1</v>
      </c>
      <c r="O57" s="17">
        <v>2</v>
      </c>
      <c r="P57" s="17">
        <v>1.5</v>
      </c>
    </row>
    <row r="58" spans="10:16" x14ac:dyDescent="0.4">
      <c r="J58" s="17">
        <v>0</v>
      </c>
      <c r="K58" s="17" t="s">
        <v>38</v>
      </c>
      <c r="L58" s="17">
        <v>3</v>
      </c>
      <c r="M58" s="17">
        <v>3</v>
      </c>
      <c r="N58" s="17">
        <v>4</v>
      </c>
      <c r="O58" s="17">
        <v>2</v>
      </c>
      <c r="P58" s="17">
        <v>3</v>
      </c>
    </row>
    <row r="59" spans="10:16" x14ac:dyDescent="0.4">
      <c r="J59" s="17">
        <v>0</v>
      </c>
      <c r="K59" s="17" t="s">
        <v>49</v>
      </c>
      <c r="L59" s="17">
        <v>4</v>
      </c>
      <c r="M59" s="17">
        <v>2</v>
      </c>
      <c r="N59" s="17">
        <v>4</v>
      </c>
      <c r="O59" s="17">
        <v>3</v>
      </c>
      <c r="P59" s="17">
        <v>3.25</v>
      </c>
    </row>
    <row r="60" spans="10:16" x14ac:dyDescent="0.4">
      <c r="J60" s="17">
        <v>0</v>
      </c>
      <c r="K60" s="17" t="s">
        <v>38</v>
      </c>
      <c r="L60" s="17">
        <v>4</v>
      </c>
      <c r="M60" s="17">
        <v>2</v>
      </c>
      <c r="N60" s="17">
        <v>2</v>
      </c>
      <c r="O60" s="17">
        <v>3</v>
      </c>
      <c r="P60" s="17">
        <v>2.75</v>
      </c>
    </row>
    <row r="61" spans="10:16" x14ac:dyDescent="0.4">
      <c r="J61" s="17">
        <v>0</v>
      </c>
      <c r="K61" s="17" t="s">
        <v>49</v>
      </c>
      <c r="L61" s="17">
        <v>3</v>
      </c>
      <c r="M61" s="17">
        <v>1</v>
      </c>
      <c r="N61" s="17">
        <v>4</v>
      </c>
      <c r="O61" s="17">
        <v>3</v>
      </c>
      <c r="P61" s="17">
        <v>2.75</v>
      </c>
    </row>
    <row r="62" spans="10:16" x14ac:dyDescent="0.4">
      <c r="J62" s="17">
        <v>1</v>
      </c>
      <c r="K62" s="17" t="s">
        <v>38</v>
      </c>
      <c r="L62" s="17">
        <v>3</v>
      </c>
      <c r="M62" s="17">
        <v>4</v>
      </c>
      <c r="N62" s="17">
        <v>1</v>
      </c>
      <c r="O62" s="17">
        <v>3</v>
      </c>
      <c r="P62" s="17">
        <v>2.75</v>
      </c>
    </row>
    <row r="63" spans="10:16" x14ac:dyDescent="0.4">
      <c r="J63" s="17">
        <v>1</v>
      </c>
      <c r="K63" s="17" t="s">
        <v>38</v>
      </c>
      <c r="L63" s="17">
        <v>4</v>
      </c>
      <c r="M63" s="17">
        <v>3</v>
      </c>
      <c r="N63" s="17">
        <v>2</v>
      </c>
      <c r="O63" s="17">
        <v>3</v>
      </c>
      <c r="P63" s="17">
        <v>3</v>
      </c>
    </row>
    <row r="64" spans="10:16" x14ac:dyDescent="0.4">
      <c r="J64" s="17">
        <v>1</v>
      </c>
      <c r="K64" s="17" t="s">
        <v>49</v>
      </c>
      <c r="L64" s="17">
        <v>4</v>
      </c>
      <c r="M64" s="17">
        <v>4</v>
      </c>
      <c r="N64" s="17">
        <v>3</v>
      </c>
      <c r="O64" s="17">
        <v>2</v>
      </c>
      <c r="P64" s="17">
        <v>3.25</v>
      </c>
    </row>
    <row r="65" spans="10:16" x14ac:dyDescent="0.4">
      <c r="J65" s="17">
        <v>0</v>
      </c>
      <c r="K65" s="17" t="s">
        <v>49</v>
      </c>
      <c r="L65" s="17">
        <v>3</v>
      </c>
      <c r="M65" s="17">
        <v>4</v>
      </c>
      <c r="N65" s="17">
        <v>2</v>
      </c>
      <c r="O65" s="17">
        <v>3</v>
      </c>
      <c r="P65" s="17">
        <v>3</v>
      </c>
    </row>
    <row r="66" spans="10:16" x14ac:dyDescent="0.4">
      <c r="J66" s="17">
        <v>0</v>
      </c>
      <c r="K66" s="17" t="s">
        <v>49</v>
      </c>
      <c r="L66" s="17">
        <v>3</v>
      </c>
      <c r="M66" s="17">
        <v>2</v>
      </c>
      <c r="N66" s="17">
        <v>4</v>
      </c>
      <c r="O66" s="17">
        <v>3</v>
      </c>
      <c r="P66" s="17">
        <v>3</v>
      </c>
    </row>
    <row r="67" spans="10:16" x14ac:dyDescent="0.4">
      <c r="J67" s="17">
        <v>1</v>
      </c>
      <c r="K67" s="17" t="s">
        <v>38</v>
      </c>
      <c r="L67" s="17">
        <v>4</v>
      </c>
      <c r="M67" s="17">
        <v>2</v>
      </c>
      <c r="N67" s="17">
        <v>4</v>
      </c>
      <c r="O67" s="17">
        <v>3</v>
      </c>
      <c r="P67" s="17">
        <v>3.25</v>
      </c>
    </row>
    <row r="68" spans="10:16" x14ac:dyDescent="0.4">
      <c r="J68" s="17">
        <v>0</v>
      </c>
      <c r="K68" s="17" t="s">
        <v>38</v>
      </c>
      <c r="L68" s="17">
        <v>3</v>
      </c>
      <c r="M68" s="17">
        <v>2</v>
      </c>
      <c r="N68" s="17">
        <v>4</v>
      </c>
      <c r="O68" s="17">
        <v>2</v>
      </c>
      <c r="P68" s="17">
        <v>2.75</v>
      </c>
    </row>
    <row r="69" spans="10:16" x14ac:dyDescent="0.4">
      <c r="J69" s="17">
        <v>1</v>
      </c>
      <c r="K69" s="17" t="s">
        <v>38</v>
      </c>
      <c r="L69" s="17">
        <v>1</v>
      </c>
      <c r="M69" s="17">
        <v>2</v>
      </c>
      <c r="N69" s="17">
        <v>3</v>
      </c>
      <c r="O69" s="17">
        <v>3</v>
      </c>
      <c r="P69" s="17">
        <v>2.25</v>
      </c>
    </row>
    <row r="70" spans="10:16" x14ac:dyDescent="0.4">
      <c r="J70" s="17">
        <v>0</v>
      </c>
      <c r="K70" s="17" t="s">
        <v>38</v>
      </c>
      <c r="L70" s="17">
        <v>1</v>
      </c>
      <c r="M70" s="17">
        <v>1</v>
      </c>
      <c r="N70" s="17">
        <v>3</v>
      </c>
      <c r="O70" s="17">
        <v>2</v>
      </c>
      <c r="P70" s="17">
        <v>1.75</v>
      </c>
    </row>
    <row r="71" spans="10:16" x14ac:dyDescent="0.4">
      <c r="J71" s="17">
        <v>1</v>
      </c>
      <c r="K71" s="17" t="s">
        <v>38</v>
      </c>
      <c r="L71" s="17">
        <v>1</v>
      </c>
      <c r="M71" s="17">
        <v>3</v>
      </c>
      <c r="N71" s="17">
        <v>4</v>
      </c>
      <c r="O71" s="17">
        <v>2</v>
      </c>
      <c r="P71" s="17">
        <v>2.5</v>
      </c>
    </row>
    <row r="72" spans="10:16" x14ac:dyDescent="0.4">
      <c r="J72" s="17">
        <v>0</v>
      </c>
      <c r="K72" s="17" t="s">
        <v>38</v>
      </c>
      <c r="L72" s="17">
        <v>2</v>
      </c>
      <c r="M72" s="17">
        <v>3</v>
      </c>
      <c r="N72" s="17">
        <v>3</v>
      </c>
      <c r="O72" s="17">
        <v>3</v>
      </c>
      <c r="P72" s="17">
        <v>2.75</v>
      </c>
    </row>
    <row r="73" spans="10:16" x14ac:dyDescent="0.4">
      <c r="J73" s="17">
        <v>0</v>
      </c>
      <c r="K73" s="17" t="s">
        <v>38</v>
      </c>
      <c r="L73" s="17">
        <v>4</v>
      </c>
      <c r="M73" s="17">
        <v>3</v>
      </c>
      <c r="N73" s="17">
        <v>3</v>
      </c>
      <c r="O73" s="17">
        <v>3</v>
      </c>
      <c r="P73" s="17">
        <v>3.25</v>
      </c>
    </row>
    <row r="74" spans="10:16" x14ac:dyDescent="0.4">
      <c r="J74" s="17">
        <v>1</v>
      </c>
      <c r="K74" s="17" t="s">
        <v>49</v>
      </c>
      <c r="L74" s="17">
        <v>2</v>
      </c>
      <c r="M74" s="17">
        <v>3</v>
      </c>
      <c r="N74" s="17">
        <v>3</v>
      </c>
      <c r="O74" s="17">
        <v>3</v>
      </c>
      <c r="P74" s="17">
        <v>2.75</v>
      </c>
    </row>
    <row r="75" spans="10:16" x14ac:dyDescent="0.4">
      <c r="J75" s="17">
        <v>1</v>
      </c>
      <c r="K75" s="17" t="s">
        <v>38</v>
      </c>
      <c r="L75" s="17">
        <v>1</v>
      </c>
      <c r="M75" s="17">
        <v>4</v>
      </c>
      <c r="N75" s="17">
        <v>3</v>
      </c>
      <c r="O75" s="17">
        <v>2</v>
      </c>
      <c r="P75" s="17">
        <v>2.5</v>
      </c>
    </row>
    <row r="76" spans="10:16" x14ac:dyDescent="0.4">
      <c r="J76" s="17">
        <v>0</v>
      </c>
      <c r="K76" s="17" t="s">
        <v>38</v>
      </c>
      <c r="L76" s="17">
        <v>2</v>
      </c>
      <c r="M76" s="17">
        <v>3</v>
      </c>
      <c r="N76" s="17">
        <v>2</v>
      </c>
      <c r="O76" s="17">
        <v>3</v>
      </c>
      <c r="P76" s="17">
        <v>2.5</v>
      </c>
    </row>
    <row r="77" spans="10:16" x14ac:dyDescent="0.4">
      <c r="J77" s="17">
        <v>1</v>
      </c>
      <c r="K77" s="17" t="s">
        <v>38</v>
      </c>
      <c r="L77" s="17">
        <v>1</v>
      </c>
      <c r="M77" s="17">
        <v>3</v>
      </c>
      <c r="N77" s="17">
        <v>3</v>
      </c>
      <c r="O77" s="17">
        <v>1</v>
      </c>
      <c r="P77" s="17">
        <v>2</v>
      </c>
    </row>
    <row r="78" spans="10:16" x14ac:dyDescent="0.4">
      <c r="J78" s="17">
        <v>1</v>
      </c>
      <c r="K78" s="17" t="s">
        <v>38</v>
      </c>
      <c r="L78" s="17">
        <v>3</v>
      </c>
      <c r="M78" s="17">
        <v>2</v>
      </c>
      <c r="N78" s="17">
        <v>4</v>
      </c>
      <c r="O78" s="17">
        <v>4</v>
      </c>
      <c r="P78" s="17">
        <v>3.25</v>
      </c>
    </row>
    <row r="79" spans="10:16" x14ac:dyDescent="0.4">
      <c r="J79" s="17">
        <v>1</v>
      </c>
      <c r="K79" s="17" t="s">
        <v>38</v>
      </c>
      <c r="L79" s="17">
        <v>4</v>
      </c>
      <c r="M79" s="17">
        <v>1</v>
      </c>
      <c r="N79" s="17">
        <v>4</v>
      </c>
      <c r="O79" s="17">
        <v>2</v>
      </c>
      <c r="P79" s="17">
        <v>2.75</v>
      </c>
    </row>
    <row r="80" spans="10:16" x14ac:dyDescent="0.4">
      <c r="J80" s="17">
        <v>0</v>
      </c>
      <c r="K80" s="17" t="s">
        <v>38</v>
      </c>
      <c r="L80" s="17">
        <v>4</v>
      </c>
      <c r="M80" s="17">
        <v>4</v>
      </c>
      <c r="N80" s="17">
        <v>2</v>
      </c>
      <c r="O80" s="17">
        <v>4</v>
      </c>
      <c r="P80" s="17">
        <v>3.5</v>
      </c>
    </row>
    <row r="81" spans="10:16" x14ac:dyDescent="0.4">
      <c r="J81" s="17">
        <v>1</v>
      </c>
      <c r="K81" s="17" t="s">
        <v>49</v>
      </c>
      <c r="L81" s="17">
        <v>3</v>
      </c>
      <c r="M81" s="17">
        <v>1</v>
      </c>
      <c r="N81" s="17">
        <v>3</v>
      </c>
      <c r="O81" s="17">
        <v>3</v>
      </c>
      <c r="P81" s="17">
        <v>2.5</v>
      </c>
    </row>
    <row r="82" spans="10:16" x14ac:dyDescent="0.4">
      <c r="J82" s="17">
        <v>1</v>
      </c>
      <c r="K82" s="17" t="s">
        <v>49</v>
      </c>
      <c r="L82" s="17">
        <v>3</v>
      </c>
      <c r="M82" s="17">
        <v>4</v>
      </c>
      <c r="N82" s="17">
        <v>3</v>
      </c>
      <c r="O82" s="17">
        <v>2</v>
      </c>
      <c r="P82" s="17">
        <v>3</v>
      </c>
    </row>
    <row r="83" spans="10:16" x14ac:dyDescent="0.4">
      <c r="J83" s="17">
        <v>1</v>
      </c>
      <c r="K83" s="17" t="s">
        <v>38</v>
      </c>
      <c r="L83" s="17">
        <v>4</v>
      </c>
      <c r="M83" s="17">
        <v>3</v>
      </c>
      <c r="N83" s="17">
        <v>3</v>
      </c>
      <c r="O83" s="17">
        <v>3</v>
      </c>
      <c r="P83" s="17">
        <v>3.25</v>
      </c>
    </row>
    <row r="84" spans="10:16" x14ac:dyDescent="0.4">
      <c r="J84" s="17">
        <v>1</v>
      </c>
      <c r="K84" s="17" t="s">
        <v>49</v>
      </c>
      <c r="L84" s="17">
        <v>1</v>
      </c>
      <c r="M84" s="17">
        <v>2</v>
      </c>
      <c r="N84" s="17">
        <v>3</v>
      </c>
      <c r="O84" s="17">
        <v>3</v>
      </c>
      <c r="P84" s="17">
        <v>2.25</v>
      </c>
    </row>
    <row r="85" spans="10:16" x14ac:dyDescent="0.4">
      <c r="J85" s="17">
        <v>0</v>
      </c>
      <c r="K85" s="17" t="s">
        <v>49</v>
      </c>
      <c r="L85" s="17">
        <v>1</v>
      </c>
      <c r="M85" s="17">
        <v>4</v>
      </c>
      <c r="N85" s="17">
        <v>2</v>
      </c>
      <c r="O85" s="17">
        <v>3</v>
      </c>
      <c r="P85" s="17">
        <v>2.5</v>
      </c>
    </row>
    <row r="86" spans="10:16" x14ac:dyDescent="0.4">
      <c r="J86" s="17">
        <v>1</v>
      </c>
      <c r="K86" s="17" t="s">
        <v>49</v>
      </c>
      <c r="L86" s="17">
        <v>2</v>
      </c>
      <c r="M86" s="17">
        <v>4</v>
      </c>
      <c r="N86" s="17">
        <v>3</v>
      </c>
      <c r="O86" s="17">
        <v>2</v>
      </c>
      <c r="P86" s="17">
        <v>2.75</v>
      </c>
    </row>
    <row r="87" spans="10:16" x14ac:dyDescent="0.4">
      <c r="J87" s="17">
        <v>1</v>
      </c>
      <c r="K87" s="17" t="s">
        <v>38</v>
      </c>
      <c r="L87" s="17">
        <v>4</v>
      </c>
      <c r="M87" s="17">
        <v>4</v>
      </c>
      <c r="N87" s="17">
        <v>1</v>
      </c>
      <c r="O87" s="17">
        <v>4</v>
      </c>
      <c r="P87" s="17">
        <v>3.25</v>
      </c>
    </row>
    <row r="88" spans="10:16" x14ac:dyDescent="0.4">
      <c r="J88" s="17">
        <v>0</v>
      </c>
      <c r="K88" s="17" t="s">
        <v>38</v>
      </c>
      <c r="L88" s="17">
        <v>3</v>
      </c>
      <c r="M88" s="17">
        <v>3</v>
      </c>
      <c r="N88" s="17">
        <v>3</v>
      </c>
      <c r="O88" s="17">
        <v>3</v>
      </c>
      <c r="P88" s="17">
        <v>3</v>
      </c>
    </row>
    <row r="89" spans="10:16" x14ac:dyDescent="0.4">
      <c r="J89" s="17">
        <v>0</v>
      </c>
      <c r="K89" s="17" t="s">
        <v>49</v>
      </c>
      <c r="L89" s="17">
        <v>2</v>
      </c>
      <c r="M89" s="17">
        <v>1</v>
      </c>
      <c r="N89" s="17">
        <v>2</v>
      </c>
      <c r="O89" s="17">
        <v>1</v>
      </c>
      <c r="P89" s="17">
        <v>1.5</v>
      </c>
    </row>
    <row r="90" spans="10:16" x14ac:dyDescent="0.4">
      <c r="J90" s="17">
        <v>1</v>
      </c>
      <c r="K90" s="17" t="s">
        <v>49</v>
      </c>
      <c r="L90" s="17">
        <v>2</v>
      </c>
      <c r="M90" s="17">
        <v>2</v>
      </c>
      <c r="N90" s="17">
        <v>3</v>
      </c>
      <c r="O90" s="17">
        <v>3</v>
      </c>
      <c r="P90" s="17">
        <v>2.5</v>
      </c>
    </row>
    <row r="91" spans="10:16" x14ac:dyDescent="0.4">
      <c r="J91" s="17">
        <v>1</v>
      </c>
      <c r="K91" s="17" t="s">
        <v>38</v>
      </c>
      <c r="L91" s="17">
        <v>4</v>
      </c>
      <c r="M91" s="17">
        <v>3</v>
      </c>
      <c r="N91" s="17">
        <v>3</v>
      </c>
      <c r="O91" s="17">
        <v>3</v>
      </c>
      <c r="P91" s="17">
        <v>3.25</v>
      </c>
    </row>
    <row r="92" spans="10:16" x14ac:dyDescent="0.4">
      <c r="J92" s="17">
        <v>1</v>
      </c>
      <c r="K92" s="17" t="s">
        <v>49</v>
      </c>
      <c r="L92" s="17">
        <v>4</v>
      </c>
      <c r="M92" s="17">
        <v>3</v>
      </c>
      <c r="N92" s="17">
        <v>2</v>
      </c>
      <c r="O92" s="17">
        <v>3</v>
      </c>
      <c r="P92" s="17">
        <v>3</v>
      </c>
    </row>
    <row r="93" spans="10:16" x14ac:dyDescent="0.4">
      <c r="J93" s="17">
        <v>0</v>
      </c>
      <c r="K93" s="17" t="s">
        <v>38</v>
      </c>
      <c r="L93" s="17">
        <v>3</v>
      </c>
      <c r="M93" s="17">
        <v>3</v>
      </c>
      <c r="N93" s="17">
        <v>3</v>
      </c>
      <c r="O93" s="17">
        <v>3</v>
      </c>
      <c r="P93" s="17">
        <v>3</v>
      </c>
    </row>
    <row r="94" spans="10:16" x14ac:dyDescent="0.4">
      <c r="J94" s="17">
        <v>0</v>
      </c>
      <c r="K94" s="17" t="s">
        <v>49</v>
      </c>
      <c r="L94" s="17">
        <v>2</v>
      </c>
      <c r="M94" s="17">
        <v>4</v>
      </c>
      <c r="N94" s="17">
        <v>2</v>
      </c>
      <c r="O94" s="17">
        <v>2</v>
      </c>
      <c r="P94" s="17">
        <v>2.5</v>
      </c>
    </row>
    <row r="95" spans="10:16" x14ac:dyDescent="0.4">
      <c r="J95" s="17">
        <v>1</v>
      </c>
      <c r="K95" s="17" t="s">
        <v>38</v>
      </c>
      <c r="L95" s="17">
        <v>4</v>
      </c>
      <c r="M95" s="17">
        <v>1</v>
      </c>
      <c r="N95" s="17">
        <v>3</v>
      </c>
      <c r="O95" s="17">
        <v>2</v>
      </c>
      <c r="P95" s="17">
        <v>2.5</v>
      </c>
    </row>
    <row r="96" spans="10:16" x14ac:dyDescent="0.4">
      <c r="J96" s="17">
        <v>1</v>
      </c>
      <c r="K96" s="17" t="s">
        <v>38</v>
      </c>
      <c r="L96" s="17">
        <v>4</v>
      </c>
      <c r="M96" s="17">
        <v>3</v>
      </c>
      <c r="N96" s="17">
        <v>2</v>
      </c>
      <c r="O96" s="17">
        <v>3</v>
      </c>
      <c r="P96" s="17">
        <v>3</v>
      </c>
    </row>
    <row r="97" spans="10:16" x14ac:dyDescent="0.4">
      <c r="J97" s="17">
        <v>0</v>
      </c>
      <c r="K97" s="17" t="s">
        <v>38</v>
      </c>
      <c r="L97" s="17">
        <v>3</v>
      </c>
      <c r="M97" s="17">
        <v>4</v>
      </c>
      <c r="N97" s="17">
        <v>4</v>
      </c>
      <c r="O97" s="17">
        <v>3</v>
      </c>
      <c r="P97" s="17">
        <v>3.5</v>
      </c>
    </row>
    <row r="98" spans="10:16" x14ac:dyDescent="0.4">
      <c r="J98" s="17">
        <v>0</v>
      </c>
      <c r="K98" s="17" t="s">
        <v>38</v>
      </c>
      <c r="L98" s="17">
        <v>3</v>
      </c>
      <c r="M98" s="17">
        <v>1</v>
      </c>
      <c r="N98" s="17">
        <v>4</v>
      </c>
      <c r="O98" s="17">
        <v>3</v>
      </c>
      <c r="P98" s="17">
        <v>2.75</v>
      </c>
    </row>
    <row r="99" spans="10:16" x14ac:dyDescent="0.4">
      <c r="J99" s="17">
        <v>1</v>
      </c>
      <c r="K99" s="17" t="s">
        <v>38</v>
      </c>
      <c r="L99" s="17">
        <v>3</v>
      </c>
      <c r="M99" s="17">
        <v>1</v>
      </c>
      <c r="N99" s="17">
        <v>1</v>
      </c>
      <c r="O99" s="17">
        <v>4</v>
      </c>
      <c r="P99" s="17">
        <v>2.25</v>
      </c>
    </row>
    <row r="100" spans="10:16" x14ac:dyDescent="0.4">
      <c r="J100" s="17">
        <v>0</v>
      </c>
      <c r="K100" s="17" t="s">
        <v>49</v>
      </c>
      <c r="L100" s="17">
        <v>4</v>
      </c>
      <c r="M100" s="17">
        <v>1</v>
      </c>
      <c r="N100" s="17">
        <v>3</v>
      </c>
      <c r="O100" s="17">
        <v>3</v>
      </c>
      <c r="P100" s="17">
        <v>2.75</v>
      </c>
    </row>
    <row r="101" spans="10:16" x14ac:dyDescent="0.4">
      <c r="J101" s="17">
        <v>0</v>
      </c>
      <c r="K101" s="17" t="s">
        <v>38</v>
      </c>
      <c r="L101" s="17">
        <v>2</v>
      </c>
      <c r="M101" s="17">
        <v>4</v>
      </c>
      <c r="N101" s="17">
        <v>2</v>
      </c>
      <c r="O101" s="17">
        <v>2</v>
      </c>
      <c r="P101" s="17">
        <v>2.5</v>
      </c>
    </row>
    <row r="102" spans="10:16" x14ac:dyDescent="0.4">
      <c r="J102" s="17">
        <v>0</v>
      </c>
      <c r="K102" s="17" t="s">
        <v>49</v>
      </c>
      <c r="L102" s="17">
        <v>3</v>
      </c>
      <c r="M102" s="17">
        <v>3</v>
      </c>
      <c r="N102" s="17">
        <v>4</v>
      </c>
      <c r="O102" s="17">
        <v>3</v>
      </c>
      <c r="P102" s="17">
        <v>3.25</v>
      </c>
    </row>
    <row r="103" spans="10:16" x14ac:dyDescent="0.4">
      <c r="J103" s="17">
        <v>1</v>
      </c>
      <c r="K103" s="17" t="s">
        <v>38</v>
      </c>
      <c r="L103" s="17">
        <v>3</v>
      </c>
      <c r="M103" s="17">
        <v>3</v>
      </c>
      <c r="N103" s="17">
        <v>4</v>
      </c>
      <c r="O103" s="17">
        <v>4</v>
      </c>
      <c r="P103" s="17">
        <v>3.5</v>
      </c>
    </row>
    <row r="104" spans="10:16" x14ac:dyDescent="0.4">
      <c r="J104" s="17">
        <v>0</v>
      </c>
      <c r="K104" s="17" t="s">
        <v>49</v>
      </c>
      <c r="L104" s="17">
        <v>2</v>
      </c>
      <c r="M104" s="17">
        <v>2</v>
      </c>
      <c r="N104" s="17">
        <v>4</v>
      </c>
      <c r="O104" s="17">
        <v>2</v>
      </c>
      <c r="P104" s="17">
        <v>2.5</v>
      </c>
    </row>
    <row r="105" spans="10:16" x14ac:dyDescent="0.4">
      <c r="J105" s="17">
        <v>1</v>
      </c>
      <c r="K105" s="17" t="s">
        <v>49</v>
      </c>
      <c r="L105" s="17">
        <v>2</v>
      </c>
      <c r="M105" s="17">
        <v>1</v>
      </c>
      <c r="N105" s="17">
        <v>3</v>
      </c>
      <c r="O105" s="17">
        <v>3</v>
      </c>
      <c r="P105" s="17">
        <v>2.25</v>
      </c>
    </row>
    <row r="106" spans="10:16" x14ac:dyDescent="0.4">
      <c r="J106" s="17">
        <v>0</v>
      </c>
      <c r="K106" s="17" t="s">
        <v>49</v>
      </c>
      <c r="L106" s="17">
        <v>3</v>
      </c>
      <c r="M106" s="17">
        <v>4</v>
      </c>
      <c r="N106" s="17">
        <v>2</v>
      </c>
      <c r="O106" s="17">
        <v>3</v>
      </c>
      <c r="P106" s="17">
        <v>3</v>
      </c>
    </row>
    <row r="107" spans="10:16" x14ac:dyDescent="0.4">
      <c r="J107" s="17">
        <v>1</v>
      </c>
      <c r="K107" s="17" t="s">
        <v>38</v>
      </c>
      <c r="L107" s="17">
        <v>3</v>
      </c>
      <c r="M107" s="17">
        <v>3</v>
      </c>
      <c r="N107" s="17">
        <v>2</v>
      </c>
      <c r="O107" s="17">
        <v>4</v>
      </c>
      <c r="P107" s="17">
        <v>3</v>
      </c>
    </row>
    <row r="108" spans="10:16" x14ac:dyDescent="0.4">
      <c r="J108" s="17">
        <v>1</v>
      </c>
      <c r="K108" s="17" t="s">
        <v>49</v>
      </c>
      <c r="L108" s="17">
        <v>4</v>
      </c>
      <c r="M108" s="17">
        <v>4</v>
      </c>
      <c r="N108" s="17">
        <v>1</v>
      </c>
      <c r="O108" s="17">
        <v>1</v>
      </c>
      <c r="P108" s="17">
        <v>2.5</v>
      </c>
    </row>
    <row r="109" spans="10:16" x14ac:dyDescent="0.4">
      <c r="J109" s="17">
        <v>1</v>
      </c>
      <c r="K109" s="17" t="s">
        <v>49</v>
      </c>
      <c r="L109" s="17">
        <v>3</v>
      </c>
      <c r="M109" s="17">
        <v>3</v>
      </c>
      <c r="N109" s="17">
        <v>2</v>
      </c>
      <c r="O109" s="17">
        <v>3</v>
      </c>
      <c r="P109" s="17">
        <v>2.75</v>
      </c>
    </row>
    <row r="110" spans="10:16" x14ac:dyDescent="0.4">
      <c r="J110" s="17">
        <v>0</v>
      </c>
      <c r="K110" s="17" t="s">
        <v>38</v>
      </c>
      <c r="L110" s="17">
        <v>3</v>
      </c>
      <c r="M110" s="17">
        <v>3</v>
      </c>
      <c r="N110" s="17">
        <v>3</v>
      </c>
      <c r="O110" s="17">
        <v>3</v>
      </c>
      <c r="P110" s="17">
        <v>3</v>
      </c>
    </row>
    <row r="111" spans="10:16" x14ac:dyDescent="0.4">
      <c r="J111" s="17">
        <v>0</v>
      </c>
      <c r="K111" s="17" t="s">
        <v>38</v>
      </c>
      <c r="L111" s="17">
        <v>4</v>
      </c>
      <c r="M111" s="17">
        <v>2</v>
      </c>
      <c r="N111" s="17">
        <v>1</v>
      </c>
      <c r="O111" s="17">
        <v>3</v>
      </c>
      <c r="P111" s="17">
        <v>2.5</v>
      </c>
    </row>
    <row r="112" spans="10:16" x14ac:dyDescent="0.4">
      <c r="J112" s="17">
        <v>0</v>
      </c>
      <c r="K112" s="17" t="s">
        <v>49</v>
      </c>
      <c r="L112" s="17">
        <v>1</v>
      </c>
      <c r="M112" s="17">
        <v>1</v>
      </c>
      <c r="N112" s="17">
        <v>4</v>
      </c>
      <c r="O112" s="17">
        <v>3</v>
      </c>
      <c r="P112" s="17">
        <v>2.25</v>
      </c>
    </row>
    <row r="113" spans="10:16" x14ac:dyDescent="0.4">
      <c r="J113" s="17">
        <v>1</v>
      </c>
      <c r="K113" s="17" t="s">
        <v>49</v>
      </c>
      <c r="L113" s="17">
        <v>1</v>
      </c>
      <c r="M113" s="17">
        <v>2</v>
      </c>
      <c r="N113" s="17">
        <v>3</v>
      </c>
      <c r="O113" s="17">
        <v>4</v>
      </c>
      <c r="P113" s="17">
        <v>2.5</v>
      </c>
    </row>
    <row r="114" spans="10:16" x14ac:dyDescent="0.4">
      <c r="J114" s="17">
        <v>0</v>
      </c>
      <c r="K114" s="17" t="s">
        <v>49</v>
      </c>
      <c r="L114" s="17">
        <v>4</v>
      </c>
      <c r="M114" s="17">
        <v>2</v>
      </c>
      <c r="N114" s="17">
        <v>4</v>
      </c>
      <c r="O114" s="17">
        <v>3</v>
      </c>
      <c r="P114" s="17">
        <v>3.25</v>
      </c>
    </row>
    <row r="115" spans="10:16" x14ac:dyDescent="0.4">
      <c r="J115" s="17">
        <v>0</v>
      </c>
      <c r="K115" s="17" t="s">
        <v>49</v>
      </c>
      <c r="L115" s="17">
        <v>3</v>
      </c>
      <c r="M115" s="17">
        <v>3</v>
      </c>
      <c r="N115" s="17">
        <v>3</v>
      </c>
      <c r="O115" s="17">
        <v>2</v>
      </c>
      <c r="P115" s="17">
        <v>2.75</v>
      </c>
    </row>
    <row r="116" spans="10:16" x14ac:dyDescent="0.4">
      <c r="J116" s="17">
        <v>0</v>
      </c>
      <c r="K116" s="17" t="s">
        <v>49</v>
      </c>
      <c r="L116" s="17">
        <v>4</v>
      </c>
      <c r="M116" s="17">
        <v>4</v>
      </c>
      <c r="N116" s="17">
        <v>2</v>
      </c>
      <c r="O116" s="17">
        <v>2</v>
      </c>
      <c r="P116" s="17">
        <v>3</v>
      </c>
    </row>
    <row r="117" spans="10:16" x14ac:dyDescent="0.4">
      <c r="J117" s="17">
        <v>0</v>
      </c>
      <c r="K117" s="17" t="s">
        <v>49</v>
      </c>
      <c r="L117" s="17">
        <v>3</v>
      </c>
      <c r="M117" s="17">
        <v>3</v>
      </c>
      <c r="N117" s="17">
        <v>3</v>
      </c>
      <c r="O117" s="17">
        <v>4</v>
      </c>
      <c r="P117" s="17">
        <v>3.25</v>
      </c>
    </row>
    <row r="118" spans="10:16" x14ac:dyDescent="0.4">
      <c r="J118" s="17">
        <v>0</v>
      </c>
      <c r="K118" s="17" t="s">
        <v>49</v>
      </c>
      <c r="L118" s="17">
        <v>3</v>
      </c>
      <c r="M118" s="17">
        <v>3</v>
      </c>
      <c r="N118" s="17">
        <v>3</v>
      </c>
      <c r="O118" s="17">
        <v>4</v>
      </c>
      <c r="P118" s="17">
        <v>3.25</v>
      </c>
    </row>
    <row r="119" spans="10:16" x14ac:dyDescent="0.4">
      <c r="J119" s="17">
        <v>1</v>
      </c>
      <c r="K119" s="17" t="s">
        <v>38</v>
      </c>
      <c r="L119" s="17">
        <v>4</v>
      </c>
      <c r="M119" s="17">
        <v>3</v>
      </c>
      <c r="N119" s="17">
        <v>4</v>
      </c>
      <c r="O119" s="17">
        <v>3</v>
      </c>
      <c r="P119" s="17">
        <v>3.5</v>
      </c>
    </row>
    <row r="120" spans="10:16" x14ac:dyDescent="0.4">
      <c r="J120" s="17">
        <v>0</v>
      </c>
      <c r="K120" s="17" t="s">
        <v>38</v>
      </c>
      <c r="L120" s="17">
        <v>2</v>
      </c>
      <c r="M120" s="17">
        <v>1</v>
      </c>
      <c r="N120" s="17">
        <v>2</v>
      </c>
      <c r="O120" s="17">
        <v>2</v>
      </c>
      <c r="P120" s="17">
        <v>1.75</v>
      </c>
    </row>
    <row r="121" spans="10:16" x14ac:dyDescent="0.4">
      <c r="J121" s="17">
        <v>1</v>
      </c>
      <c r="K121" s="17" t="s">
        <v>38</v>
      </c>
      <c r="L121" s="17">
        <v>4</v>
      </c>
      <c r="M121" s="17">
        <v>4</v>
      </c>
      <c r="N121" s="17">
        <v>3</v>
      </c>
      <c r="O121" s="17">
        <v>2</v>
      </c>
      <c r="P121" s="17">
        <v>3.25</v>
      </c>
    </row>
    <row r="122" spans="10:16" x14ac:dyDescent="0.4">
      <c r="J122" s="17">
        <v>0</v>
      </c>
      <c r="K122" s="17" t="s">
        <v>38</v>
      </c>
      <c r="L122" s="17">
        <v>1</v>
      </c>
      <c r="M122" s="17">
        <v>3</v>
      </c>
      <c r="N122" s="17">
        <v>2</v>
      </c>
      <c r="O122" s="17">
        <v>4</v>
      </c>
      <c r="P122" s="17">
        <v>2.5</v>
      </c>
    </row>
    <row r="123" spans="10:16" x14ac:dyDescent="0.4">
      <c r="J123" s="17">
        <v>0</v>
      </c>
      <c r="K123" s="17" t="s">
        <v>38</v>
      </c>
      <c r="L123" s="17">
        <v>1</v>
      </c>
      <c r="M123" s="17">
        <v>3</v>
      </c>
      <c r="N123" s="17">
        <v>4</v>
      </c>
      <c r="O123" s="17">
        <v>3</v>
      </c>
      <c r="P123" s="17">
        <v>2.75</v>
      </c>
    </row>
    <row r="124" spans="10:16" x14ac:dyDescent="0.4">
      <c r="J124" s="17">
        <v>1</v>
      </c>
      <c r="K124" s="17" t="s">
        <v>49</v>
      </c>
      <c r="L124" s="17">
        <v>4</v>
      </c>
      <c r="M124" s="17">
        <v>3</v>
      </c>
      <c r="N124" s="17">
        <v>4</v>
      </c>
      <c r="O124" s="17">
        <v>3</v>
      </c>
      <c r="P124" s="17">
        <v>3.5</v>
      </c>
    </row>
    <row r="125" spans="10:16" x14ac:dyDescent="0.4">
      <c r="J125" s="17">
        <v>1</v>
      </c>
      <c r="K125" s="17" t="s">
        <v>49</v>
      </c>
      <c r="L125" s="17">
        <v>4</v>
      </c>
      <c r="M125" s="17">
        <v>3</v>
      </c>
      <c r="N125" s="17">
        <v>2</v>
      </c>
      <c r="O125" s="17">
        <v>3</v>
      </c>
      <c r="P125" s="17">
        <v>3</v>
      </c>
    </row>
    <row r="126" spans="10:16" x14ac:dyDescent="0.4">
      <c r="J126" s="17">
        <v>1</v>
      </c>
      <c r="K126" s="17" t="s">
        <v>38</v>
      </c>
      <c r="L126" s="17">
        <v>4</v>
      </c>
      <c r="M126" s="17">
        <v>4</v>
      </c>
      <c r="N126" s="17">
        <v>2</v>
      </c>
      <c r="O126" s="17">
        <v>3</v>
      </c>
      <c r="P126" s="17">
        <v>3.25</v>
      </c>
    </row>
    <row r="127" spans="10:16" x14ac:dyDescent="0.4">
      <c r="J127" s="17">
        <v>0</v>
      </c>
      <c r="K127" s="17" t="s">
        <v>49</v>
      </c>
      <c r="L127" s="17">
        <v>4</v>
      </c>
      <c r="M127" s="17">
        <v>3</v>
      </c>
      <c r="N127" s="17">
        <v>2</v>
      </c>
      <c r="O127" s="17">
        <v>4</v>
      </c>
      <c r="P127" s="17">
        <v>3.25</v>
      </c>
    </row>
    <row r="128" spans="10:16" x14ac:dyDescent="0.4">
      <c r="J128" s="17">
        <v>0</v>
      </c>
      <c r="K128" s="17" t="s">
        <v>38</v>
      </c>
      <c r="L128" s="17">
        <v>2</v>
      </c>
      <c r="M128" s="17">
        <v>4</v>
      </c>
      <c r="N128" s="17">
        <v>3</v>
      </c>
      <c r="O128" s="17">
        <v>1</v>
      </c>
      <c r="P128" s="17">
        <v>2.5</v>
      </c>
    </row>
    <row r="129" spans="10:16" x14ac:dyDescent="0.4">
      <c r="J129" s="17">
        <v>1</v>
      </c>
      <c r="K129" s="17" t="s">
        <v>49</v>
      </c>
      <c r="L129" s="17">
        <v>2</v>
      </c>
      <c r="M129" s="17">
        <v>3</v>
      </c>
      <c r="N129" s="17">
        <v>4</v>
      </c>
      <c r="O129" s="17">
        <v>2</v>
      </c>
      <c r="P129" s="17">
        <v>2.75</v>
      </c>
    </row>
    <row r="130" spans="10:16" x14ac:dyDescent="0.4">
      <c r="J130" s="17">
        <v>0</v>
      </c>
      <c r="K130" s="17" t="s">
        <v>49</v>
      </c>
      <c r="L130" s="17">
        <v>4</v>
      </c>
      <c r="M130" s="17">
        <v>4</v>
      </c>
      <c r="N130" s="17">
        <v>4</v>
      </c>
      <c r="O130" s="17">
        <v>3</v>
      </c>
      <c r="P130" s="17">
        <v>3.75</v>
      </c>
    </row>
    <row r="131" spans="10:16" x14ac:dyDescent="0.4">
      <c r="J131" s="17">
        <v>1</v>
      </c>
      <c r="K131" s="17" t="s">
        <v>49</v>
      </c>
      <c r="L131" s="17">
        <v>3</v>
      </c>
      <c r="M131" s="17">
        <v>1</v>
      </c>
      <c r="N131" s="17">
        <v>2</v>
      </c>
      <c r="O131" s="17">
        <v>4</v>
      </c>
      <c r="P131" s="17">
        <v>2.5</v>
      </c>
    </row>
    <row r="132" spans="10:16" x14ac:dyDescent="0.4">
      <c r="J132" s="17">
        <v>1</v>
      </c>
      <c r="K132" s="17" t="s">
        <v>49</v>
      </c>
      <c r="L132" s="17">
        <v>4</v>
      </c>
      <c r="M132" s="17">
        <v>3</v>
      </c>
      <c r="N132" s="17">
        <v>2</v>
      </c>
      <c r="O132" s="17">
        <v>3</v>
      </c>
      <c r="P132" s="17">
        <v>3</v>
      </c>
    </row>
    <row r="133" spans="10:16" x14ac:dyDescent="0.4">
      <c r="J133" s="17">
        <v>1</v>
      </c>
      <c r="K133" s="17" t="s">
        <v>49</v>
      </c>
      <c r="L133" s="17">
        <v>3</v>
      </c>
      <c r="M133" s="17">
        <v>1</v>
      </c>
      <c r="N133" s="17">
        <v>3</v>
      </c>
      <c r="O133" s="17">
        <v>2</v>
      </c>
      <c r="P133" s="17">
        <v>2.25</v>
      </c>
    </row>
    <row r="134" spans="10:16" x14ac:dyDescent="0.4">
      <c r="J134" s="17">
        <v>0</v>
      </c>
      <c r="K134" s="17" t="s">
        <v>49</v>
      </c>
      <c r="L134" s="17">
        <v>1</v>
      </c>
      <c r="M134" s="17">
        <v>3</v>
      </c>
      <c r="N134" s="17">
        <v>4</v>
      </c>
      <c r="O134" s="17">
        <v>1</v>
      </c>
      <c r="P134" s="17">
        <v>2.25</v>
      </c>
    </row>
    <row r="135" spans="10:16" x14ac:dyDescent="0.4">
      <c r="J135" s="17">
        <v>0</v>
      </c>
      <c r="K135" s="17" t="s">
        <v>49</v>
      </c>
      <c r="L135" s="17">
        <v>4</v>
      </c>
      <c r="M135" s="17">
        <v>2</v>
      </c>
      <c r="N135" s="17">
        <v>2</v>
      </c>
      <c r="O135" s="17">
        <v>3</v>
      </c>
      <c r="P135" s="17">
        <v>2.75</v>
      </c>
    </row>
    <row r="136" spans="10:16" x14ac:dyDescent="0.4">
      <c r="J136" s="17">
        <v>1</v>
      </c>
      <c r="K136" s="17" t="s">
        <v>49</v>
      </c>
      <c r="L136" s="17">
        <v>1</v>
      </c>
      <c r="M136" s="17">
        <v>4</v>
      </c>
      <c r="N136" s="17">
        <v>3</v>
      </c>
      <c r="O136" s="17">
        <v>3</v>
      </c>
      <c r="P136" s="17">
        <v>2.75</v>
      </c>
    </row>
    <row r="137" spans="10:16" x14ac:dyDescent="0.4">
      <c r="J137" s="17">
        <v>1</v>
      </c>
      <c r="K137" s="17" t="s">
        <v>38</v>
      </c>
      <c r="L137" s="17">
        <v>2</v>
      </c>
      <c r="M137" s="17">
        <v>1</v>
      </c>
      <c r="N137" s="17">
        <v>3</v>
      </c>
      <c r="O137" s="17">
        <v>3</v>
      </c>
      <c r="P137" s="17">
        <v>2.25</v>
      </c>
    </row>
    <row r="138" spans="10:16" x14ac:dyDescent="0.4">
      <c r="J138" s="17">
        <v>0</v>
      </c>
      <c r="K138" s="17" t="s">
        <v>49</v>
      </c>
      <c r="L138" s="17">
        <v>4</v>
      </c>
      <c r="M138" s="17">
        <v>2</v>
      </c>
      <c r="N138" s="17">
        <v>2</v>
      </c>
      <c r="O138" s="17">
        <v>3</v>
      </c>
      <c r="P138" s="17">
        <v>2.75</v>
      </c>
    </row>
    <row r="139" spans="10:16" x14ac:dyDescent="0.4">
      <c r="J139" s="17">
        <v>0</v>
      </c>
      <c r="K139" s="17" t="s">
        <v>38</v>
      </c>
      <c r="L139" s="17">
        <v>4</v>
      </c>
      <c r="M139" s="17">
        <v>1</v>
      </c>
      <c r="N139" s="17">
        <v>4</v>
      </c>
      <c r="O139" s="17">
        <v>3</v>
      </c>
      <c r="P139" s="17">
        <v>3</v>
      </c>
    </row>
    <row r="140" spans="10:16" x14ac:dyDescent="0.4">
      <c r="J140" s="17">
        <v>0</v>
      </c>
      <c r="K140" s="17" t="s">
        <v>38</v>
      </c>
      <c r="L140" s="17">
        <v>1</v>
      </c>
      <c r="M140" s="17">
        <v>4</v>
      </c>
      <c r="N140" s="17">
        <v>3</v>
      </c>
      <c r="O140" s="17">
        <v>2</v>
      </c>
      <c r="P140" s="17">
        <v>2.5</v>
      </c>
    </row>
    <row r="141" spans="10:16" x14ac:dyDescent="0.4">
      <c r="J141" s="17">
        <v>1</v>
      </c>
      <c r="K141" s="17" t="s">
        <v>49</v>
      </c>
      <c r="L141" s="17">
        <v>1</v>
      </c>
      <c r="M141" s="17">
        <v>3</v>
      </c>
      <c r="N141" s="17">
        <v>4</v>
      </c>
      <c r="O141" s="17">
        <v>3</v>
      </c>
      <c r="P141" s="17">
        <v>2.75</v>
      </c>
    </row>
    <row r="142" spans="10:16" x14ac:dyDescent="0.4">
      <c r="J142" s="17">
        <v>1</v>
      </c>
      <c r="K142" s="17" t="s">
        <v>49</v>
      </c>
      <c r="L142" s="17">
        <v>3</v>
      </c>
      <c r="M142" s="17">
        <v>2</v>
      </c>
      <c r="N142" s="17">
        <v>1</v>
      </c>
      <c r="O142" s="17">
        <v>3</v>
      </c>
      <c r="P142" s="17">
        <v>2.25</v>
      </c>
    </row>
    <row r="143" spans="10:16" x14ac:dyDescent="0.4">
      <c r="J143" s="17">
        <v>0</v>
      </c>
      <c r="K143" s="17" t="s">
        <v>38</v>
      </c>
      <c r="L143" s="17">
        <v>4</v>
      </c>
      <c r="M143" s="17">
        <v>4</v>
      </c>
      <c r="N143" s="17">
        <v>4</v>
      </c>
      <c r="O143" s="17">
        <v>2</v>
      </c>
      <c r="P143" s="17">
        <v>3.5</v>
      </c>
    </row>
    <row r="144" spans="10:16" x14ac:dyDescent="0.4">
      <c r="J144" s="17">
        <v>1</v>
      </c>
      <c r="K144" s="17" t="s">
        <v>38</v>
      </c>
      <c r="L144" s="17">
        <v>3</v>
      </c>
      <c r="M144" s="17">
        <v>3</v>
      </c>
      <c r="N144" s="17">
        <v>1</v>
      </c>
      <c r="O144" s="17">
        <v>4</v>
      </c>
      <c r="P144" s="17">
        <v>2.75</v>
      </c>
    </row>
    <row r="145" spans="10:16" x14ac:dyDescent="0.4">
      <c r="J145" s="17">
        <v>0</v>
      </c>
      <c r="K145" s="17" t="s">
        <v>38</v>
      </c>
      <c r="L145" s="17">
        <v>3</v>
      </c>
      <c r="M145" s="17">
        <v>3</v>
      </c>
      <c r="N145" s="17">
        <v>3</v>
      </c>
      <c r="O145" s="17">
        <v>4</v>
      </c>
      <c r="P145" s="17">
        <v>3.25</v>
      </c>
    </row>
    <row r="146" spans="10:16" x14ac:dyDescent="0.4">
      <c r="J146" s="17">
        <v>1</v>
      </c>
      <c r="K146" s="17" t="s">
        <v>38</v>
      </c>
      <c r="L146" s="17">
        <v>3</v>
      </c>
      <c r="M146" s="17">
        <v>3</v>
      </c>
      <c r="N146" s="17">
        <v>2</v>
      </c>
      <c r="O146" s="17">
        <v>3</v>
      </c>
      <c r="P146" s="17">
        <v>2.75</v>
      </c>
    </row>
    <row r="147" spans="10:16" x14ac:dyDescent="0.4">
      <c r="J147" s="17">
        <v>1</v>
      </c>
      <c r="K147" s="17" t="s">
        <v>38</v>
      </c>
      <c r="L147" s="17">
        <v>1</v>
      </c>
      <c r="M147" s="17">
        <v>4</v>
      </c>
      <c r="N147" s="17">
        <v>1</v>
      </c>
      <c r="O147" s="17">
        <v>3</v>
      </c>
      <c r="P147" s="17">
        <v>2.25</v>
      </c>
    </row>
    <row r="148" spans="10:16" x14ac:dyDescent="0.4">
      <c r="J148" s="17">
        <v>1</v>
      </c>
      <c r="K148" s="17" t="s">
        <v>38</v>
      </c>
      <c r="L148" s="17">
        <v>4</v>
      </c>
      <c r="M148" s="17">
        <v>3</v>
      </c>
      <c r="N148" s="17">
        <v>4</v>
      </c>
      <c r="O148" s="17">
        <v>2</v>
      </c>
      <c r="P148" s="17">
        <v>3.25</v>
      </c>
    </row>
    <row r="149" spans="10:16" x14ac:dyDescent="0.4">
      <c r="J149" s="17">
        <v>1</v>
      </c>
      <c r="K149" s="17" t="s">
        <v>49</v>
      </c>
      <c r="L149" s="17">
        <v>2</v>
      </c>
      <c r="M149" s="17">
        <v>4</v>
      </c>
      <c r="N149" s="17">
        <v>3</v>
      </c>
      <c r="O149" s="17">
        <v>2</v>
      </c>
      <c r="P149" s="17">
        <v>2.75</v>
      </c>
    </row>
    <row r="150" spans="10:16" x14ac:dyDescent="0.4">
      <c r="J150" s="17">
        <v>0</v>
      </c>
      <c r="K150" s="17" t="s">
        <v>49</v>
      </c>
      <c r="L150" s="17">
        <v>3</v>
      </c>
      <c r="M150" s="17">
        <v>2</v>
      </c>
      <c r="N150" s="17">
        <v>2</v>
      </c>
      <c r="O150" s="17">
        <v>4</v>
      </c>
      <c r="P150" s="17">
        <v>2.75</v>
      </c>
    </row>
    <row r="151" spans="10:16" x14ac:dyDescent="0.4">
      <c r="J151" s="17">
        <v>1</v>
      </c>
      <c r="K151" s="17" t="s">
        <v>38</v>
      </c>
      <c r="L151" s="17">
        <v>3</v>
      </c>
      <c r="M151" s="17">
        <v>2</v>
      </c>
      <c r="N151" s="17">
        <v>4</v>
      </c>
      <c r="O151" s="17">
        <v>3</v>
      </c>
      <c r="P151" s="17">
        <v>3</v>
      </c>
    </row>
    <row r="152" spans="10:16" x14ac:dyDescent="0.4">
      <c r="J152" s="17">
        <v>1</v>
      </c>
      <c r="K152" s="17" t="s">
        <v>49</v>
      </c>
      <c r="L152" s="17">
        <v>4</v>
      </c>
      <c r="M152" s="17">
        <v>2</v>
      </c>
      <c r="N152" s="17">
        <v>1</v>
      </c>
      <c r="O152" s="17">
        <v>3</v>
      </c>
      <c r="P152" s="17">
        <v>2.5</v>
      </c>
    </row>
    <row r="153" spans="10:16" x14ac:dyDescent="0.4">
      <c r="J153" s="17">
        <v>1</v>
      </c>
      <c r="K153" s="17" t="s">
        <v>49</v>
      </c>
      <c r="L153" s="17">
        <v>4</v>
      </c>
      <c r="M153" s="17">
        <v>1</v>
      </c>
      <c r="N153" s="17">
        <v>2</v>
      </c>
      <c r="O153" s="17">
        <v>3</v>
      </c>
      <c r="P153" s="17">
        <v>2.5</v>
      </c>
    </row>
    <row r="154" spans="10:16" x14ac:dyDescent="0.4">
      <c r="J154" s="17">
        <v>1</v>
      </c>
      <c r="K154" s="17" t="s">
        <v>38</v>
      </c>
      <c r="L154" s="17">
        <v>4</v>
      </c>
      <c r="M154" s="17">
        <v>4</v>
      </c>
      <c r="N154" s="17">
        <v>3</v>
      </c>
      <c r="O154" s="17">
        <v>2</v>
      </c>
      <c r="P154" s="17">
        <v>3.25</v>
      </c>
    </row>
    <row r="155" spans="10:16" x14ac:dyDescent="0.4">
      <c r="J155" s="17">
        <v>1</v>
      </c>
      <c r="K155" s="17" t="s">
        <v>49</v>
      </c>
      <c r="L155" s="17">
        <v>4</v>
      </c>
      <c r="M155" s="17">
        <v>4</v>
      </c>
      <c r="N155" s="17">
        <v>1</v>
      </c>
      <c r="O155" s="17">
        <v>3</v>
      </c>
      <c r="P155" s="17">
        <v>3</v>
      </c>
    </row>
    <row r="156" spans="10:16" x14ac:dyDescent="0.4">
      <c r="J156" s="17">
        <v>1</v>
      </c>
      <c r="K156" s="17" t="s">
        <v>38</v>
      </c>
      <c r="L156" s="17">
        <v>3</v>
      </c>
      <c r="M156" s="17">
        <v>4</v>
      </c>
      <c r="N156" s="17">
        <v>2</v>
      </c>
      <c r="O156" s="17">
        <v>3</v>
      </c>
      <c r="P156" s="17">
        <v>3</v>
      </c>
    </row>
    <row r="157" spans="10:16" x14ac:dyDescent="0.4">
      <c r="J157" s="17">
        <v>1</v>
      </c>
      <c r="K157" s="17" t="s">
        <v>38</v>
      </c>
      <c r="L157" s="17">
        <v>1</v>
      </c>
      <c r="M157" s="17">
        <v>3</v>
      </c>
      <c r="N157" s="17">
        <v>3</v>
      </c>
      <c r="O157" s="17">
        <v>4</v>
      </c>
      <c r="P157" s="17">
        <v>2.75</v>
      </c>
    </row>
    <row r="158" spans="10:16" x14ac:dyDescent="0.4">
      <c r="J158" s="17">
        <v>0</v>
      </c>
      <c r="K158" s="17" t="s">
        <v>49</v>
      </c>
      <c r="L158" s="17">
        <v>4</v>
      </c>
      <c r="M158" s="17">
        <v>4</v>
      </c>
      <c r="N158" s="17">
        <v>3</v>
      </c>
      <c r="O158" s="17">
        <v>4</v>
      </c>
      <c r="P158" s="17">
        <v>3.75</v>
      </c>
    </row>
    <row r="159" spans="10:16" x14ac:dyDescent="0.4">
      <c r="J159" s="17">
        <v>0</v>
      </c>
      <c r="K159" s="17" t="s">
        <v>38</v>
      </c>
      <c r="L159" s="17">
        <v>2</v>
      </c>
      <c r="M159" s="17">
        <v>2</v>
      </c>
      <c r="N159" s="17">
        <v>3</v>
      </c>
      <c r="O159" s="17">
        <v>3</v>
      </c>
      <c r="P159" s="17">
        <v>2.5</v>
      </c>
    </row>
    <row r="160" spans="10:16" x14ac:dyDescent="0.4">
      <c r="J160" s="17">
        <v>1</v>
      </c>
      <c r="K160" s="17" t="s">
        <v>38</v>
      </c>
      <c r="L160" s="17">
        <v>4</v>
      </c>
      <c r="M160" s="17">
        <v>4</v>
      </c>
      <c r="N160" s="17">
        <v>1</v>
      </c>
      <c r="O160" s="17">
        <v>3</v>
      </c>
      <c r="P160" s="17">
        <v>3</v>
      </c>
    </row>
    <row r="161" spans="10:16" x14ac:dyDescent="0.4">
      <c r="J161" s="17">
        <v>1</v>
      </c>
      <c r="K161" s="17" t="s">
        <v>49</v>
      </c>
      <c r="L161" s="17">
        <v>4</v>
      </c>
      <c r="M161" s="17">
        <v>2</v>
      </c>
      <c r="N161" s="17">
        <v>1</v>
      </c>
      <c r="O161" s="17">
        <v>2</v>
      </c>
      <c r="P161" s="17">
        <v>2.25</v>
      </c>
    </row>
    <row r="162" spans="10:16" x14ac:dyDescent="0.4">
      <c r="J162" s="17">
        <v>0</v>
      </c>
      <c r="K162" s="17" t="s">
        <v>38</v>
      </c>
      <c r="L162" s="17">
        <v>4</v>
      </c>
      <c r="M162" s="17">
        <v>4</v>
      </c>
      <c r="N162" s="17">
        <v>4</v>
      </c>
      <c r="O162" s="17">
        <v>2</v>
      </c>
      <c r="P162" s="17">
        <v>3.5</v>
      </c>
    </row>
    <row r="163" spans="10:16" x14ac:dyDescent="0.4">
      <c r="J163" s="17">
        <v>0</v>
      </c>
      <c r="K163" s="17" t="s">
        <v>38</v>
      </c>
      <c r="L163" s="17">
        <v>2</v>
      </c>
      <c r="M163" s="17">
        <v>4</v>
      </c>
      <c r="N163" s="17">
        <v>4</v>
      </c>
      <c r="O163" s="17">
        <v>2</v>
      </c>
      <c r="P163" s="17">
        <v>3</v>
      </c>
    </row>
    <row r="164" spans="10:16" x14ac:dyDescent="0.4">
      <c r="J164" s="17">
        <v>1</v>
      </c>
      <c r="K164" s="17" t="s">
        <v>38</v>
      </c>
      <c r="L164" s="17">
        <v>3</v>
      </c>
      <c r="M164" s="17">
        <v>1</v>
      </c>
      <c r="N164" s="17">
        <v>4</v>
      </c>
      <c r="O164" s="17">
        <v>2</v>
      </c>
      <c r="P164" s="17">
        <v>2.5</v>
      </c>
    </row>
    <row r="165" spans="10:16" x14ac:dyDescent="0.4">
      <c r="J165" s="17">
        <v>1</v>
      </c>
      <c r="K165" s="17" t="s">
        <v>38</v>
      </c>
      <c r="L165" s="17">
        <v>1</v>
      </c>
      <c r="M165" s="17">
        <v>1</v>
      </c>
      <c r="N165" s="17">
        <v>4</v>
      </c>
      <c r="O165" s="17">
        <v>3</v>
      </c>
      <c r="P165" s="17">
        <v>2.25</v>
      </c>
    </row>
    <row r="166" spans="10:16" x14ac:dyDescent="0.4">
      <c r="J166" s="17">
        <v>0</v>
      </c>
      <c r="K166" s="17" t="s">
        <v>49</v>
      </c>
      <c r="L166" s="17">
        <v>4</v>
      </c>
      <c r="M166" s="17">
        <v>4</v>
      </c>
      <c r="N166" s="17">
        <v>4</v>
      </c>
      <c r="O166" s="17">
        <v>3</v>
      </c>
      <c r="P166" s="17">
        <v>3.75</v>
      </c>
    </row>
    <row r="167" spans="10:16" x14ac:dyDescent="0.4">
      <c r="J167" s="17">
        <v>1</v>
      </c>
      <c r="K167" s="17" t="s">
        <v>49</v>
      </c>
      <c r="L167" s="17">
        <v>3</v>
      </c>
      <c r="M167" s="17">
        <v>4</v>
      </c>
      <c r="N167" s="17">
        <v>3</v>
      </c>
      <c r="O167" s="17">
        <v>3</v>
      </c>
      <c r="P167" s="17">
        <v>3.25</v>
      </c>
    </row>
    <row r="168" spans="10:16" x14ac:dyDescent="0.4">
      <c r="J168" s="17">
        <v>0</v>
      </c>
      <c r="K168" s="17" t="s">
        <v>38</v>
      </c>
      <c r="L168" s="17">
        <v>1</v>
      </c>
      <c r="M168" s="17">
        <v>3</v>
      </c>
      <c r="N168" s="17">
        <v>1</v>
      </c>
      <c r="O168" s="17">
        <v>3</v>
      </c>
      <c r="P168" s="17">
        <v>2</v>
      </c>
    </row>
    <row r="169" spans="10:16" x14ac:dyDescent="0.4">
      <c r="J169" s="17">
        <v>0</v>
      </c>
      <c r="K169" s="17" t="s">
        <v>49</v>
      </c>
      <c r="L169" s="17">
        <v>3</v>
      </c>
      <c r="M169" s="17">
        <v>3</v>
      </c>
      <c r="N169" s="17">
        <v>4</v>
      </c>
      <c r="O169" s="17">
        <v>2</v>
      </c>
      <c r="P169" s="17">
        <v>3</v>
      </c>
    </row>
    <row r="170" spans="10:16" x14ac:dyDescent="0.4">
      <c r="J170" s="17">
        <v>1</v>
      </c>
      <c r="K170" s="17" t="s">
        <v>38</v>
      </c>
      <c r="L170" s="17">
        <v>3</v>
      </c>
      <c r="M170" s="17">
        <v>3</v>
      </c>
      <c r="N170" s="17">
        <v>3</v>
      </c>
      <c r="O170" s="17">
        <v>3</v>
      </c>
      <c r="P170" s="17">
        <v>3</v>
      </c>
    </row>
    <row r="171" spans="10:16" x14ac:dyDescent="0.4">
      <c r="J171" s="17">
        <v>0</v>
      </c>
      <c r="K171" s="17" t="s">
        <v>38</v>
      </c>
      <c r="L171" s="17">
        <v>3</v>
      </c>
      <c r="M171" s="17">
        <v>2</v>
      </c>
      <c r="N171" s="17">
        <v>2</v>
      </c>
      <c r="O171" s="17">
        <v>3</v>
      </c>
      <c r="P171" s="17">
        <v>2.5</v>
      </c>
    </row>
    <row r="172" spans="10:16" x14ac:dyDescent="0.4">
      <c r="J172" s="17">
        <v>1</v>
      </c>
      <c r="K172" s="17" t="s">
        <v>38</v>
      </c>
      <c r="L172" s="17">
        <v>4</v>
      </c>
      <c r="M172" s="17">
        <v>4</v>
      </c>
      <c r="N172" s="17">
        <v>3</v>
      </c>
      <c r="O172" s="17">
        <v>3</v>
      </c>
      <c r="P172" s="17">
        <v>3.5</v>
      </c>
    </row>
    <row r="173" spans="10:16" x14ac:dyDescent="0.4">
      <c r="J173" s="17">
        <v>1</v>
      </c>
      <c r="K173" s="17" t="s">
        <v>38</v>
      </c>
      <c r="L173" s="17">
        <v>4</v>
      </c>
      <c r="M173" s="17">
        <v>2</v>
      </c>
      <c r="N173" s="17">
        <v>1</v>
      </c>
      <c r="O173" s="17">
        <v>3</v>
      </c>
      <c r="P173" s="17">
        <v>2.5</v>
      </c>
    </row>
    <row r="174" spans="10:16" x14ac:dyDescent="0.4">
      <c r="J174" s="17">
        <v>1</v>
      </c>
      <c r="K174" s="17" t="s">
        <v>49</v>
      </c>
      <c r="L174" s="17">
        <v>3</v>
      </c>
      <c r="M174" s="17">
        <v>4</v>
      </c>
      <c r="N174" s="17">
        <v>3</v>
      </c>
      <c r="O174" s="17">
        <v>3</v>
      </c>
      <c r="P174" s="17">
        <v>3.25</v>
      </c>
    </row>
    <row r="175" spans="10:16" x14ac:dyDescent="0.4">
      <c r="J175" s="17">
        <v>0</v>
      </c>
      <c r="K175" s="17" t="s">
        <v>38</v>
      </c>
      <c r="L175" s="17">
        <v>3</v>
      </c>
      <c r="M175" s="17">
        <v>2</v>
      </c>
      <c r="N175" s="17">
        <v>1</v>
      </c>
      <c r="O175" s="17">
        <v>1</v>
      </c>
      <c r="P175" s="17">
        <v>1.75</v>
      </c>
    </row>
    <row r="176" spans="10:16" x14ac:dyDescent="0.4">
      <c r="J176" s="17">
        <v>1</v>
      </c>
      <c r="K176" s="17" t="s">
        <v>38</v>
      </c>
      <c r="L176" s="17">
        <v>2</v>
      </c>
      <c r="M176" s="17">
        <v>2</v>
      </c>
      <c r="N176" s="17">
        <v>2</v>
      </c>
      <c r="O176" s="17">
        <v>2</v>
      </c>
      <c r="P176" s="17">
        <v>2</v>
      </c>
    </row>
    <row r="177" spans="10:16" x14ac:dyDescent="0.4">
      <c r="J177" s="17">
        <v>1</v>
      </c>
      <c r="K177" s="17" t="s">
        <v>49</v>
      </c>
      <c r="L177" s="17">
        <v>2</v>
      </c>
      <c r="M177" s="17">
        <v>4</v>
      </c>
      <c r="N177" s="17">
        <v>4</v>
      </c>
      <c r="O177" s="17">
        <v>4</v>
      </c>
      <c r="P177" s="17">
        <v>3.5</v>
      </c>
    </row>
    <row r="178" spans="10:16" x14ac:dyDescent="0.4">
      <c r="J178" s="17">
        <v>0</v>
      </c>
      <c r="K178" s="17" t="s">
        <v>49</v>
      </c>
      <c r="L178" s="17">
        <v>4</v>
      </c>
      <c r="M178" s="17">
        <v>4</v>
      </c>
      <c r="N178" s="17">
        <v>2</v>
      </c>
      <c r="O178" s="17">
        <v>2</v>
      </c>
      <c r="P178" s="17">
        <v>3</v>
      </c>
    </row>
    <row r="179" spans="10:16" x14ac:dyDescent="0.4">
      <c r="J179" s="17">
        <v>0</v>
      </c>
      <c r="K179" s="17" t="s">
        <v>49</v>
      </c>
      <c r="L179" s="17">
        <v>2</v>
      </c>
      <c r="M179" s="17">
        <v>1</v>
      </c>
      <c r="N179" s="17">
        <v>2</v>
      </c>
      <c r="O179" s="17">
        <v>3</v>
      </c>
      <c r="P179" s="17">
        <v>2</v>
      </c>
    </row>
    <row r="180" spans="10:16" x14ac:dyDescent="0.4">
      <c r="J180" s="17">
        <v>1</v>
      </c>
      <c r="K180" s="17" t="s">
        <v>38</v>
      </c>
      <c r="L180" s="17">
        <v>3</v>
      </c>
      <c r="M180" s="17">
        <v>1</v>
      </c>
      <c r="N180" s="17">
        <v>3</v>
      </c>
      <c r="O180" s="17">
        <v>2</v>
      </c>
      <c r="P180" s="17">
        <v>2.25</v>
      </c>
    </row>
    <row r="181" spans="10:16" x14ac:dyDescent="0.4">
      <c r="J181" s="17">
        <v>1</v>
      </c>
      <c r="K181" s="17" t="s">
        <v>49</v>
      </c>
      <c r="L181" s="17">
        <v>2</v>
      </c>
      <c r="M181" s="17">
        <v>4</v>
      </c>
      <c r="N181" s="17">
        <v>4</v>
      </c>
      <c r="O181" s="17">
        <v>4</v>
      </c>
      <c r="P181" s="17">
        <v>3.5</v>
      </c>
    </row>
    <row r="182" spans="10:16" x14ac:dyDescent="0.4">
      <c r="J182" s="17">
        <v>1</v>
      </c>
      <c r="K182" s="17" t="s">
        <v>38</v>
      </c>
      <c r="L182" s="17">
        <v>4</v>
      </c>
      <c r="M182" s="17">
        <v>2</v>
      </c>
      <c r="N182" s="17">
        <v>3</v>
      </c>
      <c r="O182" s="17">
        <v>3</v>
      </c>
      <c r="P182" s="17">
        <v>3</v>
      </c>
    </row>
    <row r="183" spans="10:16" x14ac:dyDescent="0.4">
      <c r="J183" s="17">
        <v>1</v>
      </c>
      <c r="K183" s="17" t="s">
        <v>38</v>
      </c>
      <c r="L183" s="17">
        <v>3</v>
      </c>
      <c r="M183" s="17">
        <v>1</v>
      </c>
      <c r="N183" s="17">
        <v>3</v>
      </c>
      <c r="O183" s="17">
        <v>4</v>
      </c>
      <c r="P183" s="17">
        <v>2.75</v>
      </c>
    </row>
    <row r="184" spans="10:16" x14ac:dyDescent="0.4">
      <c r="J184" s="17">
        <v>0</v>
      </c>
      <c r="K184" s="17" t="s">
        <v>38</v>
      </c>
      <c r="L184" s="17">
        <v>4</v>
      </c>
      <c r="M184" s="17">
        <v>2</v>
      </c>
      <c r="N184" s="17">
        <v>2</v>
      </c>
      <c r="O184" s="17">
        <v>2</v>
      </c>
      <c r="P184" s="17">
        <v>2.5</v>
      </c>
    </row>
    <row r="185" spans="10:16" x14ac:dyDescent="0.4">
      <c r="J185" s="17">
        <v>1</v>
      </c>
      <c r="K185" s="17" t="s">
        <v>38</v>
      </c>
      <c r="L185" s="17">
        <v>2</v>
      </c>
      <c r="M185" s="17">
        <v>1</v>
      </c>
      <c r="N185" s="17">
        <v>4</v>
      </c>
      <c r="O185" s="17">
        <v>2</v>
      </c>
      <c r="P185" s="17">
        <v>2.25</v>
      </c>
    </row>
    <row r="186" spans="10:16" x14ac:dyDescent="0.4">
      <c r="J186" s="17">
        <v>0</v>
      </c>
      <c r="K186" s="17" t="s">
        <v>38</v>
      </c>
      <c r="L186" s="17">
        <v>3</v>
      </c>
      <c r="M186" s="17">
        <v>4</v>
      </c>
      <c r="N186" s="17">
        <v>2</v>
      </c>
      <c r="O186" s="17">
        <v>2</v>
      </c>
      <c r="P186" s="17">
        <v>2.75</v>
      </c>
    </row>
    <row r="187" spans="10:16" x14ac:dyDescent="0.4">
      <c r="J187" s="17">
        <v>1</v>
      </c>
      <c r="K187" s="17" t="s">
        <v>49</v>
      </c>
      <c r="L187" s="17">
        <v>2</v>
      </c>
      <c r="M187" s="17">
        <v>3</v>
      </c>
      <c r="N187" s="17">
        <v>2</v>
      </c>
      <c r="O187" s="17">
        <v>2</v>
      </c>
      <c r="P187" s="17">
        <v>2.25</v>
      </c>
    </row>
    <row r="188" spans="10:16" x14ac:dyDescent="0.4">
      <c r="J188" s="17">
        <v>1</v>
      </c>
      <c r="K188" s="17" t="s">
        <v>38</v>
      </c>
      <c r="L188" s="17">
        <v>3</v>
      </c>
      <c r="M188" s="17">
        <v>2</v>
      </c>
      <c r="N188" s="17">
        <v>2</v>
      </c>
      <c r="O188" s="17">
        <v>2</v>
      </c>
      <c r="P188" s="17">
        <v>2.25</v>
      </c>
    </row>
    <row r="189" spans="10:16" x14ac:dyDescent="0.4">
      <c r="J189" s="17">
        <v>0</v>
      </c>
      <c r="K189" s="17" t="s">
        <v>38</v>
      </c>
      <c r="L189" s="17">
        <v>3</v>
      </c>
      <c r="M189" s="17">
        <v>4</v>
      </c>
      <c r="N189" s="17">
        <v>3</v>
      </c>
      <c r="O189" s="17">
        <v>2</v>
      </c>
      <c r="P189" s="17">
        <v>3</v>
      </c>
    </row>
    <row r="190" spans="10:16" x14ac:dyDescent="0.4">
      <c r="J190" s="17">
        <v>0</v>
      </c>
      <c r="K190" s="17" t="s">
        <v>38</v>
      </c>
      <c r="L190" s="17">
        <v>3</v>
      </c>
      <c r="M190" s="17">
        <v>4</v>
      </c>
      <c r="N190" s="17">
        <v>2</v>
      </c>
      <c r="O190" s="17">
        <v>4</v>
      </c>
      <c r="P190" s="17">
        <v>3.25</v>
      </c>
    </row>
    <row r="191" spans="10:16" x14ac:dyDescent="0.4">
      <c r="J191" s="17">
        <v>1</v>
      </c>
      <c r="K191" s="17" t="s">
        <v>38</v>
      </c>
      <c r="L191" s="17">
        <v>4</v>
      </c>
      <c r="M191" s="17">
        <v>1</v>
      </c>
      <c r="N191" s="17">
        <v>3</v>
      </c>
      <c r="O191" s="17">
        <v>4</v>
      </c>
      <c r="P191" s="17">
        <v>3</v>
      </c>
    </row>
    <row r="192" spans="10:16" x14ac:dyDescent="0.4">
      <c r="J192" s="17">
        <v>1</v>
      </c>
      <c r="K192" s="17" t="s">
        <v>49</v>
      </c>
      <c r="L192" s="17">
        <v>3</v>
      </c>
      <c r="M192" s="17">
        <v>1</v>
      </c>
      <c r="N192" s="17">
        <v>4</v>
      </c>
      <c r="O192" s="17">
        <v>3</v>
      </c>
      <c r="P192" s="17">
        <v>2.75</v>
      </c>
    </row>
    <row r="193" spans="10:16" x14ac:dyDescent="0.4">
      <c r="J193" s="17">
        <v>0</v>
      </c>
      <c r="K193" s="17" t="s">
        <v>38</v>
      </c>
      <c r="L193" s="17">
        <v>3</v>
      </c>
      <c r="M193" s="17">
        <v>4</v>
      </c>
      <c r="N193" s="17">
        <v>4</v>
      </c>
      <c r="O193" s="17">
        <v>3</v>
      </c>
      <c r="P193" s="17">
        <v>3.5</v>
      </c>
    </row>
    <row r="194" spans="10:16" x14ac:dyDescent="0.4">
      <c r="J194" s="17">
        <v>1</v>
      </c>
      <c r="K194" s="17" t="s">
        <v>38</v>
      </c>
      <c r="L194" s="17">
        <v>2</v>
      </c>
      <c r="M194" s="17">
        <v>4</v>
      </c>
      <c r="N194" s="17">
        <v>4</v>
      </c>
      <c r="O194" s="17">
        <v>4</v>
      </c>
      <c r="P194" s="17">
        <v>3.5</v>
      </c>
    </row>
    <row r="195" spans="10:16" x14ac:dyDescent="0.4">
      <c r="J195" s="17">
        <v>0</v>
      </c>
      <c r="K195" s="17" t="s">
        <v>38</v>
      </c>
      <c r="L195" s="17">
        <v>4</v>
      </c>
      <c r="M195" s="17">
        <v>2</v>
      </c>
      <c r="N195" s="17">
        <v>4</v>
      </c>
      <c r="O195" s="17">
        <v>3</v>
      </c>
      <c r="P195" s="17">
        <v>3.25</v>
      </c>
    </row>
    <row r="196" spans="10:16" x14ac:dyDescent="0.4">
      <c r="J196" s="17">
        <v>0</v>
      </c>
      <c r="K196" s="17" t="s">
        <v>49</v>
      </c>
      <c r="L196" s="17">
        <v>4</v>
      </c>
      <c r="M196" s="17">
        <v>2</v>
      </c>
      <c r="N196" s="17">
        <v>2</v>
      </c>
      <c r="O196" s="17">
        <v>2</v>
      </c>
      <c r="P196" s="17">
        <v>2.5</v>
      </c>
    </row>
    <row r="197" spans="10:16" x14ac:dyDescent="0.4">
      <c r="J197" s="17">
        <v>0</v>
      </c>
      <c r="K197" s="17" t="s">
        <v>38</v>
      </c>
      <c r="L197" s="17">
        <v>3</v>
      </c>
      <c r="M197" s="17">
        <v>4</v>
      </c>
      <c r="N197" s="17">
        <v>4</v>
      </c>
      <c r="O197" s="17">
        <v>3</v>
      </c>
      <c r="P197" s="17">
        <v>3.5</v>
      </c>
    </row>
    <row r="198" spans="10:16" x14ac:dyDescent="0.4">
      <c r="J198" s="17">
        <v>1</v>
      </c>
      <c r="K198" s="17" t="s">
        <v>38</v>
      </c>
      <c r="L198" s="17">
        <v>4</v>
      </c>
      <c r="M198" s="17">
        <v>3</v>
      </c>
      <c r="N198" s="17">
        <v>4</v>
      </c>
      <c r="O198" s="17">
        <v>4</v>
      </c>
      <c r="P198" s="17">
        <v>3.75</v>
      </c>
    </row>
    <row r="199" spans="10:16" x14ac:dyDescent="0.4">
      <c r="J199" s="17">
        <v>1</v>
      </c>
      <c r="K199" s="17" t="s">
        <v>49</v>
      </c>
      <c r="L199" s="17">
        <v>3</v>
      </c>
      <c r="M199" s="17">
        <v>3</v>
      </c>
      <c r="N199" s="17">
        <v>4</v>
      </c>
      <c r="O199" s="17">
        <v>4</v>
      </c>
      <c r="P199" s="17">
        <v>3.5</v>
      </c>
    </row>
    <row r="200" spans="10:16" x14ac:dyDescent="0.4">
      <c r="J200" s="17">
        <v>0</v>
      </c>
      <c r="K200" s="17" t="s">
        <v>49</v>
      </c>
      <c r="L200" s="17">
        <v>3</v>
      </c>
      <c r="M200" s="17">
        <v>4</v>
      </c>
      <c r="N200" s="17">
        <v>4</v>
      </c>
      <c r="O200" s="17">
        <v>2</v>
      </c>
      <c r="P200" s="17">
        <v>3.25</v>
      </c>
    </row>
    <row r="201" spans="10:16" x14ac:dyDescent="0.4">
      <c r="J201" s="17">
        <v>1</v>
      </c>
      <c r="K201" s="17" t="s">
        <v>38</v>
      </c>
      <c r="L201" s="17">
        <v>3</v>
      </c>
      <c r="M201" s="17">
        <v>4</v>
      </c>
      <c r="N201" s="17">
        <v>3</v>
      </c>
      <c r="O201" s="17">
        <v>3</v>
      </c>
      <c r="P201" s="17">
        <v>3.25</v>
      </c>
    </row>
    <row r="202" spans="10:16" x14ac:dyDescent="0.4">
      <c r="J202" s="17">
        <v>1</v>
      </c>
      <c r="K202" s="17" t="s">
        <v>38</v>
      </c>
      <c r="L202" s="17">
        <v>2</v>
      </c>
      <c r="M202" s="17">
        <v>2</v>
      </c>
      <c r="N202" s="17">
        <v>4</v>
      </c>
      <c r="O202" s="17">
        <v>3</v>
      </c>
      <c r="P202" s="17">
        <v>2.75</v>
      </c>
    </row>
    <row r="203" spans="10:16" x14ac:dyDescent="0.4">
      <c r="J203" s="17">
        <v>1</v>
      </c>
      <c r="K203" s="17" t="s">
        <v>49</v>
      </c>
      <c r="L203" s="17">
        <v>3</v>
      </c>
      <c r="M203" s="17">
        <v>3</v>
      </c>
      <c r="N203" s="17">
        <v>3</v>
      </c>
      <c r="O203" s="17">
        <v>3</v>
      </c>
      <c r="P203" s="17">
        <v>3</v>
      </c>
    </row>
    <row r="204" spans="10:16" x14ac:dyDescent="0.4">
      <c r="J204" s="17">
        <v>1</v>
      </c>
      <c r="K204" s="17" t="s">
        <v>38</v>
      </c>
      <c r="L204" s="17">
        <v>4</v>
      </c>
      <c r="M204" s="17">
        <v>4</v>
      </c>
      <c r="N204" s="17">
        <v>4</v>
      </c>
      <c r="O204" s="17">
        <v>3</v>
      </c>
      <c r="P204" s="17">
        <v>3.75</v>
      </c>
    </row>
    <row r="205" spans="10:16" x14ac:dyDescent="0.4">
      <c r="J205" s="17">
        <v>0</v>
      </c>
      <c r="K205" s="17" t="s">
        <v>38</v>
      </c>
      <c r="L205" s="17">
        <v>4</v>
      </c>
      <c r="M205" s="17">
        <v>1</v>
      </c>
      <c r="N205" s="17">
        <v>2</v>
      </c>
      <c r="O205" s="17">
        <v>1</v>
      </c>
      <c r="P205" s="17">
        <v>2</v>
      </c>
    </row>
    <row r="206" spans="10:16" x14ac:dyDescent="0.4">
      <c r="J206" s="17">
        <v>1</v>
      </c>
      <c r="K206" s="17" t="s">
        <v>49</v>
      </c>
      <c r="L206" s="17">
        <v>3</v>
      </c>
      <c r="M206" s="17">
        <v>4</v>
      </c>
      <c r="N206" s="17">
        <v>1</v>
      </c>
      <c r="O206" s="17">
        <v>3</v>
      </c>
      <c r="P206" s="17">
        <v>2.75</v>
      </c>
    </row>
    <row r="207" spans="10:16" x14ac:dyDescent="0.4">
      <c r="J207" s="17">
        <v>0</v>
      </c>
      <c r="K207" s="17" t="s">
        <v>49</v>
      </c>
      <c r="L207" s="17">
        <v>2</v>
      </c>
      <c r="M207" s="17">
        <v>1</v>
      </c>
      <c r="N207" s="17">
        <v>4</v>
      </c>
      <c r="O207" s="17">
        <v>3</v>
      </c>
      <c r="P207" s="17">
        <v>2.5</v>
      </c>
    </row>
    <row r="208" spans="10:16" x14ac:dyDescent="0.4">
      <c r="J208" s="17">
        <v>0</v>
      </c>
      <c r="K208" s="17" t="s">
        <v>38</v>
      </c>
      <c r="L208" s="17">
        <v>4</v>
      </c>
      <c r="M208" s="17">
        <v>4</v>
      </c>
      <c r="N208" s="17">
        <v>2</v>
      </c>
      <c r="O208" s="17">
        <v>2</v>
      </c>
      <c r="P208" s="17">
        <v>3</v>
      </c>
    </row>
    <row r="209" spans="10:16" x14ac:dyDescent="0.4">
      <c r="J209" s="17">
        <v>1</v>
      </c>
      <c r="K209" s="17" t="s">
        <v>49</v>
      </c>
      <c r="L209" s="17">
        <v>3</v>
      </c>
      <c r="M209" s="17">
        <v>3</v>
      </c>
      <c r="N209" s="17">
        <v>1</v>
      </c>
      <c r="O209" s="17">
        <v>3</v>
      </c>
      <c r="P209" s="17">
        <v>2.5</v>
      </c>
    </row>
    <row r="210" spans="10:16" x14ac:dyDescent="0.4">
      <c r="J210" s="17">
        <v>0</v>
      </c>
      <c r="K210" s="17" t="s">
        <v>38</v>
      </c>
      <c r="L210" s="17">
        <v>3</v>
      </c>
      <c r="M210" s="17">
        <v>3</v>
      </c>
      <c r="N210" s="17">
        <v>1</v>
      </c>
      <c r="O210" s="17">
        <v>2</v>
      </c>
      <c r="P210" s="17">
        <v>2.25</v>
      </c>
    </row>
    <row r="211" spans="10:16" x14ac:dyDescent="0.4">
      <c r="J211" s="17">
        <v>1</v>
      </c>
      <c r="K211" s="17" t="s">
        <v>38</v>
      </c>
      <c r="L211" s="17">
        <v>3</v>
      </c>
      <c r="M211" s="17">
        <v>4</v>
      </c>
      <c r="N211" s="17">
        <v>2</v>
      </c>
      <c r="O211" s="17">
        <v>3</v>
      </c>
      <c r="P211" s="17">
        <v>3</v>
      </c>
    </row>
    <row r="212" spans="10:16" x14ac:dyDescent="0.4">
      <c r="J212" s="17">
        <v>0</v>
      </c>
      <c r="K212" s="17" t="s">
        <v>49</v>
      </c>
      <c r="L212" s="17">
        <v>4</v>
      </c>
      <c r="M212" s="17">
        <v>3</v>
      </c>
      <c r="N212" s="17">
        <v>3</v>
      </c>
      <c r="O212" s="17">
        <v>3</v>
      </c>
      <c r="P212" s="17">
        <v>3.25</v>
      </c>
    </row>
    <row r="213" spans="10:16" x14ac:dyDescent="0.4">
      <c r="J213" s="17">
        <v>0</v>
      </c>
      <c r="K213" s="17" t="s">
        <v>38</v>
      </c>
      <c r="L213" s="17">
        <v>4</v>
      </c>
      <c r="M213" s="17">
        <v>2</v>
      </c>
      <c r="N213" s="17">
        <v>3</v>
      </c>
      <c r="O213" s="17">
        <v>3</v>
      </c>
      <c r="P213" s="17">
        <v>3</v>
      </c>
    </row>
    <row r="214" spans="10:16" x14ac:dyDescent="0.4">
      <c r="J214" s="17">
        <v>0</v>
      </c>
      <c r="K214" s="17" t="s">
        <v>38</v>
      </c>
      <c r="L214" s="17">
        <v>3</v>
      </c>
      <c r="M214" s="17">
        <v>3</v>
      </c>
      <c r="N214" s="17">
        <v>1</v>
      </c>
      <c r="O214" s="17">
        <v>3</v>
      </c>
      <c r="P214" s="17">
        <v>2.5</v>
      </c>
    </row>
    <row r="215" spans="10:16" x14ac:dyDescent="0.4">
      <c r="J215" s="17">
        <v>1</v>
      </c>
      <c r="K215" s="17" t="s">
        <v>38</v>
      </c>
      <c r="L215" s="17">
        <v>1</v>
      </c>
      <c r="M215" s="17">
        <v>3</v>
      </c>
      <c r="N215" s="17">
        <v>2</v>
      </c>
      <c r="O215" s="17">
        <v>3</v>
      </c>
      <c r="P215" s="17">
        <v>2.25</v>
      </c>
    </row>
    <row r="216" spans="10:16" x14ac:dyDescent="0.4">
      <c r="J216" s="17">
        <v>0</v>
      </c>
      <c r="K216" s="17" t="s">
        <v>38</v>
      </c>
      <c r="L216" s="17">
        <v>3</v>
      </c>
      <c r="M216" s="17">
        <v>3</v>
      </c>
      <c r="N216" s="17">
        <v>1</v>
      </c>
      <c r="O216" s="17">
        <v>3</v>
      </c>
      <c r="P216" s="17">
        <v>2.5</v>
      </c>
    </row>
    <row r="217" spans="10:16" x14ac:dyDescent="0.4">
      <c r="J217" s="17">
        <v>1</v>
      </c>
      <c r="K217" s="17" t="s">
        <v>38</v>
      </c>
      <c r="L217" s="17">
        <v>2</v>
      </c>
      <c r="M217" s="17">
        <v>1</v>
      </c>
      <c r="N217" s="17">
        <v>3</v>
      </c>
      <c r="O217" s="17">
        <v>3</v>
      </c>
      <c r="P217" s="17">
        <v>2.25</v>
      </c>
    </row>
    <row r="218" spans="10:16" x14ac:dyDescent="0.4">
      <c r="J218" s="17">
        <v>0</v>
      </c>
      <c r="K218" s="17" t="s">
        <v>49</v>
      </c>
      <c r="L218" s="17">
        <v>3</v>
      </c>
      <c r="M218" s="17">
        <v>1</v>
      </c>
      <c r="N218" s="17">
        <v>3</v>
      </c>
      <c r="O218" s="17">
        <v>3</v>
      </c>
      <c r="P218" s="17">
        <v>2.5</v>
      </c>
    </row>
    <row r="219" spans="10:16" x14ac:dyDescent="0.4">
      <c r="J219" s="17">
        <v>1</v>
      </c>
      <c r="K219" s="17" t="s">
        <v>38</v>
      </c>
      <c r="L219" s="17">
        <v>4</v>
      </c>
      <c r="M219" s="17">
        <v>3</v>
      </c>
      <c r="N219" s="17">
        <v>2</v>
      </c>
      <c r="O219" s="17">
        <v>3</v>
      </c>
      <c r="P219" s="17">
        <v>3</v>
      </c>
    </row>
    <row r="220" spans="10:16" x14ac:dyDescent="0.4">
      <c r="J220" s="17">
        <v>1</v>
      </c>
      <c r="K220" s="17" t="s">
        <v>49</v>
      </c>
      <c r="L220" s="17">
        <v>3</v>
      </c>
      <c r="M220" s="17">
        <v>2</v>
      </c>
      <c r="N220" s="17">
        <v>3</v>
      </c>
      <c r="O220" s="17">
        <v>3</v>
      </c>
      <c r="P220" s="17">
        <v>2.75</v>
      </c>
    </row>
    <row r="221" spans="10:16" x14ac:dyDescent="0.4">
      <c r="J221" s="17">
        <v>1</v>
      </c>
      <c r="K221" s="17" t="s">
        <v>38</v>
      </c>
      <c r="L221" s="17">
        <v>1</v>
      </c>
      <c r="M221" s="17">
        <v>3</v>
      </c>
      <c r="N221" s="17">
        <v>4</v>
      </c>
      <c r="O221" s="17">
        <v>3</v>
      </c>
      <c r="P221" s="17">
        <v>2.75</v>
      </c>
    </row>
    <row r="222" spans="10:16" x14ac:dyDescent="0.4">
      <c r="J222" s="17">
        <v>1</v>
      </c>
      <c r="K222" s="17" t="s">
        <v>38</v>
      </c>
      <c r="L222" s="17">
        <v>2</v>
      </c>
      <c r="M222" s="17">
        <v>2</v>
      </c>
      <c r="N222" s="17">
        <v>2</v>
      </c>
      <c r="O222" s="17">
        <v>2</v>
      </c>
      <c r="P222" s="17">
        <v>2</v>
      </c>
    </row>
    <row r="223" spans="10:16" x14ac:dyDescent="0.4">
      <c r="J223" s="17">
        <v>0</v>
      </c>
      <c r="K223" s="17" t="s">
        <v>38</v>
      </c>
      <c r="L223" s="17">
        <v>4</v>
      </c>
      <c r="M223" s="17">
        <v>3</v>
      </c>
      <c r="N223" s="17">
        <v>1</v>
      </c>
      <c r="O223" s="17">
        <v>1</v>
      </c>
      <c r="P223" s="17">
        <v>2.25</v>
      </c>
    </row>
    <row r="224" spans="10:16" x14ac:dyDescent="0.4">
      <c r="J224" s="17">
        <v>0</v>
      </c>
      <c r="K224" s="17" t="s">
        <v>38</v>
      </c>
      <c r="L224" s="17">
        <v>4</v>
      </c>
      <c r="M224" s="17">
        <v>3</v>
      </c>
      <c r="N224" s="17">
        <v>2</v>
      </c>
      <c r="O224" s="17">
        <v>3</v>
      </c>
      <c r="P224" s="17">
        <v>3</v>
      </c>
    </row>
    <row r="225" spans="10:16" x14ac:dyDescent="0.4">
      <c r="J225" s="17">
        <v>0</v>
      </c>
      <c r="K225" s="17" t="s">
        <v>49</v>
      </c>
      <c r="L225" s="17">
        <v>3</v>
      </c>
      <c r="M225" s="17">
        <v>3</v>
      </c>
      <c r="N225" s="17">
        <v>3</v>
      </c>
      <c r="O225" s="17">
        <v>3</v>
      </c>
      <c r="P225" s="17">
        <v>3</v>
      </c>
    </row>
    <row r="226" spans="10:16" x14ac:dyDescent="0.4">
      <c r="J226" s="17">
        <v>1</v>
      </c>
      <c r="K226" s="17" t="s">
        <v>38</v>
      </c>
      <c r="L226" s="17">
        <v>3</v>
      </c>
      <c r="M226" s="17">
        <v>1</v>
      </c>
      <c r="N226" s="17">
        <v>2</v>
      </c>
      <c r="O226" s="17">
        <v>3</v>
      </c>
      <c r="P226" s="17">
        <v>2.25</v>
      </c>
    </row>
    <row r="227" spans="10:16" x14ac:dyDescent="0.4">
      <c r="J227" s="17">
        <v>1</v>
      </c>
      <c r="K227" s="17" t="s">
        <v>38</v>
      </c>
      <c r="L227" s="17">
        <v>3</v>
      </c>
      <c r="M227" s="17">
        <v>1</v>
      </c>
      <c r="N227" s="17">
        <v>3</v>
      </c>
      <c r="O227" s="17">
        <v>3</v>
      </c>
      <c r="P227" s="17">
        <v>2.5</v>
      </c>
    </row>
    <row r="228" spans="10:16" x14ac:dyDescent="0.4">
      <c r="J228" s="17">
        <v>0</v>
      </c>
      <c r="K228" s="17" t="s">
        <v>38</v>
      </c>
      <c r="L228" s="17">
        <v>4</v>
      </c>
      <c r="M228" s="17">
        <v>1</v>
      </c>
      <c r="N228" s="17">
        <v>3</v>
      </c>
      <c r="O228" s="17">
        <v>3</v>
      </c>
      <c r="P228" s="17">
        <v>2.75</v>
      </c>
    </row>
    <row r="229" spans="10:16" x14ac:dyDescent="0.4">
      <c r="J229" s="17">
        <v>0</v>
      </c>
      <c r="K229" s="17" t="s">
        <v>49</v>
      </c>
      <c r="L229" s="17">
        <v>3</v>
      </c>
      <c r="M229" s="17">
        <v>4</v>
      </c>
      <c r="N229" s="17">
        <v>3</v>
      </c>
      <c r="O229" s="17">
        <v>3</v>
      </c>
      <c r="P229" s="17">
        <v>3.25</v>
      </c>
    </row>
    <row r="230" spans="10:16" x14ac:dyDescent="0.4">
      <c r="J230" s="17">
        <v>0</v>
      </c>
      <c r="K230" s="17" t="s">
        <v>38</v>
      </c>
      <c r="L230" s="17">
        <v>3</v>
      </c>
      <c r="M230" s="17">
        <v>3</v>
      </c>
      <c r="N230" s="17">
        <v>3</v>
      </c>
      <c r="O230" s="17">
        <v>4</v>
      </c>
      <c r="P230" s="17">
        <v>3.25</v>
      </c>
    </row>
    <row r="231" spans="10:16" x14ac:dyDescent="0.4">
      <c r="J231" s="17">
        <v>1</v>
      </c>
      <c r="K231" s="17" t="s">
        <v>38</v>
      </c>
      <c r="L231" s="17">
        <v>3</v>
      </c>
      <c r="M231" s="17">
        <v>4</v>
      </c>
      <c r="N231" s="17">
        <v>4</v>
      </c>
      <c r="O231" s="17">
        <v>3</v>
      </c>
      <c r="P231" s="17">
        <v>3.5</v>
      </c>
    </row>
    <row r="232" spans="10:16" x14ac:dyDescent="0.4">
      <c r="J232" s="17">
        <v>0</v>
      </c>
      <c r="K232" s="17" t="s">
        <v>38</v>
      </c>
      <c r="L232" s="17">
        <v>3</v>
      </c>
      <c r="M232" s="17">
        <v>3</v>
      </c>
      <c r="N232" s="17">
        <v>3</v>
      </c>
      <c r="O232" s="17">
        <v>3</v>
      </c>
      <c r="P232" s="17">
        <v>3</v>
      </c>
    </row>
    <row r="233" spans="10:16" x14ac:dyDescent="0.4">
      <c r="J233" s="17">
        <v>0</v>
      </c>
      <c r="K233" s="17" t="s">
        <v>38</v>
      </c>
      <c r="L233" s="17">
        <v>2</v>
      </c>
      <c r="M233" s="17">
        <v>1</v>
      </c>
      <c r="N233" s="17">
        <v>3</v>
      </c>
      <c r="O233" s="17">
        <v>2</v>
      </c>
      <c r="P233" s="17">
        <v>2</v>
      </c>
    </row>
    <row r="234" spans="10:16" x14ac:dyDescent="0.4">
      <c r="J234" s="17">
        <v>1</v>
      </c>
      <c r="K234" s="17" t="s">
        <v>49</v>
      </c>
      <c r="L234" s="17">
        <v>3</v>
      </c>
      <c r="M234" s="17">
        <v>1</v>
      </c>
      <c r="N234" s="17">
        <v>4</v>
      </c>
      <c r="O234" s="17">
        <v>3</v>
      </c>
      <c r="P234" s="17">
        <v>2.75</v>
      </c>
    </row>
    <row r="235" spans="10:16" x14ac:dyDescent="0.4">
      <c r="J235" s="17">
        <v>0</v>
      </c>
      <c r="K235" s="17" t="s">
        <v>49</v>
      </c>
      <c r="L235" s="17">
        <v>2</v>
      </c>
      <c r="M235" s="17">
        <v>4</v>
      </c>
      <c r="N235" s="17">
        <v>3</v>
      </c>
      <c r="O235" s="17">
        <v>3</v>
      </c>
      <c r="P235" s="17">
        <v>3</v>
      </c>
    </row>
    <row r="236" spans="10:16" x14ac:dyDescent="0.4">
      <c r="J236" s="17">
        <v>1</v>
      </c>
      <c r="K236" s="17" t="s">
        <v>38</v>
      </c>
      <c r="L236" s="17">
        <v>1</v>
      </c>
      <c r="M236" s="17">
        <v>1</v>
      </c>
      <c r="N236" s="17">
        <v>1</v>
      </c>
      <c r="O236" s="17">
        <v>3</v>
      </c>
      <c r="P236" s="17">
        <v>1.5</v>
      </c>
    </row>
    <row r="237" spans="10:16" x14ac:dyDescent="0.4">
      <c r="J237" s="17">
        <v>1</v>
      </c>
      <c r="K237" s="17" t="s">
        <v>38</v>
      </c>
      <c r="L237" s="17">
        <v>4</v>
      </c>
      <c r="M237" s="17">
        <v>2</v>
      </c>
      <c r="N237" s="17">
        <v>2</v>
      </c>
      <c r="O237" s="17">
        <v>3</v>
      </c>
      <c r="P237" s="17">
        <v>2.75</v>
      </c>
    </row>
    <row r="238" spans="10:16" x14ac:dyDescent="0.4">
      <c r="J238" s="17">
        <v>1</v>
      </c>
      <c r="K238" s="17" t="s">
        <v>49</v>
      </c>
      <c r="L238" s="17">
        <v>2</v>
      </c>
      <c r="M238" s="17">
        <v>1</v>
      </c>
      <c r="N238" s="17">
        <v>4</v>
      </c>
      <c r="O238" s="17">
        <v>3</v>
      </c>
      <c r="P238" s="17">
        <v>2.5</v>
      </c>
    </row>
    <row r="239" spans="10:16" x14ac:dyDescent="0.4">
      <c r="J239" s="17">
        <v>1</v>
      </c>
      <c r="K239" s="17" t="s">
        <v>49</v>
      </c>
      <c r="L239" s="17">
        <v>3</v>
      </c>
      <c r="M239" s="17">
        <v>2</v>
      </c>
      <c r="N239" s="17">
        <v>1</v>
      </c>
      <c r="O239" s="17">
        <v>1</v>
      </c>
      <c r="P239" s="17">
        <v>1.75</v>
      </c>
    </row>
    <row r="240" spans="10:16" x14ac:dyDescent="0.4">
      <c r="J240" s="17">
        <v>0</v>
      </c>
      <c r="K240" s="17" t="s">
        <v>38</v>
      </c>
      <c r="L240" s="17">
        <v>1</v>
      </c>
      <c r="M240" s="17">
        <v>2</v>
      </c>
      <c r="N240" s="17">
        <v>3</v>
      </c>
      <c r="O240" s="17">
        <v>3</v>
      </c>
      <c r="P240" s="17">
        <v>2.25</v>
      </c>
    </row>
    <row r="241" spans="10:16" x14ac:dyDescent="0.4">
      <c r="J241" s="17">
        <v>1</v>
      </c>
      <c r="K241" s="17" t="s">
        <v>49</v>
      </c>
      <c r="L241" s="17">
        <v>2</v>
      </c>
      <c r="M241" s="17">
        <v>2</v>
      </c>
      <c r="N241" s="17">
        <v>2</v>
      </c>
      <c r="O241" s="17">
        <v>2</v>
      </c>
      <c r="P241" s="17">
        <v>2</v>
      </c>
    </row>
    <row r="242" spans="10:16" x14ac:dyDescent="0.4">
      <c r="J242" s="17">
        <v>0</v>
      </c>
      <c r="K242" s="17" t="s">
        <v>38</v>
      </c>
      <c r="L242" s="17">
        <v>1</v>
      </c>
      <c r="M242" s="17">
        <v>2</v>
      </c>
      <c r="N242" s="17">
        <v>3</v>
      </c>
      <c r="O242" s="17">
        <v>3</v>
      </c>
      <c r="P242" s="17">
        <v>2.25</v>
      </c>
    </row>
    <row r="243" spans="10:16" x14ac:dyDescent="0.4">
      <c r="J243" s="17">
        <v>1</v>
      </c>
      <c r="K243" s="17" t="s">
        <v>49</v>
      </c>
      <c r="L243" s="17">
        <v>1</v>
      </c>
      <c r="M243" s="17">
        <v>3</v>
      </c>
      <c r="N243" s="17">
        <v>2</v>
      </c>
      <c r="O243" s="17">
        <v>1</v>
      </c>
      <c r="P243" s="17">
        <v>1.75</v>
      </c>
    </row>
    <row r="244" spans="10:16" x14ac:dyDescent="0.4">
      <c r="J244" s="17">
        <v>0</v>
      </c>
      <c r="K244" s="17" t="s">
        <v>49</v>
      </c>
      <c r="L244" s="17">
        <v>4</v>
      </c>
      <c r="M244" s="17">
        <v>4</v>
      </c>
      <c r="N244" s="17">
        <v>3</v>
      </c>
      <c r="O244" s="17">
        <v>3</v>
      </c>
      <c r="P244" s="17">
        <v>3.5</v>
      </c>
    </row>
    <row r="245" spans="10:16" x14ac:dyDescent="0.4">
      <c r="J245" s="17">
        <v>1</v>
      </c>
      <c r="K245" s="17" t="s">
        <v>38</v>
      </c>
      <c r="L245" s="17">
        <v>2</v>
      </c>
      <c r="M245" s="17">
        <v>2</v>
      </c>
      <c r="N245" s="17">
        <v>4</v>
      </c>
      <c r="O245" s="17">
        <v>2</v>
      </c>
      <c r="P245" s="17">
        <v>2.5</v>
      </c>
    </row>
    <row r="246" spans="10:16" x14ac:dyDescent="0.4">
      <c r="J246" s="17">
        <v>1</v>
      </c>
      <c r="K246" s="17" t="s">
        <v>38</v>
      </c>
      <c r="L246" s="17">
        <v>1</v>
      </c>
      <c r="M246" s="17">
        <v>3</v>
      </c>
      <c r="N246" s="17">
        <v>4</v>
      </c>
      <c r="O246" s="17">
        <v>2</v>
      </c>
      <c r="P246" s="17">
        <v>2.5</v>
      </c>
    </row>
    <row r="247" spans="10:16" x14ac:dyDescent="0.4">
      <c r="J247" s="17">
        <v>0</v>
      </c>
      <c r="K247" s="17" t="s">
        <v>38</v>
      </c>
      <c r="L247" s="17">
        <v>1</v>
      </c>
      <c r="M247" s="17">
        <v>3</v>
      </c>
      <c r="N247" s="17">
        <v>4</v>
      </c>
      <c r="O247" s="17">
        <v>3</v>
      </c>
      <c r="P247" s="17">
        <v>2.75</v>
      </c>
    </row>
    <row r="248" spans="10:16" x14ac:dyDescent="0.4">
      <c r="J248" s="17">
        <v>0</v>
      </c>
      <c r="K248" s="17" t="s">
        <v>49</v>
      </c>
      <c r="L248" s="17">
        <v>4</v>
      </c>
      <c r="M248" s="17">
        <v>2</v>
      </c>
      <c r="N248" s="17">
        <v>2</v>
      </c>
      <c r="O248" s="17">
        <v>2</v>
      </c>
      <c r="P248" s="17">
        <v>2.5</v>
      </c>
    </row>
    <row r="249" spans="10:16" x14ac:dyDescent="0.4">
      <c r="J249" s="17">
        <v>0</v>
      </c>
      <c r="K249" s="17" t="s">
        <v>38</v>
      </c>
      <c r="L249" s="17">
        <v>1</v>
      </c>
      <c r="M249" s="17">
        <v>1</v>
      </c>
      <c r="N249" s="17">
        <v>3</v>
      </c>
      <c r="O249" s="17">
        <v>3</v>
      </c>
      <c r="P249" s="17">
        <v>2</v>
      </c>
    </row>
    <row r="250" spans="10:16" x14ac:dyDescent="0.4">
      <c r="J250" s="17">
        <v>0</v>
      </c>
      <c r="K250" s="17" t="s">
        <v>49</v>
      </c>
      <c r="L250" s="17">
        <v>2</v>
      </c>
      <c r="M250" s="17">
        <v>3</v>
      </c>
      <c r="N250" s="17">
        <v>1</v>
      </c>
      <c r="O250" s="17">
        <v>3</v>
      </c>
      <c r="P250" s="17">
        <v>2.25</v>
      </c>
    </row>
    <row r="251" spans="10:16" x14ac:dyDescent="0.4">
      <c r="J251" s="17">
        <v>1</v>
      </c>
      <c r="K251" s="17" t="s">
        <v>49</v>
      </c>
      <c r="L251" s="17">
        <v>2</v>
      </c>
      <c r="M251" s="17">
        <v>3</v>
      </c>
      <c r="N251" s="17">
        <v>3</v>
      </c>
      <c r="O251" s="17">
        <v>3</v>
      </c>
      <c r="P251" s="17">
        <v>2.75</v>
      </c>
    </row>
    <row r="252" spans="10:16" x14ac:dyDescent="0.4">
      <c r="J252" s="17">
        <v>0</v>
      </c>
      <c r="K252" s="17" t="s">
        <v>49</v>
      </c>
      <c r="L252" s="17">
        <v>1</v>
      </c>
      <c r="M252" s="17">
        <v>3</v>
      </c>
      <c r="N252" s="17">
        <v>2</v>
      </c>
      <c r="O252" s="17">
        <v>3</v>
      </c>
      <c r="P252" s="17">
        <v>2.25</v>
      </c>
    </row>
    <row r="253" spans="10:16" x14ac:dyDescent="0.4">
      <c r="J253" s="17">
        <v>0</v>
      </c>
      <c r="K253" s="17" t="s">
        <v>49</v>
      </c>
      <c r="L253" s="17">
        <v>4</v>
      </c>
      <c r="M253" s="17">
        <v>3</v>
      </c>
      <c r="N253" s="17">
        <v>2</v>
      </c>
      <c r="O253" s="17">
        <v>2</v>
      </c>
      <c r="P253" s="17">
        <v>2.75</v>
      </c>
    </row>
    <row r="254" spans="10:16" x14ac:dyDescent="0.4">
      <c r="J254" s="17">
        <v>0</v>
      </c>
      <c r="K254" s="17" t="s">
        <v>49</v>
      </c>
      <c r="L254" s="17">
        <v>4</v>
      </c>
      <c r="M254" s="17">
        <v>1</v>
      </c>
      <c r="N254" s="17">
        <v>3</v>
      </c>
      <c r="O254" s="17">
        <v>3</v>
      </c>
      <c r="P254" s="17">
        <v>2.75</v>
      </c>
    </row>
    <row r="255" spans="10:16" x14ac:dyDescent="0.4">
      <c r="J255" s="17">
        <v>1</v>
      </c>
      <c r="K255" s="17" t="s">
        <v>38</v>
      </c>
      <c r="L255" s="17">
        <v>1</v>
      </c>
      <c r="M255" s="17">
        <v>4</v>
      </c>
      <c r="N255" s="17">
        <v>3</v>
      </c>
      <c r="O255" s="17">
        <v>3</v>
      </c>
      <c r="P255" s="17">
        <v>2.75</v>
      </c>
    </row>
    <row r="256" spans="10:16" x14ac:dyDescent="0.4">
      <c r="J256" s="17">
        <v>0</v>
      </c>
      <c r="K256" s="17" t="s">
        <v>49</v>
      </c>
      <c r="L256" s="17">
        <v>2</v>
      </c>
      <c r="M256" s="17">
        <v>3</v>
      </c>
      <c r="N256" s="17">
        <v>3</v>
      </c>
      <c r="O256" s="17">
        <v>2</v>
      </c>
      <c r="P256" s="17">
        <v>2.5</v>
      </c>
    </row>
    <row r="257" spans="10:16" x14ac:dyDescent="0.4">
      <c r="J257" s="17">
        <v>0</v>
      </c>
      <c r="K257" s="17" t="s">
        <v>49</v>
      </c>
      <c r="L257" s="17">
        <v>1</v>
      </c>
      <c r="M257" s="17">
        <v>3</v>
      </c>
      <c r="N257" s="17">
        <v>1</v>
      </c>
      <c r="O257" s="17">
        <v>1</v>
      </c>
      <c r="P257" s="17">
        <v>1.5</v>
      </c>
    </row>
    <row r="258" spans="10:16" x14ac:dyDescent="0.4">
      <c r="J258" s="17">
        <v>1</v>
      </c>
      <c r="K258" s="17" t="s">
        <v>38</v>
      </c>
      <c r="L258" s="17">
        <v>1</v>
      </c>
      <c r="M258" s="17">
        <v>2</v>
      </c>
      <c r="N258" s="17">
        <v>3</v>
      </c>
      <c r="O258" s="17">
        <v>3</v>
      </c>
      <c r="P258" s="17">
        <v>2.25</v>
      </c>
    </row>
    <row r="259" spans="10:16" x14ac:dyDescent="0.4">
      <c r="J259" s="17">
        <v>1</v>
      </c>
      <c r="K259" s="17" t="s">
        <v>49</v>
      </c>
      <c r="L259" s="17">
        <v>4</v>
      </c>
      <c r="M259" s="17">
        <v>4</v>
      </c>
      <c r="N259" s="17">
        <v>3</v>
      </c>
      <c r="O259" s="17">
        <v>2</v>
      </c>
      <c r="P259" s="17">
        <v>3.25</v>
      </c>
    </row>
    <row r="260" spans="10:16" x14ac:dyDescent="0.4">
      <c r="J260" s="17">
        <v>0</v>
      </c>
      <c r="K260" s="17" t="s">
        <v>38</v>
      </c>
      <c r="L260" s="17">
        <v>4</v>
      </c>
      <c r="M260" s="17">
        <v>1</v>
      </c>
      <c r="N260" s="17">
        <v>2</v>
      </c>
      <c r="O260" s="17">
        <v>3</v>
      </c>
      <c r="P260" s="17">
        <v>2.5</v>
      </c>
    </row>
    <row r="261" spans="10:16" x14ac:dyDescent="0.4">
      <c r="J261" s="17">
        <v>1</v>
      </c>
      <c r="K261" s="17" t="s">
        <v>49</v>
      </c>
      <c r="L261" s="17">
        <v>4</v>
      </c>
      <c r="M261" s="17">
        <v>4</v>
      </c>
      <c r="N261" s="17">
        <v>3</v>
      </c>
      <c r="O261" s="17">
        <v>3</v>
      </c>
      <c r="P261" s="17">
        <v>3.5</v>
      </c>
    </row>
    <row r="262" spans="10:16" x14ac:dyDescent="0.4">
      <c r="J262" s="17">
        <v>1</v>
      </c>
      <c r="K262" s="17" t="s">
        <v>49</v>
      </c>
      <c r="L262" s="17">
        <v>1</v>
      </c>
      <c r="M262" s="17">
        <v>4</v>
      </c>
      <c r="N262" s="17">
        <v>1</v>
      </c>
      <c r="O262" s="17">
        <v>3</v>
      </c>
      <c r="P262" s="17">
        <v>2.25</v>
      </c>
    </row>
    <row r="263" spans="10:16" x14ac:dyDescent="0.4">
      <c r="J263" s="17">
        <v>0</v>
      </c>
      <c r="K263" s="17" t="s">
        <v>38</v>
      </c>
      <c r="L263" s="17">
        <v>3</v>
      </c>
      <c r="M263" s="17">
        <v>4</v>
      </c>
      <c r="N263" s="17">
        <v>1</v>
      </c>
      <c r="O263" s="17">
        <v>3</v>
      </c>
      <c r="P263" s="17">
        <v>2.75</v>
      </c>
    </row>
    <row r="264" spans="10:16" x14ac:dyDescent="0.4">
      <c r="J264" s="17">
        <v>1</v>
      </c>
      <c r="K264" s="17" t="s">
        <v>49</v>
      </c>
      <c r="L264" s="17">
        <v>3</v>
      </c>
      <c r="M264" s="17">
        <v>4</v>
      </c>
      <c r="N264" s="17">
        <v>1</v>
      </c>
      <c r="O264" s="17">
        <v>3</v>
      </c>
      <c r="P264" s="17">
        <v>2.75</v>
      </c>
    </row>
    <row r="265" spans="10:16" x14ac:dyDescent="0.4">
      <c r="J265" s="17">
        <v>1</v>
      </c>
      <c r="K265" s="17" t="s">
        <v>49</v>
      </c>
      <c r="L265" s="17">
        <v>4</v>
      </c>
      <c r="M265" s="17">
        <v>2</v>
      </c>
      <c r="N265" s="17">
        <v>4</v>
      </c>
      <c r="O265" s="17">
        <v>3</v>
      </c>
      <c r="P265" s="17">
        <v>3.25</v>
      </c>
    </row>
    <row r="266" spans="10:16" x14ac:dyDescent="0.4">
      <c r="J266" s="17">
        <v>0</v>
      </c>
      <c r="K266" s="17" t="s">
        <v>38</v>
      </c>
      <c r="L266" s="17">
        <v>3</v>
      </c>
      <c r="M266" s="17">
        <v>4</v>
      </c>
      <c r="N266" s="17">
        <v>3</v>
      </c>
      <c r="O266" s="17">
        <v>3</v>
      </c>
      <c r="P266" s="17">
        <v>3.25</v>
      </c>
    </row>
    <row r="267" spans="10:16" x14ac:dyDescent="0.4">
      <c r="J267" s="17">
        <v>1</v>
      </c>
      <c r="K267" s="17" t="s">
        <v>49</v>
      </c>
      <c r="L267" s="17">
        <v>4</v>
      </c>
      <c r="M267" s="17">
        <v>4</v>
      </c>
      <c r="N267" s="17">
        <v>3</v>
      </c>
      <c r="O267" s="17">
        <v>3</v>
      </c>
      <c r="P267" s="17">
        <v>3.5</v>
      </c>
    </row>
    <row r="268" spans="10:16" x14ac:dyDescent="0.4">
      <c r="J268" s="17">
        <v>1</v>
      </c>
      <c r="K268" s="17" t="s">
        <v>49</v>
      </c>
      <c r="L268" s="17">
        <v>4</v>
      </c>
      <c r="M268" s="17">
        <v>3</v>
      </c>
      <c r="N268" s="17">
        <v>3</v>
      </c>
      <c r="O268" s="17">
        <v>3</v>
      </c>
      <c r="P268" s="17">
        <v>3.25</v>
      </c>
    </row>
    <row r="269" spans="10:16" x14ac:dyDescent="0.4">
      <c r="J269" s="17">
        <v>0</v>
      </c>
      <c r="K269" s="17" t="s">
        <v>38</v>
      </c>
      <c r="L269" s="17">
        <v>1</v>
      </c>
      <c r="M269" s="17">
        <v>1</v>
      </c>
      <c r="N269" s="17">
        <v>1</v>
      </c>
      <c r="O269" s="17">
        <v>3</v>
      </c>
      <c r="P269" s="17">
        <v>1.5</v>
      </c>
    </row>
    <row r="270" spans="10:16" x14ac:dyDescent="0.4">
      <c r="J270" s="17">
        <v>1</v>
      </c>
      <c r="K270" s="17" t="s">
        <v>49</v>
      </c>
      <c r="L270" s="17">
        <v>4</v>
      </c>
      <c r="M270" s="17">
        <v>1</v>
      </c>
      <c r="N270" s="17">
        <v>1</v>
      </c>
      <c r="O270" s="17">
        <v>1</v>
      </c>
      <c r="P270" s="17">
        <v>1.75</v>
      </c>
    </row>
    <row r="271" spans="10:16" x14ac:dyDescent="0.4">
      <c r="J271" s="17">
        <v>1</v>
      </c>
      <c r="K271" s="17" t="s">
        <v>49</v>
      </c>
      <c r="L271" s="17">
        <v>1</v>
      </c>
      <c r="M271" s="17">
        <v>4</v>
      </c>
      <c r="N271" s="17">
        <v>3</v>
      </c>
      <c r="O271" s="17">
        <v>3</v>
      </c>
      <c r="P271" s="17">
        <v>2.75</v>
      </c>
    </row>
    <row r="272" spans="10:16" x14ac:dyDescent="0.4">
      <c r="J272" s="17">
        <v>0</v>
      </c>
      <c r="K272" s="17" t="s">
        <v>49</v>
      </c>
      <c r="L272" s="17">
        <v>2</v>
      </c>
      <c r="M272" s="17">
        <v>2</v>
      </c>
      <c r="N272" s="17">
        <v>3</v>
      </c>
      <c r="O272" s="17">
        <v>3</v>
      </c>
      <c r="P272" s="17">
        <v>2.5</v>
      </c>
    </row>
    <row r="273" spans="10:16" x14ac:dyDescent="0.4">
      <c r="J273" s="17">
        <v>0</v>
      </c>
      <c r="K273" s="17" t="s">
        <v>38</v>
      </c>
      <c r="L273" s="17">
        <v>1</v>
      </c>
      <c r="M273" s="17">
        <v>4</v>
      </c>
      <c r="N273" s="17">
        <v>2</v>
      </c>
      <c r="O273" s="17">
        <v>3</v>
      </c>
      <c r="P273" s="17">
        <v>2.5</v>
      </c>
    </row>
    <row r="274" spans="10:16" x14ac:dyDescent="0.4">
      <c r="J274" s="17">
        <v>0</v>
      </c>
      <c r="K274" s="17" t="s">
        <v>49</v>
      </c>
      <c r="L274" s="17">
        <v>2</v>
      </c>
      <c r="M274" s="17">
        <v>4</v>
      </c>
      <c r="N274" s="17">
        <v>1</v>
      </c>
      <c r="O274" s="17">
        <v>3</v>
      </c>
      <c r="P274" s="17">
        <v>2.5</v>
      </c>
    </row>
    <row r="275" spans="10:16" x14ac:dyDescent="0.4">
      <c r="J275" s="17">
        <v>0</v>
      </c>
      <c r="K275" s="17" t="s">
        <v>49</v>
      </c>
      <c r="L275" s="17">
        <v>4</v>
      </c>
      <c r="M275" s="17">
        <v>4</v>
      </c>
      <c r="N275" s="17">
        <v>3</v>
      </c>
      <c r="O275" s="17">
        <v>3</v>
      </c>
      <c r="P275" s="17">
        <v>3.5</v>
      </c>
    </row>
    <row r="276" spans="10:16" x14ac:dyDescent="0.4">
      <c r="J276" s="17">
        <v>1</v>
      </c>
      <c r="K276" s="17" t="s">
        <v>49</v>
      </c>
      <c r="L276" s="17">
        <v>4</v>
      </c>
      <c r="M276" s="17">
        <v>4</v>
      </c>
      <c r="N276" s="17">
        <v>2</v>
      </c>
      <c r="O276" s="17">
        <v>2</v>
      </c>
      <c r="P276" s="17">
        <v>3</v>
      </c>
    </row>
    <row r="277" spans="10:16" x14ac:dyDescent="0.4">
      <c r="J277" s="17">
        <v>1</v>
      </c>
      <c r="K277" s="17" t="s">
        <v>38</v>
      </c>
      <c r="L277" s="17">
        <v>1</v>
      </c>
      <c r="M277" s="17">
        <v>3</v>
      </c>
      <c r="N277" s="17">
        <v>3</v>
      </c>
      <c r="O277" s="17">
        <v>3</v>
      </c>
      <c r="P277" s="17">
        <v>2.5</v>
      </c>
    </row>
    <row r="278" spans="10:16" x14ac:dyDescent="0.4">
      <c r="J278" s="17">
        <v>0</v>
      </c>
      <c r="K278" s="17" t="s">
        <v>49</v>
      </c>
      <c r="L278" s="17">
        <v>1</v>
      </c>
      <c r="M278" s="17">
        <v>3</v>
      </c>
      <c r="N278" s="17">
        <v>3</v>
      </c>
      <c r="O278" s="17">
        <v>2</v>
      </c>
      <c r="P278" s="17">
        <v>2.25</v>
      </c>
    </row>
    <row r="279" spans="10:16" x14ac:dyDescent="0.4">
      <c r="J279" s="17">
        <v>0</v>
      </c>
      <c r="K279" s="17" t="s">
        <v>49</v>
      </c>
      <c r="L279" s="17">
        <v>3</v>
      </c>
      <c r="M279" s="17">
        <v>1</v>
      </c>
      <c r="N279" s="17">
        <v>2</v>
      </c>
      <c r="O279" s="17">
        <v>4</v>
      </c>
      <c r="P279" s="17">
        <v>2.5</v>
      </c>
    </row>
    <row r="280" spans="10:16" x14ac:dyDescent="0.4">
      <c r="J280" s="17">
        <v>1</v>
      </c>
      <c r="K280" s="17" t="s">
        <v>49</v>
      </c>
      <c r="L280" s="17">
        <v>1</v>
      </c>
      <c r="M280" s="17">
        <v>2</v>
      </c>
      <c r="N280" s="17">
        <v>2</v>
      </c>
      <c r="O280" s="17">
        <v>3</v>
      </c>
      <c r="P280" s="17">
        <v>2</v>
      </c>
    </row>
    <row r="281" spans="10:16" x14ac:dyDescent="0.4">
      <c r="J281" s="17">
        <v>0</v>
      </c>
      <c r="K281" s="17" t="s">
        <v>38</v>
      </c>
      <c r="L281" s="17">
        <v>1</v>
      </c>
      <c r="M281" s="17">
        <v>2</v>
      </c>
      <c r="N281" s="17">
        <v>3</v>
      </c>
      <c r="O281" s="17">
        <v>4</v>
      </c>
      <c r="P281" s="17">
        <v>2.5</v>
      </c>
    </row>
    <row r="282" spans="10:16" x14ac:dyDescent="0.4">
      <c r="J282" s="17">
        <v>0</v>
      </c>
      <c r="K282" s="17" t="s">
        <v>38</v>
      </c>
      <c r="L282" s="17">
        <v>4</v>
      </c>
      <c r="M282" s="17">
        <v>4</v>
      </c>
      <c r="N282" s="17">
        <v>4</v>
      </c>
      <c r="O282" s="17">
        <v>1</v>
      </c>
      <c r="P282" s="17">
        <v>3.25</v>
      </c>
    </row>
    <row r="283" spans="10:16" x14ac:dyDescent="0.4">
      <c r="J283" s="17">
        <v>0</v>
      </c>
      <c r="K283" s="17" t="s">
        <v>38</v>
      </c>
      <c r="L283" s="17">
        <v>2</v>
      </c>
      <c r="M283" s="17">
        <v>1</v>
      </c>
      <c r="N283" s="17">
        <v>2</v>
      </c>
      <c r="O283" s="17">
        <v>3</v>
      </c>
      <c r="P283" s="17">
        <v>2</v>
      </c>
    </row>
    <row r="284" spans="10:16" x14ac:dyDescent="0.4">
      <c r="J284" s="17">
        <v>0</v>
      </c>
      <c r="K284" s="17" t="s">
        <v>49</v>
      </c>
      <c r="L284" s="17">
        <v>3</v>
      </c>
      <c r="M284" s="17">
        <v>2</v>
      </c>
      <c r="N284" s="17">
        <v>4</v>
      </c>
      <c r="O284" s="17">
        <v>4</v>
      </c>
      <c r="P284" s="17">
        <v>3.25</v>
      </c>
    </row>
    <row r="285" spans="10:16" x14ac:dyDescent="0.4">
      <c r="J285" s="17">
        <v>1</v>
      </c>
      <c r="K285" s="17" t="s">
        <v>49</v>
      </c>
      <c r="L285" s="17">
        <v>3</v>
      </c>
      <c r="M285" s="17">
        <v>4</v>
      </c>
      <c r="N285" s="17">
        <v>3</v>
      </c>
      <c r="O285" s="17">
        <v>3</v>
      </c>
      <c r="P285" s="17">
        <v>3.25</v>
      </c>
    </row>
    <row r="286" spans="10:16" x14ac:dyDescent="0.4">
      <c r="J286" s="17">
        <v>1</v>
      </c>
      <c r="K286" s="17" t="s">
        <v>38</v>
      </c>
      <c r="L286" s="17">
        <v>4</v>
      </c>
      <c r="M286" s="17">
        <v>2</v>
      </c>
      <c r="N286" s="17">
        <v>3</v>
      </c>
      <c r="O286" s="17">
        <v>3</v>
      </c>
      <c r="P286" s="17">
        <v>3</v>
      </c>
    </row>
    <row r="287" spans="10:16" x14ac:dyDescent="0.4">
      <c r="J287" s="17">
        <v>0</v>
      </c>
      <c r="K287" s="17" t="s">
        <v>49</v>
      </c>
      <c r="L287" s="17">
        <v>3</v>
      </c>
      <c r="M287" s="17">
        <v>4</v>
      </c>
      <c r="N287" s="17">
        <v>3</v>
      </c>
      <c r="O287" s="17">
        <v>2</v>
      </c>
      <c r="P287" s="17">
        <v>3</v>
      </c>
    </row>
    <row r="288" spans="10:16" x14ac:dyDescent="0.4">
      <c r="J288" s="17">
        <v>0</v>
      </c>
      <c r="K288" s="17" t="s">
        <v>38</v>
      </c>
      <c r="L288" s="17">
        <v>3</v>
      </c>
      <c r="M288" s="17">
        <v>1</v>
      </c>
      <c r="N288" s="17">
        <v>3</v>
      </c>
      <c r="O288" s="17">
        <v>3</v>
      </c>
      <c r="P288" s="17">
        <v>2.5</v>
      </c>
    </row>
    <row r="289" spans="10:16" x14ac:dyDescent="0.4">
      <c r="J289" s="17">
        <v>1</v>
      </c>
      <c r="K289" s="17" t="s">
        <v>38</v>
      </c>
      <c r="L289" s="17">
        <v>1</v>
      </c>
      <c r="M289" s="17">
        <v>2</v>
      </c>
      <c r="N289" s="17">
        <v>4</v>
      </c>
      <c r="O289" s="17">
        <v>3</v>
      </c>
      <c r="P289" s="17">
        <v>2.5</v>
      </c>
    </row>
    <row r="290" spans="10:16" x14ac:dyDescent="0.4">
      <c r="J290" s="17">
        <v>0</v>
      </c>
      <c r="K290" s="17" t="s">
        <v>38</v>
      </c>
      <c r="L290" s="17">
        <v>3</v>
      </c>
      <c r="M290" s="17">
        <v>2</v>
      </c>
      <c r="N290" s="17">
        <v>2</v>
      </c>
      <c r="O290" s="17">
        <v>2</v>
      </c>
      <c r="P290" s="17">
        <v>2.25</v>
      </c>
    </row>
    <row r="291" spans="10:16" x14ac:dyDescent="0.4">
      <c r="J291" s="17">
        <v>1</v>
      </c>
      <c r="K291" s="17" t="s">
        <v>38</v>
      </c>
      <c r="L291" s="17">
        <v>4</v>
      </c>
      <c r="M291" s="17">
        <v>1</v>
      </c>
      <c r="N291" s="17">
        <v>2</v>
      </c>
      <c r="O291" s="17">
        <v>3</v>
      </c>
      <c r="P291" s="17">
        <v>2.5</v>
      </c>
    </row>
    <row r="292" spans="10:16" x14ac:dyDescent="0.4">
      <c r="J292" s="17">
        <v>0</v>
      </c>
      <c r="K292" s="17" t="s">
        <v>49</v>
      </c>
      <c r="L292" s="17">
        <v>1</v>
      </c>
      <c r="M292" s="17">
        <v>1</v>
      </c>
      <c r="N292" s="17">
        <v>4</v>
      </c>
      <c r="O292" s="17">
        <v>3</v>
      </c>
      <c r="P292" s="17">
        <v>2.25</v>
      </c>
    </row>
    <row r="293" spans="10:16" x14ac:dyDescent="0.4">
      <c r="J293" s="17">
        <v>1</v>
      </c>
      <c r="K293" s="17" t="s">
        <v>49</v>
      </c>
      <c r="L293" s="17">
        <v>2</v>
      </c>
      <c r="M293" s="17">
        <v>4</v>
      </c>
      <c r="N293" s="17">
        <v>4</v>
      </c>
      <c r="O293" s="17">
        <v>3</v>
      </c>
      <c r="P293" s="17">
        <v>3.25</v>
      </c>
    </row>
    <row r="294" spans="10:16" x14ac:dyDescent="0.4">
      <c r="J294" s="17">
        <v>1</v>
      </c>
      <c r="K294" s="17" t="s">
        <v>49</v>
      </c>
      <c r="L294" s="17">
        <v>3</v>
      </c>
      <c r="M294" s="17">
        <v>1</v>
      </c>
      <c r="N294" s="17">
        <v>1</v>
      </c>
      <c r="O294" s="17">
        <v>3</v>
      </c>
      <c r="P294" s="17">
        <v>2</v>
      </c>
    </row>
    <row r="295" spans="10:16" x14ac:dyDescent="0.4">
      <c r="J295" s="17">
        <v>0</v>
      </c>
      <c r="K295" s="17" t="s">
        <v>49</v>
      </c>
      <c r="L295" s="17">
        <v>3</v>
      </c>
      <c r="M295" s="17">
        <v>2</v>
      </c>
      <c r="N295" s="17">
        <v>4</v>
      </c>
      <c r="O295" s="17">
        <v>3</v>
      </c>
      <c r="P295" s="17">
        <v>3</v>
      </c>
    </row>
    <row r="296" spans="10:16" x14ac:dyDescent="0.4">
      <c r="J296" s="17">
        <v>1</v>
      </c>
      <c r="K296" s="17" t="s">
        <v>49</v>
      </c>
      <c r="L296" s="17">
        <v>1</v>
      </c>
      <c r="M296" s="17">
        <v>3</v>
      </c>
      <c r="N296" s="17">
        <v>2</v>
      </c>
      <c r="O296" s="17">
        <v>4</v>
      </c>
      <c r="P296" s="17">
        <v>2.5</v>
      </c>
    </row>
    <row r="297" spans="10:16" x14ac:dyDescent="0.4">
      <c r="J297" s="17">
        <v>0</v>
      </c>
      <c r="K297" s="17" t="s">
        <v>49</v>
      </c>
      <c r="L297" s="17">
        <v>4</v>
      </c>
      <c r="M297" s="17">
        <v>4</v>
      </c>
      <c r="N297" s="17">
        <v>2</v>
      </c>
      <c r="O297" s="17">
        <v>3</v>
      </c>
      <c r="P297" s="17">
        <v>3.25</v>
      </c>
    </row>
    <row r="298" spans="10:16" x14ac:dyDescent="0.4">
      <c r="J298" s="17">
        <v>1</v>
      </c>
      <c r="K298" s="17" t="s">
        <v>38</v>
      </c>
      <c r="L298" s="17">
        <v>4</v>
      </c>
      <c r="M298" s="17">
        <v>4</v>
      </c>
      <c r="N298" s="17">
        <v>3</v>
      </c>
      <c r="O298" s="17">
        <v>3</v>
      </c>
      <c r="P298" s="17">
        <v>3.5</v>
      </c>
    </row>
    <row r="299" spans="10:16" x14ac:dyDescent="0.4">
      <c r="J299" s="17">
        <v>0</v>
      </c>
      <c r="K299" s="17" t="s">
        <v>38</v>
      </c>
      <c r="L299" s="17">
        <v>4</v>
      </c>
      <c r="M299" s="17">
        <v>4</v>
      </c>
      <c r="N299" s="17">
        <v>4</v>
      </c>
      <c r="O299" s="17">
        <v>2</v>
      </c>
      <c r="P299" s="17">
        <v>3.5</v>
      </c>
    </row>
    <row r="300" spans="10:16" x14ac:dyDescent="0.4">
      <c r="J300" s="17">
        <v>0</v>
      </c>
      <c r="K300" s="17" t="s">
        <v>49</v>
      </c>
      <c r="L300" s="17">
        <v>2</v>
      </c>
      <c r="M300" s="17">
        <v>3</v>
      </c>
      <c r="N300" s="17">
        <v>3</v>
      </c>
      <c r="O300" s="17">
        <v>3</v>
      </c>
      <c r="P300" s="17">
        <v>2.75</v>
      </c>
    </row>
    <row r="301" spans="10:16" x14ac:dyDescent="0.4">
      <c r="J301" s="17">
        <v>1</v>
      </c>
      <c r="K301" s="17" t="s">
        <v>38</v>
      </c>
      <c r="L301" s="17">
        <v>4</v>
      </c>
      <c r="M301" s="17">
        <v>4</v>
      </c>
      <c r="N301" s="17">
        <v>2</v>
      </c>
      <c r="O301" s="17">
        <v>4</v>
      </c>
      <c r="P301" s="17">
        <v>3.5</v>
      </c>
    </row>
    <row r="302" spans="10:16" x14ac:dyDescent="0.4">
      <c r="J302" s="17">
        <v>0</v>
      </c>
      <c r="K302" s="17" t="s">
        <v>49</v>
      </c>
      <c r="L302" s="17">
        <v>4</v>
      </c>
      <c r="M302" s="17">
        <v>4</v>
      </c>
      <c r="N302" s="17">
        <v>2</v>
      </c>
      <c r="O302" s="17">
        <v>3</v>
      </c>
      <c r="P302" s="17">
        <v>3.25</v>
      </c>
    </row>
    <row r="303" spans="10:16" x14ac:dyDescent="0.4">
      <c r="J303" s="17">
        <v>0</v>
      </c>
      <c r="K303" s="17" t="s">
        <v>38</v>
      </c>
      <c r="L303" s="17">
        <v>4</v>
      </c>
      <c r="M303" s="17">
        <v>1</v>
      </c>
      <c r="N303" s="17">
        <v>3</v>
      </c>
      <c r="O303" s="17">
        <v>3</v>
      </c>
      <c r="P303" s="17">
        <v>2.75</v>
      </c>
    </row>
    <row r="304" spans="10:16" x14ac:dyDescent="0.4">
      <c r="J304" s="17">
        <v>1</v>
      </c>
      <c r="K304" s="17" t="s">
        <v>38</v>
      </c>
      <c r="L304" s="17">
        <v>4</v>
      </c>
      <c r="M304" s="17">
        <v>4</v>
      </c>
      <c r="N304" s="17">
        <v>3</v>
      </c>
      <c r="O304" s="17">
        <v>2</v>
      </c>
      <c r="P304" s="17">
        <v>3.25</v>
      </c>
    </row>
    <row r="305" spans="10:16" x14ac:dyDescent="0.4">
      <c r="J305" s="17">
        <v>1</v>
      </c>
      <c r="K305" s="17" t="s">
        <v>49</v>
      </c>
      <c r="L305" s="17">
        <v>3</v>
      </c>
      <c r="M305" s="17">
        <v>3</v>
      </c>
      <c r="N305" s="17">
        <v>4</v>
      </c>
      <c r="O305" s="17">
        <v>3</v>
      </c>
      <c r="P305" s="17">
        <v>3.25</v>
      </c>
    </row>
    <row r="306" spans="10:16" x14ac:dyDescent="0.4">
      <c r="J306" s="17">
        <v>0</v>
      </c>
      <c r="K306" s="17" t="s">
        <v>49</v>
      </c>
      <c r="L306" s="17">
        <v>2</v>
      </c>
      <c r="M306" s="17">
        <v>2</v>
      </c>
      <c r="N306" s="17">
        <v>3</v>
      </c>
      <c r="O306" s="17">
        <v>3</v>
      </c>
      <c r="P306" s="17">
        <v>2.5</v>
      </c>
    </row>
    <row r="307" spans="10:16" x14ac:dyDescent="0.4">
      <c r="J307" s="17">
        <v>1</v>
      </c>
      <c r="K307" s="17" t="s">
        <v>38</v>
      </c>
      <c r="L307" s="17">
        <v>1</v>
      </c>
      <c r="M307" s="17">
        <v>2</v>
      </c>
      <c r="N307" s="17">
        <v>1</v>
      </c>
      <c r="O307" s="17">
        <v>2</v>
      </c>
      <c r="P307" s="17">
        <v>1.5</v>
      </c>
    </row>
    <row r="308" spans="10:16" x14ac:dyDescent="0.4">
      <c r="J308" s="17">
        <v>0</v>
      </c>
      <c r="K308" s="17" t="s">
        <v>38</v>
      </c>
      <c r="L308" s="17">
        <v>3</v>
      </c>
      <c r="M308" s="17">
        <v>2</v>
      </c>
      <c r="N308" s="17">
        <v>1</v>
      </c>
      <c r="O308" s="17">
        <v>3</v>
      </c>
      <c r="P308" s="17">
        <v>2.25</v>
      </c>
    </row>
    <row r="309" spans="10:16" x14ac:dyDescent="0.4">
      <c r="J309" s="17">
        <v>1</v>
      </c>
      <c r="K309" s="17" t="s">
        <v>38</v>
      </c>
      <c r="L309" s="17">
        <v>4</v>
      </c>
      <c r="M309" s="17">
        <v>3</v>
      </c>
      <c r="N309" s="17">
        <v>2</v>
      </c>
      <c r="O309" s="17">
        <v>3</v>
      </c>
      <c r="P309" s="17">
        <v>3</v>
      </c>
    </row>
    <row r="310" spans="10:16" x14ac:dyDescent="0.4">
      <c r="J310" s="17">
        <v>1</v>
      </c>
      <c r="K310" s="17" t="s">
        <v>38</v>
      </c>
      <c r="L310" s="17">
        <v>3</v>
      </c>
      <c r="M310" s="17">
        <v>1</v>
      </c>
      <c r="N310" s="17">
        <v>4</v>
      </c>
      <c r="O310" s="17">
        <v>3</v>
      </c>
      <c r="P310" s="17">
        <v>2.75</v>
      </c>
    </row>
    <row r="311" spans="10:16" x14ac:dyDescent="0.4">
      <c r="J311" s="17">
        <v>0</v>
      </c>
      <c r="K311" s="17" t="s">
        <v>49</v>
      </c>
      <c r="L311" s="17">
        <v>2</v>
      </c>
      <c r="M311" s="17">
        <v>3</v>
      </c>
      <c r="N311" s="17">
        <v>4</v>
      </c>
      <c r="O311" s="17">
        <v>2</v>
      </c>
      <c r="P311" s="17">
        <v>2.75</v>
      </c>
    </row>
    <row r="312" spans="10:16" x14ac:dyDescent="0.4">
      <c r="J312" s="17">
        <v>1</v>
      </c>
      <c r="K312" s="17" t="s">
        <v>49</v>
      </c>
      <c r="L312" s="17">
        <v>4</v>
      </c>
      <c r="M312" s="17">
        <v>2</v>
      </c>
      <c r="N312" s="17">
        <v>3</v>
      </c>
      <c r="O312" s="17">
        <v>3</v>
      </c>
      <c r="P312" s="17">
        <v>3</v>
      </c>
    </row>
    <row r="313" spans="10:16" x14ac:dyDescent="0.4">
      <c r="J313" s="17">
        <v>1</v>
      </c>
      <c r="K313" s="17" t="s">
        <v>49</v>
      </c>
      <c r="L313" s="17">
        <v>3</v>
      </c>
      <c r="M313" s="17">
        <v>4</v>
      </c>
      <c r="N313" s="17">
        <v>4</v>
      </c>
      <c r="O313" s="17">
        <v>3</v>
      </c>
      <c r="P313" s="17">
        <v>3.5</v>
      </c>
    </row>
    <row r="314" spans="10:16" x14ac:dyDescent="0.4">
      <c r="J314" s="17">
        <v>1</v>
      </c>
      <c r="K314" s="17" t="s">
        <v>49</v>
      </c>
      <c r="L314" s="17">
        <v>2</v>
      </c>
      <c r="M314" s="17">
        <v>1</v>
      </c>
      <c r="N314" s="17">
        <v>4</v>
      </c>
      <c r="O314" s="17">
        <v>2</v>
      </c>
      <c r="P314" s="17">
        <v>2.25</v>
      </c>
    </row>
    <row r="315" spans="10:16" x14ac:dyDescent="0.4">
      <c r="J315" s="17">
        <v>1</v>
      </c>
      <c r="K315" s="17" t="s">
        <v>49</v>
      </c>
      <c r="L315" s="17">
        <v>4</v>
      </c>
      <c r="M315" s="17">
        <v>3</v>
      </c>
      <c r="N315" s="17">
        <v>2</v>
      </c>
      <c r="O315" s="17">
        <v>3</v>
      </c>
      <c r="P315" s="17">
        <v>3</v>
      </c>
    </row>
    <row r="316" spans="10:16" x14ac:dyDescent="0.4">
      <c r="J316" s="17">
        <v>0</v>
      </c>
      <c r="K316" s="17" t="s">
        <v>49</v>
      </c>
      <c r="L316" s="17">
        <v>2</v>
      </c>
      <c r="M316" s="17">
        <v>4</v>
      </c>
      <c r="N316" s="17">
        <v>4</v>
      </c>
      <c r="O316" s="17">
        <v>2</v>
      </c>
      <c r="P316" s="17">
        <v>3</v>
      </c>
    </row>
    <row r="317" spans="10:16" x14ac:dyDescent="0.4">
      <c r="J317" s="17">
        <v>0</v>
      </c>
      <c r="K317" s="17" t="s">
        <v>49</v>
      </c>
      <c r="L317" s="17">
        <v>3</v>
      </c>
      <c r="M317" s="17">
        <v>3</v>
      </c>
      <c r="N317" s="17">
        <v>4</v>
      </c>
      <c r="O317" s="17">
        <v>2</v>
      </c>
      <c r="P317" s="17">
        <v>3</v>
      </c>
    </row>
    <row r="318" spans="10:16" x14ac:dyDescent="0.4">
      <c r="J318" s="17">
        <v>1</v>
      </c>
      <c r="K318" s="17" t="s">
        <v>38</v>
      </c>
      <c r="L318" s="17">
        <v>1</v>
      </c>
      <c r="M318" s="17">
        <v>3</v>
      </c>
      <c r="N318" s="17">
        <v>4</v>
      </c>
      <c r="O318" s="17">
        <v>3</v>
      </c>
      <c r="P318" s="17">
        <v>2.75</v>
      </c>
    </row>
    <row r="319" spans="10:16" x14ac:dyDescent="0.4">
      <c r="J319" s="17">
        <v>0</v>
      </c>
      <c r="K319" s="17" t="s">
        <v>38</v>
      </c>
      <c r="L319" s="17">
        <v>4</v>
      </c>
      <c r="M319" s="17">
        <v>3</v>
      </c>
      <c r="N319" s="17">
        <v>4</v>
      </c>
      <c r="O319" s="17">
        <v>3</v>
      </c>
      <c r="P319" s="17">
        <v>3.5</v>
      </c>
    </row>
    <row r="320" spans="10:16" x14ac:dyDescent="0.4">
      <c r="J320" s="17">
        <v>1</v>
      </c>
      <c r="K320" s="17" t="s">
        <v>49</v>
      </c>
      <c r="L320" s="17">
        <v>4</v>
      </c>
      <c r="M320" s="17">
        <v>4</v>
      </c>
      <c r="N320" s="17">
        <v>3</v>
      </c>
      <c r="O320" s="17">
        <v>2</v>
      </c>
      <c r="P320" s="17">
        <v>3.25</v>
      </c>
    </row>
    <row r="321" spans="10:16" x14ac:dyDescent="0.4">
      <c r="J321" s="17">
        <v>0</v>
      </c>
      <c r="K321" s="17" t="s">
        <v>38</v>
      </c>
      <c r="L321" s="17">
        <v>1</v>
      </c>
      <c r="M321" s="17">
        <v>3</v>
      </c>
      <c r="N321" s="17">
        <v>4</v>
      </c>
      <c r="O321" s="17">
        <v>3</v>
      </c>
      <c r="P321" s="17">
        <v>2.75</v>
      </c>
    </row>
    <row r="322" spans="10:16" x14ac:dyDescent="0.4">
      <c r="J322" s="17">
        <v>1</v>
      </c>
      <c r="K322" s="17" t="s">
        <v>38</v>
      </c>
      <c r="L322" s="17">
        <v>1</v>
      </c>
      <c r="M322" s="17">
        <v>3</v>
      </c>
      <c r="N322" s="17">
        <v>1</v>
      </c>
      <c r="O322" s="17">
        <v>2</v>
      </c>
      <c r="P322" s="17">
        <v>1.75</v>
      </c>
    </row>
    <row r="323" spans="10:16" x14ac:dyDescent="0.4">
      <c r="J323" s="17">
        <v>0</v>
      </c>
      <c r="K323" s="17" t="s">
        <v>38</v>
      </c>
      <c r="L323" s="17">
        <v>4</v>
      </c>
      <c r="M323" s="17">
        <v>4</v>
      </c>
      <c r="N323" s="17">
        <v>3</v>
      </c>
      <c r="O323" s="17">
        <v>2</v>
      </c>
      <c r="P323" s="17">
        <v>3.25</v>
      </c>
    </row>
    <row r="324" spans="10:16" x14ac:dyDescent="0.4">
      <c r="J324" s="17">
        <v>0</v>
      </c>
      <c r="K324" s="17" t="s">
        <v>49</v>
      </c>
      <c r="L324" s="17">
        <v>1</v>
      </c>
      <c r="M324" s="17">
        <v>1</v>
      </c>
      <c r="N324" s="17">
        <v>4</v>
      </c>
      <c r="O324" s="17">
        <v>1</v>
      </c>
      <c r="P324" s="17">
        <v>1.75</v>
      </c>
    </row>
    <row r="325" spans="10:16" x14ac:dyDescent="0.4">
      <c r="J325" s="17">
        <v>0</v>
      </c>
      <c r="K325" s="17" t="s">
        <v>38</v>
      </c>
      <c r="L325" s="17">
        <v>4</v>
      </c>
      <c r="M325" s="17">
        <v>3</v>
      </c>
      <c r="N325" s="17">
        <v>3</v>
      </c>
      <c r="O325" s="17">
        <v>3</v>
      </c>
      <c r="P325" s="17">
        <v>3.25</v>
      </c>
    </row>
    <row r="326" spans="10:16" x14ac:dyDescent="0.4">
      <c r="J326" s="17">
        <v>1</v>
      </c>
      <c r="K326" s="17" t="s">
        <v>38</v>
      </c>
      <c r="L326" s="17">
        <v>4</v>
      </c>
      <c r="M326" s="17">
        <v>1</v>
      </c>
      <c r="N326" s="17">
        <v>3</v>
      </c>
      <c r="O326" s="17">
        <v>3</v>
      </c>
      <c r="P326" s="17">
        <v>2.75</v>
      </c>
    </row>
    <row r="327" spans="10:16" x14ac:dyDescent="0.4">
      <c r="J327" s="17">
        <v>0</v>
      </c>
      <c r="K327" s="17" t="s">
        <v>38</v>
      </c>
      <c r="L327" s="17">
        <v>2</v>
      </c>
      <c r="M327" s="17">
        <v>1</v>
      </c>
      <c r="N327" s="17">
        <v>2</v>
      </c>
      <c r="O327" s="17">
        <v>3</v>
      </c>
      <c r="P327" s="17">
        <v>2</v>
      </c>
    </row>
    <row r="328" spans="10:16" x14ac:dyDescent="0.4">
      <c r="J328" s="17">
        <v>0</v>
      </c>
      <c r="K328" s="17" t="s">
        <v>38</v>
      </c>
      <c r="L328" s="17">
        <v>2</v>
      </c>
      <c r="M328" s="17">
        <v>2</v>
      </c>
      <c r="N328" s="17">
        <v>2</v>
      </c>
      <c r="O328" s="17">
        <v>3</v>
      </c>
      <c r="P328" s="17">
        <v>2.25</v>
      </c>
    </row>
    <row r="329" spans="10:16" x14ac:dyDescent="0.4">
      <c r="J329" s="17">
        <v>1</v>
      </c>
      <c r="K329" s="17" t="s">
        <v>38</v>
      </c>
      <c r="L329" s="17">
        <v>3</v>
      </c>
      <c r="M329" s="17">
        <v>2</v>
      </c>
      <c r="N329" s="17">
        <v>2</v>
      </c>
      <c r="O329" s="17">
        <v>3</v>
      </c>
      <c r="P329" s="17">
        <v>2.5</v>
      </c>
    </row>
    <row r="330" spans="10:16" x14ac:dyDescent="0.4">
      <c r="J330" s="17">
        <v>0</v>
      </c>
      <c r="K330" s="17" t="s">
        <v>49</v>
      </c>
      <c r="L330" s="17">
        <v>4</v>
      </c>
      <c r="M330" s="17">
        <v>1</v>
      </c>
      <c r="N330" s="17">
        <v>4</v>
      </c>
      <c r="O330" s="17">
        <v>3</v>
      </c>
      <c r="P330" s="17">
        <v>3</v>
      </c>
    </row>
    <row r="331" spans="10:16" x14ac:dyDescent="0.4">
      <c r="J331" s="17">
        <v>1</v>
      </c>
      <c r="K331" s="17" t="s">
        <v>38</v>
      </c>
      <c r="L331" s="17">
        <v>2</v>
      </c>
      <c r="M331" s="17">
        <v>3</v>
      </c>
      <c r="N331" s="17">
        <v>2</v>
      </c>
      <c r="O331" s="17">
        <v>3</v>
      </c>
      <c r="P331" s="17">
        <v>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2FA0E-A612-4C9A-9C7E-5E084789EA7F}">
  <dimension ref="A1:B190"/>
  <sheetViews>
    <sheetView workbookViewId="0">
      <selection activeCell="E13" sqref="E13"/>
    </sheetView>
  </sheetViews>
  <sheetFormatPr defaultRowHeight="16" x14ac:dyDescent="0.4"/>
  <cols>
    <col min="1" max="1" width="28.6640625" customWidth="1"/>
    <col min="2" max="2" width="23.83203125" bestFit="1" customWidth="1"/>
  </cols>
  <sheetData>
    <row r="1" spans="1:2" x14ac:dyDescent="0.4">
      <c r="A1" t="s">
        <v>248</v>
      </c>
    </row>
    <row r="2" spans="1:2" x14ac:dyDescent="0.4">
      <c r="A2" s="18" t="s">
        <v>249</v>
      </c>
    </row>
    <row r="4" spans="1:2" x14ac:dyDescent="0.4">
      <c r="A4" s="16" t="s">
        <v>303</v>
      </c>
      <c r="B4" s="17"/>
    </row>
    <row r="5" spans="1:2" x14ac:dyDescent="0.4">
      <c r="A5" s="17" t="s">
        <v>307</v>
      </c>
      <c r="B5" s="56">
        <f>AVERAGEIFS(Clean_Data!I2:I1472, Clean_Data!E2:E1472,1,Clean_Data!AC2:AC1472, 1)</f>
        <v>0.1529746835443038</v>
      </c>
    </row>
    <row r="6" spans="1:2" x14ac:dyDescent="0.4">
      <c r="A6" s="17" t="s">
        <v>308</v>
      </c>
      <c r="B6" s="56">
        <f>AVERAGEIFS(Clean_Data!I2:I1472, Clean_Data!E2:E1472,1,Clean_Data!AC2:AC1472, 0)</f>
        <v>0.15311764705882361</v>
      </c>
    </row>
    <row r="8" spans="1:2" x14ac:dyDescent="0.4">
      <c r="A8" s="2" t="s">
        <v>163</v>
      </c>
    </row>
    <row r="9" spans="1:2" x14ac:dyDescent="0.4">
      <c r="A9" t="s">
        <v>250</v>
      </c>
    </row>
    <row r="11" spans="1:2" x14ac:dyDescent="0.4">
      <c r="A11" s="31" t="s">
        <v>196</v>
      </c>
      <c r="B11" s="30"/>
    </row>
    <row r="12" spans="1:2" ht="16.5" customHeight="1" x14ac:dyDescent="0.4">
      <c r="A12" s="35" t="s">
        <v>198</v>
      </c>
      <c r="B12" s="36">
        <f>_xlfn.T.TEST(A16:A173,B16:B185,2,3)</f>
        <v>0.97300190665224662</v>
      </c>
    </row>
    <row r="14" spans="1:2" x14ac:dyDescent="0.4">
      <c r="A14" s="2" t="s">
        <v>302</v>
      </c>
    </row>
    <row r="15" spans="1:2" x14ac:dyDescent="0.4">
      <c r="A15" s="16" t="s">
        <v>307</v>
      </c>
      <c r="B15" s="16" t="s">
        <v>309</v>
      </c>
    </row>
    <row r="16" spans="1:2" x14ac:dyDescent="0.4">
      <c r="A16" s="40">
        <v>0.21</v>
      </c>
      <c r="B16" s="40">
        <v>0.15</v>
      </c>
    </row>
    <row r="17" spans="1:2" x14ac:dyDescent="0.4">
      <c r="A17" s="40">
        <v>0.13</v>
      </c>
      <c r="B17" s="40">
        <v>0.13</v>
      </c>
    </row>
    <row r="18" spans="1:2" x14ac:dyDescent="0.4">
      <c r="A18" s="40">
        <v>0.14000000000000001</v>
      </c>
      <c r="B18" s="40">
        <v>0.11</v>
      </c>
    </row>
    <row r="19" spans="1:2" x14ac:dyDescent="0.4">
      <c r="A19" s="40">
        <v>0.13</v>
      </c>
      <c r="B19" s="40">
        <v>0.12</v>
      </c>
    </row>
    <row r="20" spans="1:2" x14ac:dyDescent="0.4">
      <c r="A20" s="40">
        <v>0.15</v>
      </c>
      <c r="B20" s="40">
        <v>0.12</v>
      </c>
    </row>
    <row r="21" spans="1:2" x14ac:dyDescent="0.4">
      <c r="A21" s="40">
        <v>0.11</v>
      </c>
      <c r="B21" s="40">
        <v>0.19</v>
      </c>
    </row>
    <row r="22" spans="1:2" x14ac:dyDescent="0.4">
      <c r="A22" s="40">
        <v>0.13</v>
      </c>
      <c r="B22" s="40">
        <v>0.13</v>
      </c>
    </row>
    <row r="23" spans="1:2" x14ac:dyDescent="0.4">
      <c r="A23" s="40">
        <v>0.17</v>
      </c>
      <c r="B23" s="40">
        <v>0.12</v>
      </c>
    </row>
    <row r="24" spans="1:2" x14ac:dyDescent="0.4">
      <c r="A24" s="40">
        <v>0.17</v>
      </c>
      <c r="B24" s="40">
        <v>0.14000000000000001</v>
      </c>
    </row>
    <row r="25" spans="1:2" x14ac:dyDescent="0.4">
      <c r="A25" s="40">
        <v>0.14000000000000001</v>
      </c>
      <c r="B25" s="40">
        <v>0.15</v>
      </c>
    </row>
    <row r="26" spans="1:2" x14ac:dyDescent="0.4">
      <c r="A26" s="40">
        <v>0.14000000000000001</v>
      </c>
      <c r="B26" s="40">
        <v>0.11</v>
      </c>
    </row>
    <row r="27" spans="1:2" x14ac:dyDescent="0.4">
      <c r="A27" s="40">
        <v>0.12</v>
      </c>
      <c r="B27" s="40">
        <v>0.11</v>
      </c>
    </row>
    <row r="28" spans="1:2" x14ac:dyDescent="0.4">
      <c r="A28" s="40">
        <v>0.18</v>
      </c>
      <c r="B28" s="40">
        <v>0.14000000000000001</v>
      </c>
    </row>
    <row r="29" spans="1:2" x14ac:dyDescent="0.4">
      <c r="A29" s="40">
        <v>0.12</v>
      </c>
      <c r="B29" s="40">
        <v>0.16</v>
      </c>
    </row>
    <row r="30" spans="1:2" x14ac:dyDescent="0.4">
      <c r="A30" s="40">
        <v>0.13</v>
      </c>
      <c r="B30" s="40">
        <v>0.15</v>
      </c>
    </row>
    <row r="31" spans="1:2" x14ac:dyDescent="0.4">
      <c r="A31" s="40">
        <v>0.17</v>
      </c>
      <c r="B31" s="40">
        <v>0.16</v>
      </c>
    </row>
    <row r="32" spans="1:2" x14ac:dyDescent="0.4">
      <c r="A32" s="40">
        <v>0.14000000000000001</v>
      </c>
      <c r="B32" s="40">
        <v>0.12</v>
      </c>
    </row>
    <row r="33" spans="1:2" x14ac:dyDescent="0.4">
      <c r="A33" s="40">
        <v>0.15</v>
      </c>
      <c r="B33" s="40">
        <v>0.15</v>
      </c>
    </row>
    <row r="34" spans="1:2" x14ac:dyDescent="0.4">
      <c r="A34" s="40">
        <v>0.11</v>
      </c>
      <c r="B34" s="40">
        <v>0.19</v>
      </c>
    </row>
    <row r="35" spans="1:2" x14ac:dyDescent="0.4">
      <c r="A35" s="40">
        <v>0.16</v>
      </c>
      <c r="B35" s="40">
        <v>0.18</v>
      </c>
    </row>
    <row r="36" spans="1:2" x14ac:dyDescent="0.4">
      <c r="A36" s="40">
        <v>0.15</v>
      </c>
      <c r="B36" s="40">
        <v>0.22</v>
      </c>
    </row>
    <row r="37" spans="1:2" x14ac:dyDescent="0.4">
      <c r="A37" s="40">
        <v>0.11</v>
      </c>
      <c r="B37" s="40">
        <v>0.12</v>
      </c>
    </row>
    <row r="38" spans="1:2" x14ac:dyDescent="0.4">
      <c r="A38" s="40">
        <v>0.18</v>
      </c>
      <c r="B38" s="40">
        <v>0.13</v>
      </c>
    </row>
    <row r="39" spans="1:2" x14ac:dyDescent="0.4">
      <c r="A39" s="40">
        <v>0.18</v>
      </c>
      <c r="B39" s="40">
        <v>0.2</v>
      </c>
    </row>
    <row r="40" spans="1:2" x14ac:dyDescent="0.4">
      <c r="A40" s="40">
        <v>0.12</v>
      </c>
      <c r="B40" s="40">
        <v>0.13</v>
      </c>
    </row>
    <row r="41" spans="1:2" x14ac:dyDescent="0.4">
      <c r="A41" s="40">
        <v>0.13</v>
      </c>
      <c r="B41" s="40">
        <v>0.11</v>
      </c>
    </row>
    <row r="42" spans="1:2" x14ac:dyDescent="0.4">
      <c r="A42" s="40">
        <v>0.25</v>
      </c>
      <c r="B42" s="40">
        <v>0.23</v>
      </c>
    </row>
    <row r="43" spans="1:2" x14ac:dyDescent="0.4">
      <c r="A43" s="40">
        <v>0.21</v>
      </c>
      <c r="B43" s="40">
        <v>0.14000000000000001</v>
      </c>
    </row>
    <row r="44" spans="1:2" x14ac:dyDescent="0.4">
      <c r="A44" s="40">
        <v>0.12</v>
      </c>
      <c r="B44" s="40">
        <v>0.18</v>
      </c>
    </row>
    <row r="45" spans="1:2" x14ac:dyDescent="0.4">
      <c r="A45" s="40">
        <v>0.21</v>
      </c>
      <c r="B45" s="40">
        <v>0.19</v>
      </c>
    </row>
    <row r="46" spans="1:2" x14ac:dyDescent="0.4">
      <c r="A46" s="40">
        <v>0.17</v>
      </c>
      <c r="B46" s="40">
        <v>0.15</v>
      </c>
    </row>
    <row r="47" spans="1:2" x14ac:dyDescent="0.4">
      <c r="A47" s="40">
        <v>0.11</v>
      </c>
      <c r="B47" s="40">
        <v>0.22</v>
      </c>
    </row>
    <row r="48" spans="1:2" x14ac:dyDescent="0.4">
      <c r="A48" s="40">
        <v>0.14000000000000001</v>
      </c>
      <c r="B48" s="40">
        <v>0.16</v>
      </c>
    </row>
    <row r="49" spans="1:2" x14ac:dyDescent="0.4">
      <c r="A49" s="40">
        <v>0.12</v>
      </c>
      <c r="B49" s="40">
        <v>0.11</v>
      </c>
    </row>
    <row r="50" spans="1:2" x14ac:dyDescent="0.4">
      <c r="A50" s="40">
        <v>0.11</v>
      </c>
      <c r="B50" s="40">
        <v>0.11</v>
      </c>
    </row>
    <row r="51" spans="1:2" x14ac:dyDescent="0.4">
      <c r="A51" s="40">
        <v>0.15</v>
      </c>
      <c r="B51" s="40">
        <v>0.19</v>
      </c>
    </row>
    <row r="52" spans="1:2" x14ac:dyDescent="0.4">
      <c r="A52" s="40">
        <v>0.15</v>
      </c>
      <c r="B52" s="40">
        <v>0.14000000000000001</v>
      </c>
    </row>
    <row r="53" spans="1:2" x14ac:dyDescent="0.4">
      <c r="A53" s="40">
        <v>0.21</v>
      </c>
      <c r="B53" s="40">
        <v>0.16</v>
      </c>
    </row>
    <row r="54" spans="1:2" x14ac:dyDescent="0.4">
      <c r="A54" s="40">
        <v>0.12</v>
      </c>
      <c r="B54" s="40">
        <v>0.18</v>
      </c>
    </row>
    <row r="55" spans="1:2" x14ac:dyDescent="0.4">
      <c r="A55" s="40">
        <v>0.11</v>
      </c>
      <c r="B55" s="40">
        <v>0.19</v>
      </c>
    </row>
    <row r="56" spans="1:2" x14ac:dyDescent="0.4">
      <c r="A56" s="40">
        <v>0.11</v>
      </c>
      <c r="B56" s="40">
        <v>0.14000000000000001</v>
      </c>
    </row>
    <row r="57" spans="1:2" x14ac:dyDescent="0.4">
      <c r="A57" s="40">
        <v>0.24</v>
      </c>
      <c r="B57" s="40">
        <v>0.14000000000000001</v>
      </c>
    </row>
    <row r="58" spans="1:2" x14ac:dyDescent="0.4">
      <c r="A58" s="40">
        <v>0.21</v>
      </c>
      <c r="B58" s="40">
        <v>0.13</v>
      </c>
    </row>
    <row r="59" spans="1:2" x14ac:dyDescent="0.4">
      <c r="A59" s="40">
        <v>0.22</v>
      </c>
      <c r="B59" s="40">
        <v>0.12</v>
      </c>
    </row>
    <row r="60" spans="1:2" x14ac:dyDescent="0.4">
      <c r="A60" s="40">
        <v>0.12</v>
      </c>
      <c r="B60" s="40">
        <v>0.11</v>
      </c>
    </row>
    <row r="61" spans="1:2" x14ac:dyDescent="0.4">
      <c r="A61" s="40">
        <v>0.21</v>
      </c>
      <c r="B61" s="40">
        <v>0.14000000000000001</v>
      </c>
    </row>
    <row r="62" spans="1:2" x14ac:dyDescent="0.4">
      <c r="A62" s="40">
        <v>0.11</v>
      </c>
      <c r="B62" s="40">
        <v>0.14000000000000001</v>
      </c>
    </row>
    <row r="63" spans="1:2" x14ac:dyDescent="0.4">
      <c r="A63" s="40">
        <v>0.22</v>
      </c>
      <c r="B63" s="40">
        <v>0.15</v>
      </c>
    </row>
    <row r="64" spans="1:2" x14ac:dyDescent="0.4">
      <c r="A64" s="40">
        <v>0.18</v>
      </c>
      <c r="B64" s="40">
        <v>0.12</v>
      </c>
    </row>
    <row r="65" spans="1:2" x14ac:dyDescent="0.4">
      <c r="A65" s="40">
        <v>0.13</v>
      </c>
      <c r="B65" s="40">
        <v>0.18</v>
      </c>
    </row>
    <row r="66" spans="1:2" x14ac:dyDescent="0.4">
      <c r="A66" s="40">
        <v>0.12</v>
      </c>
      <c r="B66" s="40">
        <v>0.15</v>
      </c>
    </row>
    <row r="67" spans="1:2" x14ac:dyDescent="0.4">
      <c r="A67" s="40">
        <v>0.11</v>
      </c>
      <c r="B67" s="40">
        <v>0.12</v>
      </c>
    </row>
    <row r="68" spans="1:2" x14ac:dyDescent="0.4">
      <c r="A68" s="40">
        <v>0.15</v>
      </c>
      <c r="B68" s="40">
        <v>0.19</v>
      </c>
    </row>
    <row r="69" spans="1:2" x14ac:dyDescent="0.4">
      <c r="A69" s="40">
        <v>0.14000000000000001</v>
      </c>
      <c r="B69" s="40">
        <v>0.15</v>
      </c>
    </row>
    <row r="70" spans="1:2" x14ac:dyDescent="0.4">
      <c r="A70" s="40">
        <v>0.15</v>
      </c>
      <c r="B70" s="40">
        <v>0.23</v>
      </c>
    </row>
    <row r="71" spans="1:2" x14ac:dyDescent="0.4">
      <c r="A71" s="40">
        <v>0.13</v>
      </c>
      <c r="B71" s="40">
        <v>0.19</v>
      </c>
    </row>
    <row r="72" spans="1:2" x14ac:dyDescent="0.4">
      <c r="A72" s="40">
        <v>0.14000000000000001</v>
      </c>
      <c r="B72" s="40">
        <v>0.11</v>
      </c>
    </row>
    <row r="73" spans="1:2" x14ac:dyDescent="0.4">
      <c r="A73" s="40">
        <v>0.12</v>
      </c>
      <c r="B73" s="40">
        <v>0.13</v>
      </c>
    </row>
    <row r="74" spans="1:2" x14ac:dyDescent="0.4">
      <c r="A74" s="40">
        <v>0.15</v>
      </c>
      <c r="B74" s="40">
        <v>0.16</v>
      </c>
    </row>
    <row r="75" spans="1:2" x14ac:dyDescent="0.4">
      <c r="A75" s="40">
        <v>0.14000000000000001</v>
      </c>
      <c r="B75" s="40">
        <v>0.13</v>
      </c>
    </row>
    <row r="76" spans="1:2" x14ac:dyDescent="0.4">
      <c r="A76" s="40">
        <v>0.16</v>
      </c>
      <c r="B76" s="40">
        <v>0.16</v>
      </c>
    </row>
    <row r="77" spans="1:2" x14ac:dyDescent="0.4">
      <c r="A77" s="40">
        <v>0.2</v>
      </c>
      <c r="B77" s="40">
        <v>0.18</v>
      </c>
    </row>
    <row r="78" spans="1:2" x14ac:dyDescent="0.4">
      <c r="A78" s="40">
        <v>0.11</v>
      </c>
      <c r="B78" s="40">
        <v>0.16</v>
      </c>
    </row>
    <row r="79" spans="1:2" x14ac:dyDescent="0.4">
      <c r="A79" s="40">
        <v>0.15</v>
      </c>
      <c r="B79" s="40">
        <v>0.11</v>
      </c>
    </row>
    <row r="80" spans="1:2" x14ac:dyDescent="0.4">
      <c r="A80" s="40">
        <v>0.11</v>
      </c>
      <c r="B80" s="40">
        <v>0.11</v>
      </c>
    </row>
    <row r="81" spans="1:2" x14ac:dyDescent="0.4">
      <c r="A81" s="40">
        <v>0.11</v>
      </c>
      <c r="B81" s="40">
        <v>0.14000000000000001</v>
      </c>
    </row>
    <row r="82" spans="1:2" x14ac:dyDescent="0.4">
      <c r="A82" s="40">
        <v>0.11</v>
      </c>
      <c r="B82" s="40">
        <v>0.15</v>
      </c>
    </row>
    <row r="83" spans="1:2" x14ac:dyDescent="0.4">
      <c r="A83" s="40">
        <v>0.11</v>
      </c>
      <c r="B83" s="40">
        <v>0.13</v>
      </c>
    </row>
    <row r="84" spans="1:2" x14ac:dyDescent="0.4">
      <c r="A84" s="40">
        <v>0.14000000000000001</v>
      </c>
      <c r="B84" s="40">
        <v>0.19</v>
      </c>
    </row>
    <row r="85" spans="1:2" x14ac:dyDescent="0.4">
      <c r="A85" s="40">
        <v>0.14000000000000001</v>
      </c>
      <c r="B85" s="40">
        <v>0.21</v>
      </c>
    </row>
    <row r="86" spans="1:2" x14ac:dyDescent="0.4">
      <c r="A86" s="40">
        <v>0.13</v>
      </c>
      <c r="B86" s="40">
        <v>0.17</v>
      </c>
    </row>
    <row r="87" spans="1:2" x14ac:dyDescent="0.4">
      <c r="A87" s="40">
        <v>0.19</v>
      </c>
      <c r="B87" s="40">
        <v>0.12</v>
      </c>
    </row>
    <row r="88" spans="1:2" x14ac:dyDescent="0.4">
      <c r="A88" s="40">
        <v>0.24</v>
      </c>
      <c r="B88" s="40">
        <v>0.13</v>
      </c>
    </row>
    <row r="89" spans="1:2" x14ac:dyDescent="0.4">
      <c r="A89" s="40">
        <v>0.14000000000000001</v>
      </c>
      <c r="B89" s="40">
        <v>0.14000000000000001</v>
      </c>
    </row>
    <row r="90" spans="1:2" x14ac:dyDescent="0.4">
      <c r="A90" s="40">
        <v>0.12</v>
      </c>
      <c r="B90" s="40">
        <v>0.17</v>
      </c>
    </row>
    <row r="91" spans="1:2" x14ac:dyDescent="0.4">
      <c r="A91" s="40">
        <v>0.2</v>
      </c>
      <c r="B91" s="40">
        <v>0.13</v>
      </c>
    </row>
    <row r="92" spans="1:2" x14ac:dyDescent="0.4">
      <c r="A92" s="40">
        <v>0.12</v>
      </c>
      <c r="B92" s="40">
        <v>0.18</v>
      </c>
    </row>
    <row r="93" spans="1:2" x14ac:dyDescent="0.4">
      <c r="A93" s="40">
        <v>0.11</v>
      </c>
      <c r="B93" s="40">
        <v>0.13</v>
      </c>
    </row>
    <row r="94" spans="1:2" x14ac:dyDescent="0.4">
      <c r="A94" s="40">
        <v>0.12</v>
      </c>
      <c r="B94" s="40">
        <v>0.17</v>
      </c>
    </row>
    <row r="95" spans="1:2" x14ac:dyDescent="0.4">
      <c r="A95" s="40">
        <v>0.11</v>
      </c>
      <c r="B95" s="40">
        <v>0.22</v>
      </c>
    </row>
    <row r="96" spans="1:2" x14ac:dyDescent="0.4">
      <c r="A96" s="40">
        <v>0.12</v>
      </c>
      <c r="B96" s="40">
        <v>0.2</v>
      </c>
    </row>
    <row r="97" spans="1:2" x14ac:dyDescent="0.4">
      <c r="A97" s="40">
        <v>0.13</v>
      </c>
      <c r="B97" s="40">
        <v>0.14000000000000001</v>
      </c>
    </row>
    <row r="98" spans="1:2" x14ac:dyDescent="0.4">
      <c r="A98" s="40">
        <v>0.14000000000000001</v>
      </c>
      <c r="B98" s="40">
        <v>0.18</v>
      </c>
    </row>
    <row r="99" spans="1:2" x14ac:dyDescent="0.4">
      <c r="A99" s="40">
        <v>0.18</v>
      </c>
      <c r="B99" s="40">
        <v>0.12</v>
      </c>
    </row>
    <row r="100" spans="1:2" x14ac:dyDescent="0.4">
      <c r="A100" s="40">
        <v>0.11</v>
      </c>
      <c r="B100" s="40">
        <v>0.11</v>
      </c>
    </row>
    <row r="101" spans="1:2" x14ac:dyDescent="0.4">
      <c r="A101" s="40">
        <v>0.12</v>
      </c>
      <c r="B101" s="40">
        <v>0.12</v>
      </c>
    </row>
    <row r="102" spans="1:2" x14ac:dyDescent="0.4">
      <c r="A102" s="40">
        <v>0.14000000000000001</v>
      </c>
      <c r="B102" s="40">
        <v>0.13</v>
      </c>
    </row>
    <row r="103" spans="1:2" x14ac:dyDescent="0.4">
      <c r="A103" s="40">
        <v>0.18</v>
      </c>
      <c r="B103" s="40">
        <v>0.13</v>
      </c>
    </row>
    <row r="104" spans="1:2" x14ac:dyDescent="0.4">
      <c r="A104" s="40">
        <v>0.14000000000000001</v>
      </c>
      <c r="B104" s="40">
        <v>0.11</v>
      </c>
    </row>
    <row r="105" spans="1:2" x14ac:dyDescent="0.4">
      <c r="A105" s="40">
        <v>0.13</v>
      </c>
      <c r="B105" s="40">
        <v>0.13</v>
      </c>
    </row>
    <row r="106" spans="1:2" x14ac:dyDescent="0.4">
      <c r="A106" s="40">
        <v>0.11</v>
      </c>
      <c r="B106" s="40">
        <v>0.11</v>
      </c>
    </row>
    <row r="107" spans="1:2" x14ac:dyDescent="0.4">
      <c r="A107" s="40">
        <v>0.17</v>
      </c>
      <c r="B107" s="40">
        <v>0.2</v>
      </c>
    </row>
    <row r="108" spans="1:2" x14ac:dyDescent="0.4">
      <c r="A108" s="40">
        <v>0.19</v>
      </c>
      <c r="B108" s="40">
        <v>0.13</v>
      </c>
    </row>
    <row r="109" spans="1:2" x14ac:dyDescent="0.4">
      <c r="A109" s="40">
        <v>0.14000000000000001</v>
      </c>
      <c r="B109" s="40">
        <v>0.16</v>
      </c>
    </row>
    <row r="110" spans="1:2" x14ac:dyDescent="0.4">
      <c r="A110" s="40">
        <v>0.21</v>
      </c>
      <c r="B110" s="40">
        <v>0.12</v>
      </c>
    </row>
    <row r="111" spans="1:2" x14ac:dyDescent="0.4">
      <c r="A111" s="40">
        <v>0.18</v>
      </c>
      <c r="B111" s="40">
        <v>0.24</v>
      </c>
    </row>
    <row r="112" spans="1:2" x14ac:dyDescent="0.4">
      <c r="A112" s="40">
        <v>0.16</v>
      </c>
      <c r="B112" s="40">
        <v>0.14000000000000001</v>
      </c>
    </row>
    <row r="113" spans="1:2" x14ac:dyDescent="0.4">
      <c r="A113" s="40">
        <v>0.22</v>
      </c>
      <c r="B113" s="40">
        <v>0.25</v>
      </c>
    </row>
    <row r="114" spans="1:2" x14ac:dyDescent="0.4">
      <c r="A114" s="40">
        <v>0.13</v>
      </c>
      <c r="B114" s="40">
        <v>0.13</v>
      </c>
    </row>
    <row r="115" spans="1:2" x14ac:dyDescent="0.4">
      <c r="A115" s="40">
        <v>0.24</v>
      </c>
      <c r="B115" s="40">
        <v>0.13</v>
      </c>
    </row>
    <row r="116" spans="1:2" x14ac:dyDescent="0.4">
      <c r="A116" s="40">
        <v>0.25</v>
      </c>
      <c r="B116" s="40">
        <v>0.17</v>
      </c>
    </row>
    <row r="117" spans="1:2" x14ac:dyDescent="0.4">
      <c r="A117" s="40">
        <v>0.14000000000000001</v>
      </c>
      <c r="B117" s="40">
        <v>0.21</v>
      </c>
    </row>
    <row r="118" spans="1:2" x14ac:dyDescent="0.4">
      <c r="A118" s="40">
        <v>0.11</v>
      </c>
      <c r="B118" s="40">
        <v>0.15</v>
      </c>
    </row>
    <row r="119" spans="1:2" x14ac:dyDescent="0.4">
      <c r="A119" s="40">
        <v>0.16</v>
      </c>
      <c r="B119" s="40">
        <v>0.15</v>
      </c>
    </row>
    <row r="120" spans="1:2" x14ac:dyDescent="0.4">
      <c r="A120" s="40">
        <v>0.12</v>
      </c>
      <c r="B120" s="40">
        <v>0.13</v>
      </c>
    </row>
    <row r="121" spans="1:2" x14ac:dyDescent="0.4">
      <c r="A121" s="40">
        <v>0.13</v>
      </c>
      <c r="B121" s="40">
        <v>0.11</v>
      </c>
    </row>
    <row r="122" spans="1:2" x14ac:dyDescent="0.4">
      <c r="A122" s="40">
        <v>0.14000000000000001</v>
      </c>
      <c r="B122" s="40">
        <v>0.17</v>
      </c>
    </row>
    <row r="123" spans="1:2" x14ac:dyDescent="0.4">
      <c r="A123" s="40">
        <v>0.12</v>
      </c>
      <c r="B123" s="40">
        <v>0.17</v>
      </c>
    </row>
    <row r="124" spans="1:2" x14ac:dyDescent="0.4">
      <c r="A124" s="40">
        <v>0.11</v>
      </c>
      <c r="B124" s="40">
        <v>0.21</v>
      </c>
    </row>
    <row r="125" spans="1:2" x14ac:dyDescent="0.4">
      <c r="A125" s="40">
        <v>0.15</v>
      </c>
      <c r="B125" s="40">
        <v>0.24</v>
      </c>
    </row>
    <row r="126" spans="1:2" x14ac:dyDescent="0.4">
      <c r="A126" s="40">
        <v>0.12</v>
      </c>
      <c r="B126" s="40">
        <v>0.14000000000000001</v>
      </c>
    </row>
    <row r="127" spans="1:2" x14ac:dyDescent="0.4">
      <c r="A127" s="40">
        <v>0.14000000000000001</v>
      </c>
      <c r="B127" s="40">
        <v>0.21</v>
      </c>
    </row>
    <row r="128" spans="1:2" x14ac:dyDescent="0.4">
      <c r="A128" s="40">
        <v>0.11</v>
      </c>
      <c r="B128" s="40">
        <v>0.17</v>
      </c>
    </row>
    <row r="129" spans="1:2" x14ac:dyDescent="0.4">
      <c r="A129" s="40">
        <v>0.23</v>
      </c>
      <c r="B129" s="40">
        <v>0.2</v>
      </c>
    </row>
    <row r="130" spans="1:2" x14ac:dyDescent="0.4">
      <c r="A130" s="40">
        <v>0.18</v>
      </c>
      <c r="B130" s="40">
        <v>0.11</v>
      </c>
    </row>
    <row r="131" spans="1:2" x14ac:dyDescent="0.4">
      <c r="A131" s="40">
        <v>0.18</v>
      </c>
      <c r="B131" s="40">
        <v>0.13</v>
      </c>
    </row>
    <row r="132" spans="1:2" x14ac:dyDescent="0.4">
      <c r="A132" s="40">
        <v>0.21</v>
      </c>
      <c r="B132" s="40">
        <v>0.17</v>
      </c>
    </row>
    <row r="133" spans="1:2" x14ac:dyDescent="0.4">
      <c r="A133" s="40">
        <v>0.22</v>
      </c>
      <c r="B133" s="40">
        <v>0.2</v>
      </c>
    </row>
    <row r="134" spans="1:2" x14ac:dyDescent="0.4">
      <c r="A134" s="40">
        <v>0.2</v>
      </c>
      <c r="B134" s="40">
        <v>0.21</v>
      </c>
    </row>
    <row r="135" spans="1:2" x14ac:dyDescent="0.4">
      <c r="A135" s="40">
        <v>0.15</v>
      </c>
      <c r="B135" s="40">
        <v>0.12</v>
      </c>
    </row>
    <row r="136" spans="1:2" x14ac:dyDescent="0.4">
      <c r="A136" s="40">
        <v>0.12</v>
      </c>
      <c r="B136" s="40">
        <v>0.14000000000000001</v>
      </c>
    </row>
    <row r="137" spans="1:2" x14ac:dyDescent="0.4">
      <c r="A137" s="40">
        <v>0.23</v>
      </c>
      <c r="B137" s="40">
        <v>0.11</v>
      </c>
    </row>
    <row r="138" spans="1:2" x14ac:dyDescent="0.4">
      <c r="A138" s="40">
        <v>0.14000000000000001</v>
      </c>
      <c r="B138" s="40">
        <v>0.17</v>
      </c>
    </row>
    <row r="139" spans="1:2" x14ac:dyDescent="0.4">
      <c r="A139" s="40">
        <v>0.18</v>
      </c>
      <c r="B139" s="40">
        <v>0.16</v>
      </c>
    </row>
    <row r="140" spans="1:2" x14ac:dyDescent="0.4">
      <c r="A140" s="40">
        <v>0.18</v>
      </c>
      <c r="B140" s="40">
        <v>0.11</v>
      </c>
    </row>
    <row r="141" spans="1:2" x14ac:dyDescent="0.4">
      <c r="A141" s="40">
        <v>0.25</v>
      </c>
      <c r="B141" s="40">
        <v>0.16</v>
      </c>
    </row>
    <row r="142" spans="1:2" x14ac:dyDescent="0.4">
      <c r="A142" s="40">
        <v>0.12</v>
      </c>
      <c r="B142" s="40">
        <v>0.17</v>
      </c>
    </row>
    <row r="143" spans="1:2" x14ac:dyDescent="0.4">
      <c r="A143" s="40">
        <v>0.18</v>
      </c>
      <c r="B143" s="40">
        <v>0.12</v>
      </c>
    </row>
    <row r="144" spans="1:2" x14ac:dyDescent="0.4">
      <c r="A144" s="40">
        <v>0.14000000000000001</v>
      </c>
      <c r="B144" s="40">
        <v>0.14000000000000001</v>
      </c>
    </row>
    <row r="145" spans="1:2" x14ac:dyDescent="0.4">
      <c r="A145" s="40">
        <v>0.11</v>
      </c>
      <c r="B145" s="40">
        <v>0.11</v>
      </c>
    </row>
    <row r="146" spans="1:2" x14ac:dyDescent="0.4">
      <c r="A146" s="40">
        <v>0.16</v>
      </c>
      <c r="B146" s="40">
        <v>0.15</v>
      </c>
    </row>
    <row r="147" spans="1:2" x14ac:dyDescent="0.4">
      <c r="A147" s="40">
        <v>0.14000000000000001</v>
      </c>
      <c r="B147" s="40">
        <v>0.17</v>
      </c>
    </row>
    <row r="148" spans="1:2" x14ac:dyDescent="0.4">
      <c r="A148" s="40">
        <v>0.19</v>
      </c>
      <c r="B148" s="40">
        <v>0.12</v>
      </c>
    </row>
    <row r="149" spans="1:2" x14ac:dyDescent="0.4">
      <c r="A149" s="40">
        <v>0.16</v>
      </c>
      <c r="B149" s="40">
        <v>0.13</v>
      </c>
    </row>
    <row r="150" spans="1:2" x14ac:dyDescent="0.4">
      <c r="A150" s="40">
        <v>0.13</v>
      </c>
      <c r="B150" s="40">
        <v>0.13</v>
      </c>
    </row>
    <row r="151" spans="1:2" x14ac:dyDescent="0.4">
      <c r="A151" s="40">
        <v>0.11</v>
      </c>
      <c r="B151" s="40">
        <v>0.22</v>
      </c>
    </row>
    <row r="152" spans="1:2" x14ac:dyDescent="0.4">
      <c r="A152" s="40">
        <v>0.23</v>
      </c>
      <c r="B152" s="40">
        <v>0.11</v>
      </c>
    </row>
    <row r="153" spans="1:2" x14ac:dyDescent="0.4">
      <c r="A153" s="40">
        <v>0.11</v>
      </c>
      <c r="B153" s="40">
        <v>0.14000000000000001</v>
      </c>
    </row>
    <row r="154" spans="1:2" x14ac:dyDescent="0.4">
      <c r="A154" s="40">
        <v>0.15</v>
      </c>
      <c r="B154" s="40">
        <v>0.14000000000000001</v>
      </c>
    </row>
    <row r="155" spans="1:2" x14ac:dyDescent="0.4">
      <c r="A155" s="40">
        <v>0.23</v>
      </c>
      <c r="B155" s="40">
        <v>0.2</v>
      </c>
    </row>
    <row r="156" spans="1:2" x14ac:dyDescent="0.4">
      <c r="A156" s="40">
        <v>0.19</v>
      </c>
      <c r="B156" s="40">
        <v>0.22</v>
      </c>
    </row>
    <row r="157" spans="1:2" x14ac:dyDescent="0.4">
      <c r="A157" s="40">
        <v>0.12</v>
      </c>
      <c r="B157" s="40">
        <v>0.14000000000000001</v>
      </c>
    </row>
    <row r="158" spans="1:2" x14ac:dyDescent="0.4">
      <c r="A158" s="40">
        <v>0.13</v>
      </c>
      <c r="B158" s="40">
        <v>0.13</v>
      </c>
    </row>
    <row r="159" spans="1:2" x14ac:dyDescent="0.4">
      <c r="A159" s="40">
        <v>0.13</v>
      </c>
      <c r="B159" s="40">
        <v>0.11</v>
      </c>
    </row>
    <row r="160" spans="1:2" x14ac:dyDescent="0.4">
      <c r="A160" s="40">
        <v>0.14000000000000001</v>
      </c>
      <c r="B160" s="40">
        <v>0.13</v>
      </c>
    </row>
    <row r="161" spans="1:2" x14ac:dyDescent="0.4">
      <c r="A161" s="40">
        <v>0.19</v>
      </c>
      <c r="B161" s="40">
        <v>0.16</v>
      </c>
    </row>
    <row r="162" spans="1:2" x14ac:dyDescent="0.4">
      <c r="A162" s="40">
        <v>0.18</v>
      </c>
      <c r="B162" s="40">
        <v>0.12</v>
      </c>
    </row>
    <row r="163" spans="1:2" x14ac:dyDescent="0.4">
      <c r="A163" s="40">
        <v>0.11</v>
      </c>
      <c r="B163" s="40">
        <v>0.11</v>
      </c>
    </row>
    <row r="164" spans="1:2" x14ac:dyDescent="0.4">
      <c r="A164" s="40">
        <v>0.14000000000000001</v>
      </c>
      <c r="B164" s="40">
        <v>0.14000000000000001</v>
      </c>
    </row>
    <row r="165" spans="1:2" x14ac:dyDescent="0.4">
      <c r="A165" s="40">
        <v>0.21</v>
      </c>
      <c r="B165" s="40">
        <v>0.12</v>
      </c>
    </row>
    <row r="166" spans="1:2" x14ac:dyDescent="0.4">
      <c r="A166" s="40">
        <v>0.12</v>
      </c>
      <c r="B166" s="40">
        <v>0.25</v>
      </c>
    </row>
    <row r="167" spans="1:2" x14ac:dyDescent="0.4">
      <c r="A167" s="40">
        <v>0.14000000000000001</v>
      </c>
      <c r="B167" s="40">
        <v>0.13</v>
      </c>
    </row>
    <row r="168" spans="1:2" x14ac:dyDescent="0.4">
      <c r="A168" s="40">
        <v>0.11</v>
      </c>
      <c r="B168" s="40">
        <v>0.11</v>
      </c>
    </row>
    <row r="169" spans="1:2" x14ac:dyDescent="0.4">
      <c r="A169" s="40">
        <v>0.13</v>
      </c>
      <c r="B169" s="40">
        <v>0.19</v>
      </c>
    </row>
    <row r="170" spans="1:2" x14ac:dyDescent="0.4">
      <c r="A170" s="40">
        <v>0.11</v>
      </c>
      <c r="B170" s="40">
        <v>0.25</v>
      </c>
    </row>
    <row r="171" spans="1:2" x14ac:dyDescent="0.4">
      <c r="A171" s="40">
        <v>0.21</v>
      </c>
      <c r="B171" s="40">
        <v>0.24</v>
      </c>
    </row>
    <row r="172" spans="1:2" x14ac:dyDescent="0.4">
      <c r="A172" s="40">
        <v>0.15</v>
      </c>
      <c r="B172" s="40">
        <v>0.22</v>
      </c>
    </row>
    <row r="173" spans="1:2" x14ac:dyDescent="0.4">
      <c r="A173" s="40">
        <v>0.22</v>
      </c>
      <c r="B173" s="40">
        <v>0.22</v>
      </c>
    </row>
    <row r="174" spans="1:2" x14ac:dyDescent="0.4">
      <c r="B174" s="40">
        <v>0.18</v>
      </c>
    </row>
    <row r="175" spans="1:2" x14ac:dyDescent="0.4">
      <c r="B175" s="40">
        <v>0.12</v>
      </c>
    </row>
    <row r="176" spans="1:2" x14ac:dyDescent="0.4">
      <c r="B176" s="40">
        <v>0.14000000000000001</v>
      </c>
    </row>
    <row r="177" spans="1:2" x14ac:dyDescent="0.4">
      <c r="B177" s="40">
        <v>0.11</v>
      </c>
    </row>
    <row r="178" spans="1:2" x14ac:dyDescent="0.4">
      <c r="B178" s="40">
        <v>0.14000000000000001</v>
      </c>
    </row>
    <row r="179" spans="1:2" x14ac:dyDescent="0.4">
      <c r="B179" s="40">
        <v>0.13</v>
      </c>
    </row>
    <row r="180" spans="1:2" x14ac:dyDescent="0.4">
      <c r="B180" s="40">
        <v>0.11</v>
      </c>
    </row>
    <row r="181" spans="1:2" x14ac:dyDescent="0.4">
      <c r="B181" s="40">
        <v>0.11</v>
      </c>
    </row>
    <row r="182" spans="1:2" x14ac:dyDescent="0.4">
      <c r="B182" s="40">
        <v>0.11</v>
      </c>
    </row>
    <row r="183" spans="1:2" x14ac:dyDescent="0.4">
      <c r="B183" s="40">
        <v>0.19</v>
      </c>
    </row>
    <row r="184" spans="1:2" x14ac:dyDescent="0.4">
      <c r="B184" s="40">
        <v>0.2</v>
      </c>
    </row>
    <row r="185" spans="1:2" x14ac:dyDescent="0.4">
      <c r="B185" s="40">
        <v>0.13</v>
      </c>
    </row>
    <row r="188" spans="1:2" x14ac:dyDescent="0.4">
      <c r="A188" s="2" t="s">
        <v>163</v>
      </c>
    </row>
    <row r="189" spans="1:2" x14ac:dyDescent="0.4">
      <c r="A189" t="s">
        <v>251</v>
      </c>
    </row>
    <row r="190" spans="1:2" x14ac:dyDescent="0.4">
      <c r="A190" t="s">
        <v>252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1008-81F2-4045-B662-8B158AF2A9DF}">
  <dimension ref="A1:B190"/>
  <sheetViews>
    <sheetView tabSelected="1" workbookViewId="0">
      <selection activeCell="G21" sqref="G21"/>
    </sheetView>
  </sheetViews>
  <sheetFormatPr defaultRowHeight="16" x14ac:dyDescent="0.4"/>
  <cols>
    <col min="1" max="1" width="29.4140625" customWidth="1"/>
    <col min="2" max="2" width="20.4140625" customWidth="1"/>
  </cols>
  <sheetData>
    <row r="1" spans="1:2" x14ac:dyDescent="0.4">
      <c r="A1" t="s">
        <v>253</v>
      </c>
    </row>
    <row r="2" spans="1:2" x14ac:dyDescent="0.4">
      <c r="A2" s="33" t="s">
        <v>254</v>
      </c>
    </row>
    <row r="3" spans="1:2" x14ac:dyDescent="0.4">
      <c r="A3" s="41"/>
    </row>
    <row r="4" spans="1:2" x14ac:dyDescent="0.4">
      <c r="A4" s="16" t="s">
        <v>255</v>
      </c>
      <c r="B4" s="17"/>
    </row>
    <row r="5" spans="1:2" x14ac:dyDescent="0.4">
      <c r="A5" s="17" t="s">
        <v>307</v>
      </c>
      <c r="B5" s="28">
        <f>AVERAGEIFS(Clean_Data!S2:S1472, Clean_Data!E2:E1472, 1, Clean_Data!AC2:AC1472, 1)</f>
        <v>3.1772151898734178</v>
      </c>
    </row>
    <row r="6" spans="1:2" x14ac:dyDescent="0.4">
      <c r="A6" s="17" t="s">
        <v>310</v>
      </c>
      <c r="B6" s="28">
        <f>AVERAGEIFS(Clean_Data!S2:S1472, Clean_Data!E2:E1472, 1, Clean_Data!AC2:AC1472, 0)</f>
        <v>3.164705882352941</v>
      </c>
    </row>
    <row r="8" spans="1:2" x14ac:dyDescent="0.4">
      <c r="A8" s="2" t="s">
        <v>163</v>
      </c>
    </row>
    <row r="9" spans="1:2" x14ac:dyDescent="0.4">
      <c r="A9" t="s">
        <v>256</v>
      </c>
    </row>
    <row r="12" spans="1:2" x14ac:dyDescent="0.4">
      <c r="A12" s="31" t="s">
        <v>196</v>
      </c>
      <c r="B12" s="30"/>
    </row>
    <row r="13" spans="1:2" x14ac:dyDescent="0.4">
      <c r="A13" s="35" t="s">
        <v>198</v>
      </c>
      <c r="B13" s="36">
        <f>_xlfn.T.TEST(A17:A174,B17:B186,2,3)</f>
        <v>0.76463937243924684</v>
      </c>
    </row>
    <row r="15" spans="1:2" x14ac:dyDescent="0.4">
      <c r="A15" t="s">
        <v>257</v>
      </c>
    </row>
    <row r="16" spans="1:2" x14ac:dyDescent="0.4">
      <c r="A16" s="16" t="s">
        <v>233</v>
      </c>
      <c r="B16" s="16" t="s">
        <v>242</v>
      </c>
    </row>
    <row r="17" spans="1:2" x14ac:dyDescent="0.4">
      <c r="A17" s="17">
        <v>4</v>
      </c>
      <c r="B17" s="17">
        <v>3</v>
      </c>
    </row>
    <row r="18" spans="1:2" x14ac:dyDescent="0.4">
      <c r="A18" s="17">
        <v>3</v>
      </c>
      <c r="B18" s="17">
        <v>3</v>
      </c>
    </row>
    <row r="19" spans="1:2" x14ac:dyDescent="0.4">
      <c r="A19" s="17">
        <v>3</v>
      </c>
      <c r="B19" s="17">
        <v>3</v>
      </c>
    </row>
    <row r="20" spans="1:2" x14ac:dyDescent="0.4">
      <c r="A20" s="17">
        <v>3</v>
      </c>
      <c r="B20" s="17">
        <v>3</v>
      </c>
    </row>
    <row r="21" spans="1:2" x14ac:dyDescent="0.4">
      <c r="A21" s="17">
        <v>3</v>
      </c>
      <c r="B21" s="17">
        <v>3</v>
      </c>
    </row>
    <row r="22" spans="1:2" x14ac:dyDescent="0.4">
      <c r="A22" s="17">
        <v>3</v>
      </c>
      <c r="B22" s="17">
        <v>3</v>
      </c>
    </row>
    <row r="23" spans="1:2" x14ac:dyDescent="0.4">
      <c r="A23" s="17">
        <v>3</v>
      </c>
      <c r="B23" s="17">
        <v>3</v>
      </c>
    </row>
    <row r="24" spans="1:2" x14ac:dyDescent="0.4">
      <c r="A24" s="17">
        <v>3</v>
      </c>
      <c r="B24" s="17">
        <v>3</v>
      </c>
    </row>
    <row r="25" spans="1:2" x14ac:dyDescent="0.4">
      <c r="A25" s="17">
        <v>3</v>
      </c>
      <c r="B25" s="17">
        <v>3</v>
      </c>
    </row>
    <row r="26" spans="1:2" x14ac:dyDescent="0.4">
      <c r="A26" s="17">
        <v>3</v>
      </c>
      <c r="B26" s="17">
        <v>3</v>
      </c>
    </row>
    <row r="27" spans="1:2" x14ac:dyDescent="0.4">
      <c r="A27" s="17">
        <v>3</v>
      </c>
      <c r="B27" s="17">
        <v>3</v>
      </c>
    </row>
    <row r="28" spans="1:2" x14ac:dyDescent="0.4">
      <c r="A28" s="17">
        <v>3</v>
      </c>
      <c r="B28" s="17">
        <v>3</v>
      </c>
    </row>
    <row r="29" spans="1:2" x14ac:dyDescent="0.4">
      <c r="A29" s="17">
        <v>3</v>
      </c>
      <c r="B29" s="17">
        <v>3</v>
      </c>
    </row>
    <row r="30" spans="1:2" x14ac:dyDescent="0.4">
      <c r="A30" s="17">
        <v>3</v>
      </c>
      <c r="B30" s="17">
        <v>3</v>
      </c>
    </row>
    <row r="31" spans="1:2" x14ac:dyDescent="0.4">
      <c r="A31" s="17">
        <v>3</v>
      </c>
      <c r="B31" s="17">
        <v>3</v>
      </c>
    </row>
    <row r="32" spans="1:2" x14ac:dyDescent="0.4">
      <c r="A32" s="17">
        <v>3</v>
      </c>
      <c r="B32" s="17">
        <v>3</v>
      </c>
    </row>
    <row r="33" spans="1:2" x14ac:dyDescent="0.4">
      <c r="A33" s="17">
        <v>3</v>
      </c>
      <c r="B33" s="17">
        <v>3</v>
      </c>
    </row>
    <row r="34" spans="1:2" x14ac:dyDescent="0.4">
      <c r="A34" s="17">
        <v>3</v>
      </c>
      <c r="B34" s="17">
        <v>3</v>
      </c>
    </row>
    <row r="35" spans="1:2" x14ac:dyDescent="0.4">
      <c r="A35" s="17">
        <v>3</v>
      </c>
      <c r="B35" s="17">
        <v>4</v>
      </c>
    </row>
    <row r="36" spans="1:2" x14ac:dyDescent="0.4">
      <c r="A36" s="17">
        <v>3</v>
      </c>
      <c r="B36" s="17">
        <v>3</v>
      </c>
    </row>
    <row r="37" spans="1:2" x14ac:dyDescent="0.4">
      <c r="A37" s="17">
        <v>3</v>
      </c>
      <c r="B37" s="17">
        <v>4</v>
      </c>
    </row>
    <row r="38" spans="1:2" x14ac:dyDescent="0.4">
      <c r="A38" s="17">
        <v>3</v>
      </c>
      <c r="B38" s="17">
        <v>3</v>
      </c>
    </row>
    <row r="39" spans="1:2" x14ac:dyDescent="0.4">
      <c r="A39" s="17">
        <v>3</v>
      </c>
      <c r="B39" s="17">
        <v>3</v>
      </c>
    </row>
    <row r="40" spans="1:2" x14ac:dyDescent="0.4">
      <c r="A40" s="17">
        <v>3</v>
      </c>
      <c r="B40" s="17">
        <v>4</v>
      </c>
    </row>
    <row r="41" spans="1:2" x14ac:dyDescent="0.4">
      <c r="A41" s="17">
        <v>3</v>
      </c>
      <c r="B41" s="17">
        <v>3</v>
      </c>
    </row>
    <row r="42" spans="1:2" x14ac:dyDescent="0.4">
      <c r="A42" s="17">
        <v>3</v>
      </c>
      <c r="B42" s="17">
        <v>3</v>
      </c>
    </row>
    <row r="43" spans="1:2" x14ac:dyDescent="0.4">
      <c r="A43" s="17">
        <v>4</v>
      </c>
      <c r="B43" s="17">
        <v>4</v>
      </c>
    </row>
    <row r="44" spans="1:2" x14ac:dyDescent="0.4">
      <c r="A44" s="17">
        <v>4</v>
      </c>
      <c r="B44" s="17">
        <v>3</v>
      </c>
    </row>
    <row r="45" spans="1:2" x14ac:dyDescent="0.4">
      <c r="A45" s="17">
        <v>3</v>
      </c>
      <c r="B45" s="17">
        <v>3</v>
      </c>
    </row>
    <row r="46" spans="1:2" x14ac:dyDescent="0.4">
      <c r="A46" s="17">
        <v>4</v>
      </c>
      <c r="B46" s="17">
        <v>3</v>
      </c>
    </row>
    <row r="47" spans="1:2" x14ac:dyDescent="0.4">
      <c r="A47" s="17">
        <v>3</v>
      </c>
      <c r="B47" s="17">
        <v>3</v>
      </c>
    </row>
    <row r="48" spans="1:2" x14ac:dyDescent="0.4">
      <c r="A48" s="17">
        <v>3</v>
      </c>
      <c r="B48" s="17">
        <v>4</v>
      </c>
    </row>
    <row r="49" spans="1:2" x14ac:dyDescent="0.4">
      <c r="A49" s="17">
        <v>3</v>
      </c>
      <c r="B49" s="17">
        <v>3</v>
      </c>
    </row>
    <row r="50" spans="1:2" x14ac:dyDescent="0.4">
      <c r="A50" s="17">
        <v>3</v>
      </c>
      <c r="B50" s="17">
        <v>3</v>
      </c>
    </row>
    <row r="51" spans="1:2" x14ac:dyDescent="0.4">
      <c r="A51" s="17">
        <v>3</v>
      </c>
      <c r="B51" s="17">
        <v>3</v>
      </c>
    </row>
    <row r="52" spans="1:2" x14ac:dyDescent="0.4">
      <c r="A52" s="17">
        <v>3</v>
      </c>
      <c r="B52" s="17">
        <v>3</v>
      </c>
    </row>
    <row r="53" spans="1:2" x14ac:dyDescent="0.4">
      <c r="A53" s="17">
        <v>3</v>
      </c>
      <c r="B53" s="17">
        <v>3</v>
      </c>
    </row>
    <row r="54" spans="1:2" x14ac:dyDescent="0.4">
      <c r="A54" s="17">
        <v>4</v>
      </c>
      <c r="B54" s="17">
        <v>3</v>
      </c>
    </row>
    <row r="55" spans="1:2" x14ac:dyDescent="0.4">
      <c r="A55" s="17">
        <v>3</v>
      </c>
      <c r="B55" s="17">
        <v>3</v>
      </c>
    </row>
    <row r="56" spans="1:2" x14ac:dyDescent="0.4">
      <c r="A56" s="17">
        <v>3</v>
      </c>
      <c r="B56" s="17">
        <v>3</v>
      </c>
    </row>
    <row r="57" spans="1:2" x14ac:dyDescent="0.4">
      <c r="A57" s="17">
        <v>3</v>
      </c>
      <c r="B57" s="17">
        <v>3</v>
      </c>
    </row>
    <row r="58" spans="1:2" x14ac:dyDescent="0.4">
      <c r="A58" s="17">
        <v>4</v>
      </c>
      <c r="B58" s="17">
        <v>3</v>
      </c>
    </row>
    <row r="59" spans="1:2" x14ac:dyDescent="0.4">
      <c r="A59" s="17">
        <v>4</v>
      </c>
      <c r="B59" s="17">
        <v>3</v>
      </c>
    </row>
    <row r="60" spans="1:2" x14ac:dyDescent="0.4">
      <c r="A60" s="17">
        <v>4</v>
      </c>
      <c r="B60" s="17">
        <v>3</v>
      </c>
    </row>
    <row r="61" spans="1:2" x14ac:dyDescent="0.4">
      <c r="A61" s="17">
        <v>3</v>
      </c>
      <c r="B61" s="17">
        <v>3</v>
      </c>
    </row>
    <row r="62" spans="1:2" x14ac:dyDescent="0.4">
      <c r="A62" s="17">
        <v>4</v>
      </c>
      <c r="B62" s="17">
        <v>3</v>
      </c>
    </row>
    <row r="63" spans="1:2" x14ac:dyDescent="0.4">
      <c r="A63" s="17">
        <v>3</v>
      </c>
      <c r="B63" s="17">
        <v>3</v>
      </c>
    </row>
    <row r="64" spans="1:2" x14ac:dyDescent="0.4">
      <c r="A64" s="17">
        <v>4</v>
      </c>
      <c r="B64" s="17">
        <v>3</v>
      </c>
    </row>
    <row r="65" spans="1:2" x14ac:dyDescent="0.4">
      <c r="A65" s="17">
        <v>3</v>
      </c>
      <c r="B65" s="17">
        <v>3</v>
      </c>
    </row>
    <row r="66" spans="1:2" x14ac:dyDescent="0.4">
      <c r="A66" s="17">
        <v>3</v>
      </c>
      <c r="B66" s="17">
        <v>3</v>
      </c>
    </row>
    <row r="67" spans="1:2" x14ac:dyDescent="0.4">
      <c r="A67" s="17">
        <v>3</v>
      </c>
      <c r="B67" s="17">
        <v>3</v>
      </c>
    </row>
    <row r="68" spans="1:2" x14ac:dyDescent="0.4">
      <c r="A68" s="17">
        <v>3</v>
      </c>
      <c r="B68" s="17">
        <v>3</v>
      </c>
    </row>
    <row r="69" spans="1:2" x14ac:dyDescent="0.4">
      <c r="A69" s="17">
        <v>3</v>
      </c>
      <c r="B69" s="17">
        <v>3</v>
      </c>
    </row>
    <row r="70" spans="1:2" x14ac:dyDescent="0.4">
      <c r="A70" s="17">
        <v>3</v>
      </c>
      <c r="B70" s="17">
        <v>3</v>
      </c>
    </row>
    <row r="71" spans="1:2" x14ac:dyDescent="0.4">
      <c r="A71" s="17">
        <v>3</v>
      </c>
      <c r="B71" s="17">
        <v>4</v>
      </c>
    </row>
    <row r="72" spans="1:2" x14ac:dyDescent="0.4">
      <c r="A72" s="17">
        <v>3</v>
      </c>
      <c r="B72" s="17">
        <v>3</v>
      </c>
    </row>
    <row r="73" spans="1:2" x14ac:dyDescent="0.4">
      <c r="A73" s="17">
        <v>3</v>
      </c>
      <c r="B73" s="17">
        <v>3</v>
      </c>
    </row>
    <row r="74" spans="1:2" x14ac:dyDescent="0.4">
      <c r="A74" s="17">
        <v>3</v>
      </c>
      <c r="B74" s="17">
        <v>3</v>
      </c>
    </row>
    <row r="75" spans="1:2" x14ac:dyDescent="0.4">
      <c r="A75" s="17">
        <v>3</v>
      </c>
      <c r="B75" s="17">
        <v>3</v>
      </c>
    </row>
    <row r="76" spans="1:2" x14ac:dyDescent="0.4">
      <c r="A76" s="17">
        <v>3</v>
      </c>
      <c r="B76" s="17">
        <v>3</v>
      </c>
    </row>
    <row r="77" spans="1:2" x14ac:dyDescent="0.4">
      <c r="A77" s="17">
        <v>3</v>
      </c>
      <c r="B77" s="17">
        <v>3</v>
      </c>
    </row>
    <row r="78" spans="1:2" x14ac:dyDescent="0.4">
      <c r="A78" s="17">
        <v>4</v>
      </c>
      <c r="B78" s="17">
        <v>3</v>
      </c>
    </row>
    <row r="79" spans="1:2" x14ac:dyDescent="0.4">
      <c r="A79" s="17">
        <v>3</v>
      </c>
      <c r="B79" s="17">
        <v>3</v>
      </c>
    </row>
    <row r="80" spans="1:2" x14ac:dyDescent="0.4">
      <c r="A80" s="17">
        <v>3</v>
      </c>
      <c r="B80" s="17">
        <v>3</v>
      </c>
    </row>
    <row r="81" spans="1:2" x14ac:dyDescent="0.4">
      <c r="A81" s="17">
        <v>3</v>
      </c>
      <c r="B81" s="17">
        <v>3</v>
      </c>
    </row>
    <row r="82" spans="1:2" x14ac:dyDescent="0.4">
      <c r="A82" s="17">
        <v>3</v>
      </c>
      <c r="B82" s="17">
        <v>3</v>
      </c>
    </row>
    <row r="83" spans="1:2" x14ac:dyDescent="0.4">
      <c r="A83" s="17">
        <v>3</v>
      </c>
      <c r="B83" s="17">
        <v>3</v>
      </c>
    </row>
    <row r="84" spans="1:2" x14ac:dyDescent="0.4">
      <c r="A84" s="17">
        <v>3</v>
      </c>
      <c r="B84" s="17">
        <v>3</v>
      </c>
    </row>
    <row r="85" spans="1:2" x14ac:dyDescent="0.4">
      <c r="A85" s="17">
        <v>3</v>
      </c>
      <c r="B85" s="17">
        <v>3</v>
      </c>
    </row>
    <row r="86" spans="1:2" x14ac:dyDescent="0.4">
      <c r="A86" s="17">
        <v>3</v>
      </c>
      <c r="B86" s="17">
        <v>4</v>
      </c>
    </row>
    <row r="87" spans="1:2" x14ac:dyDescent="0.4">
      <c r="A87" s="17">
        <v>3</v>
      </c>
      <c r="B87" s="17">
        <v>3</v>
      </c>
    </row>
    <row r="88" spans="1:2" x14ac:dyDescent="0.4">
      <c r="A88" s="17">
        <v>3</v>
      </c>
      <c r="B88" s="17">
        <v>3</v>
      </c>
    </row>
    <row r="89" spans="1:2" x14ac:dyDescent="0.4">
      <c r="A89" s="17">
        <v>4</v>
      </c>
      <c r="B89" s="17">
        <v>3</v>
      </c>
    </row>
    <row r="90" spans="1:2" x14ac:dyDescent="0.4">
      <c r="A90" s="17">
        <v>3</v>
      </c>
      <c r="B90" s="17">
        <v>3</v>
      </c>
    </row>
    <row r="91" spans="1:2" x14ac:dyDescent="0.4">
      <c r="A91" s="17">
        <v>3</v>
      </c>
      <c r="B91" s="17">
        <v>3</v>
      </c>
    </row>
    <row r="92" spans="1:2" x14ac:dyDescent="0.4">
      <c r="A92" s="17">
        <v>4</v>
      </c>
      <c r="B92" s="17">
        <v>3</v>
      </c>
    </row>
    <row r="93" spans="1:2" x14ac:dyDescent="0.4">
      <c r="A93" s="17">
        <v>3</v>
      </c>
      <c r="B93" s="17">
        <v>3</v>
      </c>
    </row>
    <row r="94" spans="1:2" x14ac:dyDescent="0.4">
      <c r="A94" s="17">
        <v>3</v>
      </c>
      <c r="B94" s="17">
        <v>3</v>
      </c>
    </row>
    <row r="95" spans="1:2" x14ac:dyDescent="0.4">
      <c r="A95" s="17">
        <v>3</v>
      </c>
      <c r="B95" s="17">
        <v>3</v>
      </c>
    </row>
    <row r="96" spans="1:2" x14ac:dyDescent="0.4">
      <c r="A96" s="17">
        <v>3</v>
      </c>
      <c r="B96" s="17">
        <v>4</v>
      </c>
    </row>
    <row r="97" spans="1:2" x14ac:dyDescent="0.4">
      <c r="A97" s="17">
        <v>3</v>
      </c>
      <c r="B97" s="17">
        <v>4</v>
      </c>
    </row>
    <row r="98" spans="1:2" x14ac:dyDescent="0.4">
      <c r="A98" s="17">
        <v>3</v>
      </c>
      <c r="B98" s="17">
        <v>3</v>
      </c>
    </row>
    <row r="99" spans="1:2" x14ac:dyDescent="0.4">
      <c r="A99" s="17">
        <v>3</v>
      </c>
      <c r="B99" s="17">
        <v>3</v>
      </c>
    </row>
    <row r="100" spans="1:2" x14ac:dyDescent="0.4">
      <c r="A100" s="17">
        <v>3</v>
      </c>
      <c r="B100" s="17">
        <v>3</v>
      </c>
    </row>
    <row r="101" spans="1:2" x14ac:dyDescent="0.4">
      <c r="A101" s="17">
        <v>3</v>
      </c>
      <c r="B101" s="17">
        <v>3</v>
      </c>
    </row>
    <row r="102" spans="1:2" x14ac:dyDescent="0.4">
      <c r="A102" s="17">
        <v>3</v>
      </c>
      <c r="B102" s="17">
        <v>3</v>
      </c>
    </row>
    <row r="103" spans="1:2" x14ac:dyDescent="0.4">
      <c r="A103" s="17">
        <v>3</v>
      </c>
      <c r="B103" s="17">
        <v>3</v>
      </c>
    </row>
    <row r="104" spans="1:2" x14ac:dyDescent="0.4">
      <c r="A104" s="17">
        <v>3</v>
      </c>
      <c r="B104" s="17">
        <v>3</v>
      </c>
    </row>
    <row r="105" spans="1:2" x14ac:dyDescent="0.4">
      <c r="A105" s="17">
        <v>3</v>
      </c>
      <c r="B105" s="17">
        <v>3</v>
      </c>
    </row>
    <row r="106" spans="1:2" x14ac:dyDescent="0.4">
      <c r="A106" s="17">
        <v>3</v>
      </c>
      <c r="B106" s="17">
        <v>3</v>
      </c>
    </row>
    <row r="107" spans="1:2" x14ac:dyDescent="0.4">
      <c r="A107" s="17">
        <v>3</v>
      </c>
      <c r="B107" s="17">
        <v>3</v>
      </c>
    </row>
    <row r="108" spans="1:2" x14ac:dyDescent="0.4">
      <c r="A108" s="17">
        <v>3</v>
      </c>
      <c r="B108" s="17">
        <v>4</v>
      </c>
    </row>
    <row r="109" spans="1:2" x14ac:dyDescent="0.4">
      <c r="A109" s="17">
        <v>3</v>
      </c>
      <c r="B109" s="17">
        <v>3</v>
      </c>
    </row>
    <row r="110" spans="1:2" x14ac:dyDescent="0.4">
      <c r="A110" s="17">
        <v>3</v>
      </c>
      <c r="B110" s="17">
        <v>3</v>
      </c>
    </row>
    <row r="111" spans="1:2" x14ac:dyDescent="0.4">
      <c r="A111" s="17">
        <v>4</v>
      </c>
      <c r="B111" s="17">
        <v>3</v>
      </c>
    </row>
    <row r="112" spans="1:2" x14ac:dyDescent="0.4">
      <c r="A112" s="17">
        <v>3</v>
      </c>
      <c r="B112" s="17">
        <v>4</v>
      </c>
    </row>
    <row r="113" spans="1:2" x14ac:dyDescent="0.4">
      <c r="A113" s="17">
        <v>3</v>
      </c>
      <c r="B113" s="17">
        <v>3</v>
      </c>
    </row>
    <row r="114" spans="1:2" x14ac:dyDescent="0.4">
      <c r="A114" s="17">
        <v>4</v>
      </c>
      <c r="B114" s="17">
        <v>4</v>
      </c>
    </row>
    <row r="115" spans="1:2" x14ac:dyDescent="0.4">
      <c r="A115" s="17">
        <v>3</v>
      </c>
      <c r="B115" s="17">
        <v>3</v>
      </c>
    </row>
    <row r="116" spans="1:2" x14ac:dyDescent="0.4">
      <c r="A116" s="17">
        <v>4</v>
      </c>
      <c r="B116" s="17">
        <v>3</v>
      </c>
    </row>
    <row r="117" spans="1:2" x14ac:dyDescent="0.4">
      <c r="A117" s="17">
        <v>4</v>
      </c>
      <c r="B117" s="17">
        <v>3</v>
      </c>
    </row>
    <row r="118" spans="1:2" x14ac:dyDescent="0.4">
      <c r="A118" s="17">
        <v>3</v>
      </c>
      <c r="B118" s="17">
        <v>4</v>
      </c>
    </row>
    <row r="119" spans="1:2" x14ac:dyDescent="0.4">
      <c r="A119" s="17">
        <v>3</v>
      </c>
      <c r="B119" s="17">
        <v>3</v>
      </c>
    </row>
    <row r="120" spans="1:2" x14ac:dyDescent="0.4">
      <c r="A120" s="17">
        <v>3</v>
      </c>
      <c r="B120" s="17">
        <v>3</v>
      </c>
    </row>
    <row r="121" spans="1:2" x14ac:dyDescent="0.4">
      <c r="A121" s="17">
        <v>3</v>
      </c>
      <c r="B121" s="17">
        <v>3</v>
      </c>
    </row>
    <row r="122" spans="1:2" x14ac:dyDescent="0.4">
      <c r="A122" s="17">
        <v>3</v>
      </c>
      <c r="B122" s="17">
        <v>3</v>
      </c>
    </row>
    <row r="123" spans="1:2" x14ac:dyDescent="0.4">
      <c r="A123" s="17">
        <v>3</v>
      </c>
      <c r="B123" s="17">
        <v>3</v>
      </c>
    </row>
    <row r="124" spans="1:2" x14ac:dyDescent="0.4">
      <c r="A124" s="17">
        <v>3</v>
      </c>
      <c r="B124" s="17">
        <v>3</v>
      </c>
    </row>
    <row r="125" spans="1:2" x14ac:dyDescent="0.4">
      <c r="A125" s="17">
        <v>3</v>
      </c>
      <c r="B125" s="17">
        <v>4</v>
      </c>
    </row>
    <row r="126" spans="1:2" x14ac:dyDescent="0.4">
      <c r="A126" s="17">
        <v>3</v>
      </c>
      <c r="B126" s="17">
        <v>4</v>
      </c>
    </row>
    <row r="127" spans="1:2" x14ac:dyDescent="0.4">
      <c r="A127" s="17">
        <v>3</v>
      </c>
      <c r="B127" s="17">
        <v>3</v>
      </c>
    </row>
    <row r="128" spans="1:2" x14ac:dyDescent="0.4">
      <c r="A128" s="17">
        <v>3</v>
      </c>
      <c r="B128" s="17">
        <v>4</v>
      </c>
    </row>
    <row r="129" spans="1:2" x14ac:dyDescent="0.4">
      <c r="A129" s="17">
        <v>3</v>
      </c>
      <c r="B129" s="17">
        <v>3</v>
      </c>
    </row>
    <row r="130" spans="1:2" x14ac:dyDescent="0.4">
      <c r="A130" s="17">
        <v>4</v>
      </c>
      <c r="B130" s="17">
        <v>4</v>
      </c>
    </row>
    <row r="131" spans="1:2" x14ac:dyDescent="0.4">
      <c r="A131" s="17">
        <v>3</v>
      </c>
      <c r="B131" s="17">
        <v>3</v>
      </c>
    </row>
    <row r="132" spans="1:2" x14ac:dyDescent="0.4">
      <c r="A132" s="17">
        <v>3</v>
      </c>
      <c r="B132" s="17">
        <v>3</v>
      </c>
    </row>
    <row r="133" spans="1:2" x14ac:dyDescent="0.4">
      <c r="A133" s="17">
        <v>4</v>
      </c>
      <c r="B133" s="17">
        <v>3</v>
      </c>
    </row>
    <row r="134" spans="1:2" x14ac:dyDescent="0.4">
      <c r="A134" s="17">
        <v>4</v>
      </c>
      <c r="B134" s="17">
        <v>4</v>
      </c>
    </row>
    <row r="135" spans="1:2" x14ac:dyDescent="0.4">
      <c r="A135" s="17">
        <v>4</v>
      </c>
      <c r="B135" s="17">
        <v>4</v>
      </c>
    </row>
    <row r="136" spans="1:2" x14ac:dyDescent="0.4">
      <c r="A136" s="17">
        <v>3</v>
      </c>
      <c r="B136" s="17">
        <v>3</v>
      </c>
    </row>
    <row r="137" spans="1:2" x14ac:dyDescent="0.4">
      <c r="A137" s="17">
        <v>3</v>
      </c>
      <c r="B137" s="17">
        <v>3</v>
      </c>
    </row>
    <row r="138" spans="1:2" x14ac:dyDescent="0.4">
      <c r="A138" s="17">
        <v>4</v>
      </c>
      <c r="B138" s="17">
        <v>3</v>
      </c>
    </row>
    <row r="139" spans="1:2" x14ac:dyDescent="0.4">
      <c r="A139" s="17">
        <v>3</v>
      </c>
      <c r="B139" s="17">
        <v>3</v>
      </c>
    </row>
    <row r="140" spans="1:2" x14ac:dyDescent="0.4">
      <c r="A140" s="17">
        <v>3</v>
      </c>
      <c r="B140" s="17">
        <v>3</v>
      </c>
    </row>
    <row r="141" spans="1:2" x14ac:dyDescent="0.4">
      <c r="A141" s="17">
        <v>3</v>
      </c>
      <c r="B141" s="17">
        <v>3</v>
      </c>
    </row>
    <row r="142" spans="1:2" x14ac:dyDescent="0.4">
      <c r="A142" s="17">
        <v>4</v>
      </c>
      <c r="B142" s="17">
        <v>3</v>
      </c>
    </row>
    <row r="143" spans="1:2" x14ac:dyDescent="0.4">
      <c r="A143" s="17">
        <v>3</v>
      </c>
      <c r="B143" s="17">
        <v>3</v>
      </c>
    </row>
    <row r="144" spans="1:2" x14ac:dyDescent="0.4">
      <c r="A144" s="17">
        <v>3</v>
      </c>
      <c r="B144" s="17">
        <v>3</v>
      </c>
    </row>
    <row r="145" spans="1:2" x14ac:dyDescent="0.4">
      <c r="A145" s="17">
        <v>3</v>
      </c>
      <c r="B145" s="17">
        <v>3</v>
      </c>
    </row>
    <row r="146" spans="1:2" x14ac:dyDescent="0.4">
      <c r="A146" s="17">
        <v>3</v>
      </c>
      <c r="B146" s="17">
        <v>3</v>
      </c>
    </row>
    <row r="147" spans="1:2" x14ac:dyDescent="0.4">
      <c r="A147" s="17">
        <v>3</v>
      </c>
      <c r="B147" s="17">
        <v>3</v>
      </c>
    </row>
    <row r="148" spans="1:2" x14ac:dyDescent="0.4">
      <c r="A148" s="17">
        <v>3</v>
      </c>
      <c r="B148" s="17">
        <v>3</v>
      </c>
    </row>
    <row r="149" spans="1:2" x14ac:dyDescent="0.4">
      <c r="A149" s="17">
        <v>3</v>
      </c>
      <c r="B149" s="17">
        <v>3</v>
      </c>
    </row>
    <row r="150" spans="1:2" x14ac:dyDescent="0.4">
      <c r="A150" s="17">
        <v>3</v>
      </c>
      <c r="B150" s="17">
        <v>3</v>
      </c>
    </row>
    <row r="151" spans="1:2" x14ac:dyDescent="0.4">
      <c r="A151" s="17">
        <v>3</v>
      </c>
      <c r="B151" s="17">
        <v>3</v>
      </c>
    </row>
    <row r="152" spans="1:2" x14ac:dyDescent="0.4">
      <c r="A152" s="17">
        <v>3</v>
      </c>
      <c r="B152" s="17">
        <v>4</v>
      </c>
    </row>
    <row r="153" spans="1:2" x14ac:dyDescent="0.4">
      <c r="A153" s="17">
        <v>4</v>
      </c>
      <c r="B153" s="17">
        <v>3</v>
      </c>
    </row>
    <row r="154" spans="1:2" x14ac:dyDescent="0.4">
      <c r="A154" s="17">
        <v>3</v>
      </c>
      <c r="B154" s="17">
        <v>3</v>
      </c>
    </row>
    <row r="155" spans="1:2" x14ac:dyDescent="0.4">
      <c r="A155" s="17">
        <v>3</v>
      </c>
      <c r="B155" s="17">
        <v>3</v>
      </c>
    </row>
    <row r="156" spans="1:2" x14ac:dyDescent="0.4">
      <c r="A156" s="17">
        <v>4</v>
      </c>
      <c r="B156" s="17">
        <v>4</v>
      </c>
    </row>
    <row r="157" spans="1:2" x14ac:dyDescent="0.4">
      <c r="A157" s="17">
        <v>3</v>
      </c>
      <c r="B157" s="17">
        <v>4</v>
      </c>
    </row>
    <row r="158" spans="1:2" x14ac:dyDescent="0.4">
      <c r="A158" s="17">
        <v>3</v>
      </c>
      <c r="B158" s="17">
        <v>3</v>
      </c>
    </row>
    <row r="159" spans="1:2" x14ac:dyDescent="0.4">
      <c r="A159" s="17">
        <v>3</v>
      </c>
      <c r="B159" s="17">
        <v>3</v>
      </c>
    </row>
    <row r="160" spans="1:2" x14ac:dyDescent="0.4">
      <c r="A160" s="17">
        <v>3</v>
      </c>
      <c r="B160" s="17">
        <v>3</v>
      </c>
    </row>
    <row r="161" spans="1:2" x14ac:dyDescent="0.4">
      <c r="A161" s="17">
        <v>3</v>
      </c>
      <c r="B161" s="17">
        <v>3</v>
      </c>
    </row>
    <row r="162" spans="1:2" x14ac:dyDescent="0.4">
      <c r="A162" s="17">
        <v>3</v>
      </c>
      <c r="B162" s="17">
        <v>3</v>
      </c>
    </row>
    <row r="163" spans="1:2" x14ac:dyDescent="0.4">
      <c r="A163" s="17">
        <v>3</v>
      </c>
      <c r="B163" s="17">
        <v>3</v>
      </c>
    </row>
    <row r="164" spans="1:2" x14ac:dyDescent="0.4">
      <c r="A164" s="17">
        <v>3</v>
      </c>
      <c r="B164" s="17">
        <v>3</v>
      </c>
    </row>
    <row r="165" spans="1:2" x14ac:dyDescent="0.4">
      <c r="A165" s="17">
        <v>3</v>
      </c>
      <c r="B165" s="17">
        <v>3</v>
      </c>
    </row>
    <row r="166" spans="1:2" x14ac:dyDescent="0.4">
      <c r="A166" s="17">
        <v>4</v>
      </c>
      <c r="B166" s="17">
        <v>3</v>
      </c>
    </row>
    <row r="167" spans="1:2" x14ac:dyDescent="0.4">
      <c r="A167" s="17">
        <v>3</v>
      </c>
      <c r="B167" s="17">
        <v>4</v>
      </c>
    </row>
    <row r="168" spans="1:2" x14ac:dyDescent="0.4">
      <c r="A168" s="17">
        <v>3</v>
      </c>
      <c r="B168" s="17">
        <v>3</v>
      </c>
    </row>
    <row r="169" spans="1:2" x14ac:dyDescent="0.4">
      <c r="A169" s="17">
        <v>3</v>
      </c>
      <c r="B169" s="17">
        <v>3</v>
      </c>
    </row>
    <row r="170" spans="1:2" x14ac:dyDescent="0.4">
      <c r="A170" s="17">
        <v>3</v>
      </c>
      <c r="B170" s="17">
        <v>3</v>
      </c>
    </row>
    <row r="171" spans="1:2" x14ac:dyDescent="0.4">
      <c r="A171" s="17">
        <v>3</v>
      </c>
      <c r="B171" s="17">
        <v>4</v>
      </c>
    </row>
    <row r="172" spans="1:2" x14ac:dyDescent="0.4">
      <c r="A172" s="17">
        <v>4</v>
      </c>
      <c r="B172" s="17">
        <v>4</v>
      </c>
    </row>
    <row r="173" spans="1:2" x14ac:dyDescent="0.4">
      <c r="A173" s="17">
        <v>3</v>
      </c>
      <c r="B173" s="17">
        <v>4</v>
      </c>
    </row>
    <row r="174" spans="1:2" x14ac:dyDescent="0.4">
      <c r="A174" s="22">
        <v>4</v>
      </c>
      <c r="B174" s="17">
        <v>4</v>
      </c>
    </row>
    <row r="175" spans="1:2" x14ac:dyDescent="0.4">
      <c r="B175" s="17">
        <v>3</v>
      </c>
    </row>
    <row r="176" spans="1:2" x14ac:dyDescent="0.4">
      <c r="B176" s="17">
        <v>3</v>
      </c>
    </row>
    <row r="177" spans="1:2" x14ac:dyDescent="0.4">
      <c r="B177" s="17">
        <v>3</v>
      </c>
    </row>
    <row r="178" spans="1:2" x14ac:dyDescent="0.4">
      <c r="B178" s="17">
        <v>3</v>
      </c>
    </row>
    <row r="179" spans="1:2" x14ac:dyDescent="0.4">
      <c r="B179" s="17">
        <v>3</v>
      </c>
    </row>
    <row r="180" spans="1:2" x14ac:dyDescent="0.4">
      <c r="B180" s="17">
        <v>3</v>
      </c>
    </row>
    <row r="181" spans="1:2" x14ac:dyDescent="0.4">
      <c r="B181" s="17">
        <v>3</v>
      </c>
    </row>
    <row r="182" spans="1:2" x14ac:dyDescent="0.4">
      <c r="B182" s="17">
        <v>3</v>
      </c>
    </row>
    <row r="183" spans="1:2" x14ac:dyDescent="0.4">
      <c r="B183" s="17">
        <v>3</v>
      </c>
    </row>
    <row r="184" spans="1:2" x14ac:dyDescent="0.4">
      <c r="B184" s="17">
        <v>3</v>
      </c>
    </row>
    <row r="185" spans="1:2" x14ac:dyDescent="0.4">
      <c r="B185" s="17">
        <v>4</v>
      </c>
    </row>
    <row r="186" spans="1:2" x14ac:dyDescent="0.4">
      <c r="B186" s="17">
        <v>3</v>
      </c>
    </row>
    <row r="189" spans="1:2" x14ac:dyDescent="0.4">
      <c r="A189" s="2" t="s">
        <v>163</v>
      </c>
    </row>
    <row r="190" spans="1:2" x14ac:dyDescent="0.4">
      <c r="A190" t="s">
        <v>258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9ACE-DE0E-4C8B-8CAA-6B4CCE54E11A}">
  <sheetPr>
    <tabColor rgb="FFFFFF00"/>
  </sheetPr>
  <dimension ref="A1:E34"/>
  <sheetViews>
    <sheetView workbookViewId="0">
      <selection activeCell="B27" sqref="B27"/>
    </sheetView>
  </sheetViews>
  <sheetFormatPr defaultRowHeight="16" x14ac:dyDescent="0.4"/>
  <cols>
    <col min="1" max="1" width="15.5" customWidth="1"/>
    <col min="2" max="2" width="17.4140625" bestFit="1" customWidth="1"/>
    <col min="3" max="3" width="25.6640625" customWidth="1"/>
    <col min="4" max="4" width="30.6640625" customWidth="1"/>
    <col min="5" max="5" width="12.08203125" customWidth="1"/>
  </cols>
  <sheetData>
    <row r="1" spans="1:5" x14ac:dyDescent="0.4">
      <c r="A1" t="s">
        <v>295</v>
      </c>
    </row>
    <row r="3" spans="1:5" x14ac:dyDescent="0.4">
      <c r="A3" s="16" t="s">
        <v>261</v>
      </c>
      <c r="B3" s="16" t="s">
        <v>262</v>
      </c>
      <c r="C3" s="16" t="s">
        <v>263</v>
      </c>
      <c r="D3" s="16" t="s">
        <v>264</v>
      </c>
      <c r="E3" s="16" t="s">
        <v>266</v>
      </c>
    </row>
    <row r="4" spans="1:5" ht="48" x14ac:dyDescent="0.4">
      <c r="A4" s="17" t="s">
        <v>286</v>
      </c>
      <c r="B4" s="17" t="s">
        <v>265</v>
      </c>
      <c r="C4" s="17" t="s">
        <v>275</v>
      </c>
      <c r="D4" s="42" t="s">
        <v>267</v>
      </c>
      <c r="E4" s="46" t="s">
        <v>268</v>
      </c>
    </row>
    <row r="5" spans="1:5" x14ac:dyDescent="0.4">
      <c r="A5" s="17" t="s">
        <v>171</v>
      </c>
      <c r="B5" s="17" t="s">
        <v>287</v>
      </c>
      <c r="C5" s="17" t="s">
        <v>277</v>
      </c>
      <c r="D5" s="42" t="s">
        <v>292</v>
      </c>
      <c r="E5" s="47" t="s">
        <v>34</v>
      </c>
    </row>
    <row r="6" spans="1:5" x14ac:dyDescent="0.4">
      <c r="A6" s="17" t="s">
        <v>165</v>
      </c>
      <c r="B6" s="17" t="s">
        <v>3</v>
      </c>
      <c r="C6" s="17" t="s">
        <v>277</v>
      </c>
      <c r="D6" s="17" t="s">
        <v>272</v>
      </c>
      <c r="E6" s="47" t="s">
        <v>34</v>
      </c>
    </row>
    <row r="7" spans="1:5" x14ac:dyDescent="0.4">
      <c r="A7" s="17" t="s">
        <v>172</v>
      </c>
      <c r="B7" s="17" t="s">
        <v>269</v>
      </c>
      <c r="C7" s="17" t="s">
        <v>236</v>
      </c>
      <c r="D7" s="17" t="s">
        <v>273</v>
      </c>
      <c r="E7" s="47" t="s">
        <v>34</v>
      </c>
    </row>
    <row r="8" spans="1:5" ht="32" x14ac:dyDescent="0.4">
      <c r="A8" s="17" t="s">
        <v>173</v>
      </c>
      <c r="B8" s="17" t="s">
        <v>3</v>
      </c>
      <c r="C8" s="17" t="s">
        <v>275</v>
      </c>
      <c r="D8" s="43" t="s">
        <v>274</v>
      </c>
      <c r="E8" s="48" t="s">
        <v>26</v>
      </c>
    </row>
    <row r="9" spans="1:5" x14ac:dyDescent="0.4">
      <c r="A9" s="17" t="s">
        <v>176</v>
      </c>
      <c r="B9" s="17" t="s">
        <v>270</v>
      </c>
      <c r="C9" s="17" t="s">
        <v>277</v>
      </c>
      <c r="D9" s="17" t="s">
        <v>276</v>
      </c>
      <c r="E9" s="47" t="s">
        <v>34</v>
      </c>
    </row>
    <row r="10" spans="1:5" x14ac:dyDescent="0.4">
      <c r="A10" s="17" t="s">
        <v>185</v>
      </c>
      <c r="B10" s="17" t="s">
        <v>260</v>
      </c>
      <c r="C10" s="17" t="s">
        <v>236</v>
      </c>
      <c r="D10" s="17" t="s">
        <v>278</v>
      </c>
      <c r="E10" s="47" t="s">
        <v>34</v>
      </c>
    </row>
    <row r="11" spans="1:5" x14ac:dyDescent="0.4">
      <c r="A11" s="17" t="s">
        <v>202</v>
      </c>
      <c r="B11" s="17" t="s">
        <v>271</v>
      </c>
      <c r="C11" s="17" t="s">
        <v>279</v>
      </c>
      <c r="D11" s="17" t="s">
        <v>280</v>
      </c>
      <c r="E11" s="47" t="s">
        <v>34</v>
      </c>
    </row>
    <row r="12" spans="1:5" x14ac:dyDescent="0.4">
      <c r="A12" s="17" t="s">
        <v>248</v>
      </c>
      <c r="B12" s="17" t="s">
        <v>259</v>
      </c>
      <c r="C12" s="17" t="s">
        <v>236</v>
      </c>
      <c r="D12" s="17" t="s">
        <v>281</v>
      </c>
      <c r="E12" s="47" t="s">
        <v>34</v>
      </c>
    </row>
    <row r="13" spans="1:5" x14ac:dyDescent="0.4">
      <c r="A13" s="17" t="s">
        <v>253</v>
      </c>
      <c r="B13" s="17" t="s">
        <v>257</v>
      </c>
      <c r="C13" s="17" t="s">
        <v>236</v>
      </c>
      <c r="D13" s="17" t="s">
        <v>282</v>
      </c>
      <c r="E13" s="47" t="s">
        <v>34</v>
      </c>
    </row>
    <row r="17" spans="1:1" x14ac:dyDescent="0.4">
      <c r="A17" s="2"/>
    </row>
    <row r="27" spans="1:1" x14ac:dyDescent="0.4">
      <c r="A27" s="2"/>
    </row>
    <row r="30" spans="1:1" x14ac:dyDescent="0.4">
      <c r="A30" s="2"/>
    </row>
    <row r="31" spans="1:1" x14ac:dyDescent="0.4">
      <c r="A31" s="2"/>
    </row>
    <row r="34" spans="1:1" x14ac:dyDescent="0.4">
      <c r="A34" s="2"/>
    </row>
  </sheetData>
  <phoneticPr fontId="1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B39C-F4A1-470D-9EB9-FD9FFB7DC6B0}">
  <dimension ref="A1:D5"/>
  <sheetViews>
    <sheetView workbookViewId="0">
      <selection activeCell="A5" sqref="A5"/>
    </sheetView>
  </sheetViews>
  <sheetFormatPr defaultRowHeight="16" x14ac:dyDescent="0.4"/>
  <cols>
    <col min="1" max="1" width="30.6640625" bestFit="1" customWidth="1"/>
    <col min="2" max="2" width="27.08203125" bestFit="1" customWidth="1"/>
    <col min="3" max="3" width="26.75" bestFit="1" customWidth="1"/>
    <col min="4" max="4" width="13.25" bestFit="1" customWidth="1"/>
  </cols>
  <sheetData>
    <row r="1" spans="1:4" x14ac:dyDescent="0.4">
      <c r="A1" s="2" t="s">
        <v>113</v>
      </c>
      <c r="B1" s="2" t="s">
        <v>114</v>
      </c>
      <c r="C1" s="2" t="s">
        <v>115</v>
      </c>
      <c r="D1" s="2"/>
    </row>
    <row r="2" spans="1:4" x14ac:dyDescent="0.4">
      <c r="A2" t="s">
        <v>126</v>
      </c>
      <c r="B2" t="s">
        <v>118</v>
      </c>
      <c r="C2" t="s">
        <v>122</v>
      </c>
    </row>
    <row r="3" spans="1:4" x14ac:dyDescent="0.4">
      <c r="A3" t="s">
        <v>116</v>
      </c>
      <c r="B3" t="s">
        <v>119</v>
      </c>
      <c r="C3" t="s">
        <v>123</v>
      </c>
    </row>
    <row r="4" spans="1:4" x14ac:dyDescent="0.4">
      <c r="A4" t="s">
        <v>187</v>
      </c>
      <c r="B4" t="s">
        <v>120</v>
      </c>
      <c r="C4" t="s">
        <v>124</v>
      </c>
    </row>
    <row r="5" spans="1:4" x14ac:dyDescent="0.4">
      <c r="A5" t="s">
        <v>117</v>
      </c>
      <c r="B5" t="s">
        <v>121</v>
      </c>
      <c r="C5" t="s">
        <v>125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71"/>
  <sheetViews>
    <sheetView workbookViewId="0">
      <selection activeCell="B29" sqref="B29"/>
    </sheetView>
  </sheetViews>
  <sheetFormatPr defaultColWidth="10.58203125" defaultRowHeight="16" x14ac:dyDescent="0.4"/>
  <cols>
    <col min="1" max="1" width="16" customWidth="1"/>
    <col min="2" max="2" width="24.58203125" customWidth="1"/>
    <col min="3" max="3" width="19.33203125" customWidth="1"/>
    <col min="4" max="4" width="22.83203125" customWidth="1"/>
    <col min="5" max="5" width="23.08203125" customWidth="1"/>
  </cols>
  <sheetData>
    <row r="1" spans="1:5" x14ac:dyDescent="0.4">
      <c r="A1" s="2" t="s">
        <v>0</v>
      </c>
      <c r="B1" s="2" t="s">
        <v>62</v>
      </c>
      <c r="C1" s="2" t="s">
        <v>63</v>
      </c>
      <c r="D1" s="2" t="s">
        <v>64</v>
      </c>
      <c r="E1" s="2" t="s">
        <v>65</v>
      </c>
    </row>
    <row r="2" spans="1:5" x14ac:dyDescent="0.4">
      <c r="A2">
        <v>701</v>
      </c>
      <c r="B2">
        <v>4</v>
      </c>
      <c r="C2">
        <v>3</v>
      </c>
      <c r="D2">
        <v>4</v>
      </c>
      <c r="E2">
        <v>3</v>
      </c>
    </row>
    <row r="3" spans="1:5" x14ac:dyDescent="0.4">
      <c r="A3">
        <v>1012</v>
      </c>
      <c r="B3">
        <v>2</v>
      </c>
      <c r="C3">
        <v>4</v>
      </c>
      <c r="D3">
        <v>4</v>
      </c>
      <c r="E3">
        <v>3</v>
      </c>
    </row>
    <row r="4" spans="1:5" x14ac:dyDescent="0.4">
      <c r="A4">
        <v>1056</v>
      </c>
      <c r="B4">
        <v>4</v>
      </c>
      <c r="C4">
        <v>2</v>
      </c>
      <c r="D4">
        <v>2</v>
      </c>
      <c r="E4">
        <v>3</v>
      </c>
    </row>
    <row r="5" spans="1:5" x14ac:dyDescent="0.4">
      <c r="A5">
        <v>1876</v>
      </c>
      <c r="B5">
        <v>2</v>
      </c>
      <c r="C5">
        <v>4</v>
      </c>
      <c r="D5">
        <v>3</v>
      </c>
      <c r="E5">
        <v>2</v>
      </c>
    </row>
    <row r="6" spans="1:5" x14ac:dyDescent="0.4">
      <c r="A6">
        <v>1928</v>
      </c>
      <c r="B6">
        <v>3</v>
      </c>
      <c r="C6">
        <v>1</v>
      </c>
      <c r="D6">
        <v>4</v>
      </c>
      <c r="E6">
        <v>3</v>
      </c>
    </row>
    <row r="7" spans="1:5" x14ac:dyDescent="0.4">
      <c r="A7">
        <v>243</v>
      </c>
      <c r="B7">
        <v>2</v>
      </c>
      <c r="C7">
        <v>4</v>
      </c>
      <c r="D7">
        <v>3</v>
      </c>
      <c r="E7">
        <v>2</v>
      </c>
    </row>
    <row r="8" spans="1:5" x14ac:dyDescent="0.4">
      <c r="A8">
        <v>1273</v>
      </c>
      <c r="B8">
        <v>3</v>
      </c>
      <c r="C8">
        <v>4</v>
      </c>
      <c r="D8">
        <v>4</v>
      </c>
      <c r="E8">
        <v>3</v>
      </c>
    </row>
    <row r="9" spans="1:5" x14ac:dyDescent="0.4">
      <c r="A9">
        <v>1974</v>
      </c>
      <c r="B9">
        <v>4</v>
      </c>
      <c r="C9">
        <v>4</v>
      </c>
      <c r="D9">
        <v>3</v>
      </c>
      <c r="E9">
        <v>3</v>
      </c>
    </row>
    <row r="10" spans="1:5" x14ac:dyDescent="0.4">
      <c r="A10">
        <v>411</v>
      </c>
      <c r="B10">
        <v>4</v>
      </c>
      <c r="C10">
        <v>3</v>
      </c>
      <c r="D10">
        <v>1</v>
      </c>
      <c r="E10">
        <v>3</v>
      </c>
    </row>
    <row r="11" spans="1:5" x14ac:dyDescent="0.4">
      <c r="A11">
        <v>1270</v>
      </c>
      <c r="B11">
        <v>4</v>
      </c>
      <c r="C11">
        <v>3</v>
      </c>
      <c r="D11">
        <v>4</v>
      </c>
      <c r="E11">
        <v>3</v>
      </c>
    </row>
    <row r="12" spans="1:5" x14ac:dyDescent="0.4">
      <c r="A12">
        <v>30</v>
      </c>
      <c r="B12">
        <v>3</v>
      </c>
      <c r="C12">
        <v>4</v>
      </c>
      <c r="D12">
        <v>4</v>
      </c>
      <c r="E12">
        <v>3</v>
      </c>
    </row>
    <row r="13" spans="1:5" x14ac:dyDescent="0.4">
      <c r="A13">
        <v>1433</v>
      </c>
      <c r="B13">
        <v>1</v>
      </c>
      <c r="C13">
        <v>2</v>
      </c>
      <c r="D13">
        <v>3</v>
      </c>
      <c r="E13">
        <v>4</v>
      </c>
    </row>
    <row r="14" spans="1:5" x14ac:dyDescent="0.4">
      <c r="A14">
        <v>1482</v>
      </c>
      <c r="B14">
        <v>3</v>
      </c>
      <c r="C14">
        <v>3</v>
      </c>
      <c r="D14">
        <v>2</v>
      </c>
      <c r="E14">
        <v>2</v>
      </c>
    </row>
    <row r="15" spans="1:5" x14ac:dyDescent="0.4">
      <c r="A15">
        <v>704</v>
      </c>
      <c r="B15">
        <v>3</v>
      </c>
      <c r="C15">
        <v>3</v>
      </c>
      <c r="D15">
        <v>3</v>
      </c>
      <c r="E15">
        <v>3</v>
      </c>
    </row>
    <row r="16" spans="1:5" x14ac:dyDescent="0.4">
      <c r="A16">
        <v>1427</v>
      </c>
      <c r="B16">
        <v>2</v>
      </c>
      <c r="C16">
        <v>3</v>
      </c>
      <c r="D16">
        <v>2</v>
      </c>
      <c r="E16">
        <v>3</v>
      </c>
    </row>
    <row r="17" spans="1:5" x14ac:dyDescent="0.4">
      <c r="A17">
        <v>1692</v>
      </c>
      <c r="B17">
        <v>4</v>
      </c>
      <c r="C17">
        <v>2</v>
      </c>
      <c r="D17">
        <v>1</v>
      </c>
      <c r="E17">
        <v>3</v>
      </c>
    </row>
    <row r="18" spans="1:5" x14ac:dyDescent="0.4">
      <c r="A18">
        <v>1079</v>
      </c>
      <c r="B18">
        <v>3</v>
      </c>
      <c r="C18">
        <v>1</v>
      </c>
      <c r="D18">
        <v>1</v>
      </c>
      <c r="E18">
        <v>2</v>
      </c>
    </row>
    <row r="19" spans="1:5" x14ac:dyDescent="0.4">
      <c r="A19">
        <v>405</v>
      </c>
      <c r="B19">
        <v>3</v>
      </c>
      <c r="C19">
        <v>3</v>
      </c>
      <c r="D19">
        <v>3</v>
      </c>
      <c r="E19">
        <v>3</v>
      </c>
    </row>
    <row r="20" spans="1:5" x14ac:dyDescent="0.4">
      <c r="A20">
        <v>201</v>
      </c>
      <c r="B20">
        <v>2</v>
      </c>
      <c r="C20">
        <v>2</v>
      </c>
      <c r="D20">
        <v>4</v>
      </c>
      <c r="E20">
        <v>3</v>
      </c>
    </row>
    <row r="21" spans="1:5" x14ac:dyDescent="0.4">
      <c r="A21">
        <v>1839</v>
      </c>
      <c r="B21">
        <v>2</v>
      </c>
      <c r="C21">
        <v>3</v>
      </c>
      <c r="D21">
        <v>3</v>
      </c>
      <c r="E21">
        <v>1</v>
      </c>
    </row>
    <row r="22" spans="1:5" x14ac:dyDescent="0.4">
      <c r="A22">
        <v>2</v>
      </c>
      <c r="B22">
        <v>3</v>
      </c>
      <c r="C22">
        <v>2</v>
      </c>
      <c r="D22">
        <v>4</v>
      </c>
      <c r="E22">
        <v>3</v>
      </c>
    </row>
    <row r="23" spans="1:5" x14ac:dyDescent="0.4">
      <c r="A23">
        <v>4</v>
      </c>
      <c r="B23">
        <v>4</v>
      </c>
      <c r="C23">
        <v>3</v>
      </c>
      <c r="D23">
        <v>2</v>
      </c>
      <c r="E23">
        <v>3</v>
      </c>
    </row>
    <row r="24" spans="1:5" x14ac:dyDescent="0.4">
      <c r="A24">
        <v>1624</v>
      </c>
      <c r="B24">
        <v>2</v>
      </c>
      <c r="C24">
        <v>4</v>
      </c>
      <c r="D24">
        <v>3</v>
      </c>
      <c r="E24">
        <v>4</v>
      </c>
    </row>
    <row r="25" spans="1:5" x14ac:dyDescent="0.4">
      <c r="A25">
        <v>7</v>
      </c>
      <c r="B25">
        <v>1</v>
      </c>
      <c r="C25">
        <v>2</v>
      </c>
      <c r="D25">
        <v>4</v>
      </c>
      <c r="E25">
        <v>3</v>
      </c>
    </row>
    <row r="26" spans="1:5" x14ac:dyDescent="0.4">
      <c r="A26">
        <v>1368</v>
      </c>
      <c r="B26">
        <v>4</v>
      </c>
      <c r="C26">
        <v>4</v>
      </c>
      <c r="D26">
        <v>3</v>
      </c>
      <c r="E26">
        <v>4</v>
      </c>
    </row>
    <row r="27" spans="1:5" x14ac:dyDescent="0.4">
      <c r="A27">
        <v>8</v>
      </c>
      <c r="B27">
        <v>4</v>
      </c>
      <c r="C27">
        <v>4</v>
      </c>
      <c r="D27">
        <v>3</v>
      </c>
      <c r="E27">
        <v>2</v>
      </c>
    </row>
    <row r="28" spans="1:5" x14ac:dyDescent="0.4">
      <c r="A28">
        <v>11</v>
      </c>
      <c r="B28">
        <v>4</v>
      </c>
      <c r="C28">
        <v>3</v>
      </c>
      <c r="D28">
        <v>2</v>
      </c>
      <c r="E28">
        <v>3</v>
      </c>
    </row>
    <row r="29" spans="1:5" x14ac:dyDescent="0.4">
      <c r="A29">
        <v>12</v>
      </c>
      <c r="B29">
        <v>4</v>
      </c>
      <c r="C29">
        <v>3</v>
      </c>
      <c r="D29">
        <v>2</v>
      </c>
      <c r="E29">
        <v>3</v>
      </c>
    </row>
    <row r="30" spans="1:5" x14ac:dyDescent="0.4">
      <c r="A30">
        <v>13</v>
      </c>
      <c r="B30">
        <v>3</v>
      </c>
      <c r="C30">
        <v>3</v>
      </c>
      <c r="D30">
        <v>2</v>
      </c>
      <c r="E30">
        <v>2</v>
      </c>
    </row>
    <row r="31" spans="1:5" x14ac:dyDescent="0.4">
      <c r="A31">
        <v>1248</v>
      </c>
      <c r="B31">
        <v>1</v>
      </c>
      <c r="C31">
        <v>2</v>
      </c>
      <c r="D31">
        <v>2</v>
      </c>
      <c r="E31">
        <v>4</v>
      </c>
    </row>
    <row r="32" spans="1:5" x14ac:dyDescent="0.4">
      <c r="A32">
        <v>14</v>
      </c>
      <c r="B32">
        <v>1</v>
      </c>
      <c r="C32">
        <v>2</v>
      </c>
      <c r="D32">
        <v>3</v>
      </c>
      <c r="E32">
        <v>3</v>
      </c>
    </row>
    <row r="33" spans="1:5" x14ac:dyDescent="0.4">
      <c r="A33">
        <v>16</v>
      </c>
      <c r="B33">
        <v>1</v>
      </c>
      <c r="C33">
        <v>3</v>
      </c>
      <c r="D33">
        <v>4</v>
      </c>
      <c r="E33">
        <v>2</v>
      </c>
    </row>
    <row r="34" spans="1:5" x14ac:dyDescent="0.4">
      <c r="A34">
        <v>18</v>
      </c>
      <c r="B34">
        <v>2</v>
      </c>
      <c r="C34">
        <v>4</v>
      </c>
      <c r="D34">
        <v>3</v>
      </c>
      <c r="E34">
        <v>3</v>
      </c>
    </row>
    <row r="35" spans="1:5" x14ac:dyDescent="0.4">
      <c r="A35">
        <v>2051</v>
      </c>
      <c r="B35">
        <v>3</v>
      </c>
      <c r="C35">
        <v>3</v>
      </c>
      <c r="D35">
        <v>2</v>
      </c>
      <c r="E35">
        <v>3</v>
      </c>
    </row>
    <row r="36" spans="1:5" x14ac:dyDescent="0.4">
      <c r="A36">
        <v>1068</v>
      </c>
      <c r="B36">
        <v>1</v>
      </c>
      <c r="C36">
        <v>3</v>
      </c>
      <c r="D36">
        <v>3</v>
      </c>
      <c r="E36">
        <v>3</v>
      </c>
    </row>
    <row r="37" spans="1:5" x14ac:dyDescent="0.4">
      <c r="A37">
        <v>19</v>
      </c>
      <c r="B37">
        <v>3</v>
      </c>
      <c r="C37">
        <v>3</v>
      </c>
      <c r="D37">
        <v>2</v>
      </c>
      <c r="E37">
        <v>3</v>
      </c>
    </row>
    <row r="38" spans="1:5" x14ac:dyDescent="0.4">
      <c r="A38">
        <v>21</v>
      </c>
      <c r="B38">
        <v>1</v>
      </c>
      <c r="C38">
        <v>2</v>
      </c>
      <c r="D38">
        <v>4</v>
      </c>
      <c r="E38">
        <v>2</v>
      </c>
    </row>
    <row r="39" spans="1:5" x14ac:dyDescent="0.4">
      <c r="A39">
        <v>1246</v>
      </c>
      <c r="B39">
        <v>1</v>
      </c>
      <c r="C39">
        <v>4</v>
      </c>
      <c r="D39">
        <v>4</v>
      </c>
      <c r="E39">
        <v>3</v>
      </c>
    </row>
    <row r="40" spans="1:5" x14ac:dyDescent="0.4">
      <c r="A40">
        <v>22</v>
      </c>
      <c r="B40">
        <v>4</v>
      </c>
      <c r="C40">
        <v>4</v>
      </c>
      <c r="D40">
        <v>2</v>
      </c>
      <c r="E40">
        <v>2</v>
      </c>
    </row>
    <row r="41" spans="1:5" x14ac:dyDescent="0.4">
      <c r="A41">
        <v>49</v>
      </c>
      <c r="B41">
        <v>4</v>
      </c>
      <c r="C41">
        <v>4</v>
      </c>
      <c r="D41">
        <v>1</v>
      </c>
      <c r="E41">
        <v>3</v>
      </c>
    </row>
    <row r="42" spans="1:5" x14ac:dyDescent="0.4">
      <c r="A42">
        <v>24</v>
      </c>
      <c r="B42">
        <v>4</v>
      </c>
      <c r="C42">
        <v>4</v>
      </c>
      <c r="D42">
        <v>3</v>
      </c>
      <c r="E42">
        <v>3</v>
      </c>
    </row>
    <row r="43" spans="1:5" x14ac:dyDescent="0.4">
      <c r="A43">
        <v>881</v>
      </c>
      <c r="B43">
        <v>4</v>
      </c>
      <c r="C43">
        <v>2</v>
      </c>
      <c r="D43">
        <v>1</v>
      </c>
      <c r="E43">
        <v>2</v>
      </c>
    </row>
    <row r="44" spans="1:5" x14ac:dyDescent="0.4">
      <c r="A44">
        <v>27</v>
      </c>
      <c r="B44">
        <v>3</v>
      </c>
      <c r="C44">
        <v>1</v>
      </c>
      <c r="D44">
        <v>2</v>
      </c>
      <c r="E44">
        <v>3</v>
      </c>
    </row>
    <row r="45" spans="1:5" x14ac:dyDescent="0.4">
      <c r="A45">
        <v>31</v>
      </c>
      <c r="B45">
        <v>2</v>
      </c>
      <c r="C45">
        <v>1</v>
      </c>
      <c r="D45">
        <v>3</v>
      </c>
      <c r="E45">
        <v>3</v>
      </c>
    </row>
    <row r="46" spans="1:5" x14ac:dyDescent="0.4">
      <c r="A46">
        <v>35</v>
      </c>
      <c r="B46">
        <v>3</v>
      </c>
      <c r="C46">
        <v>2</v>
      </c>
      <c r="D46">
        <v>4</v>
      </c>
      <c r="E46">
        <v>3</v>
      </c>
    </row>
    <row r="47" spans="1:5" x14ac:dyDescent="0.4">
      <c r="A47">
        <v>1374</v>
      </c>
      <c r="B47">
        <v>1</v>
      </c>
      <c r="C47">
        <v>3</v>
      </c>
      <c r="D47">
        <v>3</v>
      </c>
      <c r="E47">
        <v>3</v>
      </c>
    </row>
    <row r="48" spans="1:5" x14ac:dyDescent="0.4">
      <c r="A48">
        <v>39</v>
      </c>
      <c r="B48">
        <v>3</v>
      </c>
      <c r="C48">
        <v>4</v>
      </c>
      <c r="D48">
        <v>4</v>
      </c>
      <c r="E48">
        <v>3</v>
      </c>
    </row>
    <row r="49" spans="1:5" x14ac:dyDescent="0.4">
      <c r="A49">
        <v>1495</v>
      </c>
      <c r="B49">
        <v>4</v>
      </c>
      <c r="C49">
        <v>2</v>
      </c>
      <c r="D49">
        <v>3</v>
      </c>
      <c r="E49">
        <v>3</v>
      </c>
    </row>
    <row r="50" spans="1:5" x14ac:dyDescent="0.4">
      <c r="A50">
        <v>40</v>
      </c>
      <c r="B50">
        <v>4</v>
      </c>
      <c r="C50">
        <v>4</v>
      </c>
      <c r="D50">
        <v>4</v>
      </c>
      <c r="E50">
        <v>4</v>
      </c>
    </row>
    <row r="51" spans="1:5" x14ac:dyDescent="0.4">
      <c r="A51">
        <v>41</v>
      </c>
      <c r="B51">
        <v>4</v>
      </c>
      <c r="C51">
        <v>3</v>
      </c>
      <c r="D51">
        <v>1</v>
      </c>
      <c r="E51">
        <v>3</v>
      </c>
    </row>
    <row r="52" spans="1:5" x14ac:dyDescent="0.4">
      <c r="A52">
        <v>922</v>
      </c>
      <c r="B52">
        <v>3</v>
      </c>
      <c r="C52">
        <v>3</v>
      </c>
      <c r="D52">
        <v>4</v>
      </c>
      <c r="E52">
        <v>2</v>
      </c>
    </row>
    <row r="53" spans="1:5" x14ac:dyDescent="0.4">
      <c r="A53">
        <v>42</v>
      </c>
      <c r="B53">
        <v>4</v>
      </c>
      <c r="C53">
        <v>4</v>
      </c>
      <c r="D53">
        <v>3</v>
      </c>
      <c r="E53">
        <v>4</v>
      </c>
    </row>
    <row r="54" spans="1:5" x14ac:dyDescent="0.4">
      <c r="A54">
        <v>45</v>
      </c>
      <c r="B54">
        <v>2</v>
      </c>
      <c r="C54">
        <v>4</v>
      </c>
      <c r="D54">
        <v>1</v>
      </c>
      <c r="E54">
        <v>2</v>
      </c>
    </row>
    <row r="55" spans="1:5" x14ac:dyDescent="0.4">
      <c r="A55">
        <v>47</v>
      </c>
      <c r="B55">
        <v>1</v>
      </c>
      <c r="C55">
        <v>3</v>
      </c>
      <c r="D55">
        <v>3</v>
      </c>
      <c r="E55">
        <v>3</v>
      </c>
    </row>
    <row r="56" spans="1:5" x14ac:dyDescent="0.4">
      <c r="A56">
        <v>1581</v>
      </c>
      <c r="B56">
        <v>1</v>
      </c>
      <c r="C56">
        <v>4</v>
      </c>
      <c r="D56">
        <v>1</v>
      </c>
      <c r="E56">
        <v>3</v>
      </c>
    </row>
    <row r="57" spans="1:5" x14ac:dyDescent="0.4">
      <c r="A57">
        <v>53</v>
      </c>
      <c r="B57">
        <v>3</v>
      </c>
      <c r="C57">
        <v>4</v>
      </c>
      <c r="D57">
        <v>3</v>
      </c>
      <c r="E57">
        <v>3</v>
      </c>
    </row>
    <row r="58" spans="1:5" x14ac:dyDescent="0.4">
      <c r="A58">
        <v>55</v>
      </c>
      <c r="B58">
        <v>1</v>
      </c>
      <c r="C58">
        <v>3</v>
      </c>
      <c r="D58">
        <v>3</v>
      </c>
      <c r="E58">
        <v>2</v>
      </c>
    </row>
    <row r="59" spans="1:5" x14ac:dyDescent="0.4">
      <c r="A59">
        <v>1441</v>
      </c>
      <c r="B59">
        <v>1</v>
      </c>
      <c r="C59">
        <v>1</v>
      </c>
      <c r="D59">
        <v>4</v>
      </c>
      <c r="E59">
        <v>4</v>
      </c>
    </row>
    <row r="60" spans="1:5" x14ac:dyDescent="0.4">
      <c r="A60">
        <v>56</v>
      </c>
      <c r="B60">
        <v>4</v>
      </c>
      <c r="C60">
        <v>3</v>
      </c>
      <c r="D60">
        <v>4</v>
      </c>
      <c r="E60">
        <v>3</v>
      </c>
    </row>
    <row r="61" spans="1:5" x14ac:dyDescent="0.4">
      <c r="A61">
        <v>1131</v>
      </c>
      <c r="B61">
        <v>4</v>
      </c>
      <c r="C61">
        <v>2</v>
      </c>
      <c r="D61">
        <v>3</v>
      </c>
      <c r="E61">
        <v>4</v>
      </c>
    </row>
    <row r="62" spans="1:5" x14ac:dyDescent="0.4">
      <c r="A62">
        <v>60</v>
      </c>
      <c r="B62">
        <v>2</v>
      </c>
      <c r="C62">
        <v>3</v>
      </c>
      <c r="D62">
        <v>3</v>
      </c>
      <c r="E62">
        <v>3</v>
      </c>
    </row>
    <row r="63" spans="1:5" x14ac:dyDescent="0.4">
      <c r="A63">
        <v>61</v>
      </c>
      <c r="B63">
        <v>2</v>
      </c>
      <c r="C63">
        <v>2</v>
      </c>
      <c r="D63">
        <v>1</v>
      </c>
      <c r="E63">
        <v>3</v>
      </c>
    </row>
    <row r="64" spans="1:5" x14ac:dyDescent="0.4">
      <c r="A64">
        <v>1569</v>
      </c>
      <c r="B64">
        <v>1</v>
      </c>
      <c r="C64">
        <v>1</v>
      </c>
      <c r="D64">
        <v>4</v>
      </c>
      <c r="E64">
        <v>3</v>
      </c>
    </row>
    <row r="65" spans="1:5" x14ac:dyDescent="0.4">
      <c r="A65">
        <v>62</v>
      </c>
      <c r="B65">
        <v>1</v>
      </c>
      <c r="C65">
        <v>4</v>
      </c>
      <c r="D65">
        <v>3</v>
      </c>
      <c r="E65">
        <v>3</v>
      </c>
    </row>
    <row r="66" spans="1:5" x14ac:dyDescent="0.4">
      <c r="A66">
        <v>63</v>
      </c>
      <c r="B66">
        <v>4</v>
      </c>
      <c r="C66">
        <v>4</v>
      </c>
      <c r="D66">
        <v>4</v>
      </c>
      <c r="E66">
        <v>3</v>
      </c>
    </row>
    <row r="67" spans="1:5" x14ac:dyDescent="0.4">
      <c r="A67">
        <v>680</v>
      </c>
      <c r="B67">
        <v>3</v>
      </c>
      <c r="C67">
        <v>3</v>
      </c>
      <c r="D67">
        <v>3</v>
      </c>
      <c r="E67">
        <v>3</v>
      </c>
    </row>
    <row r="68" spans="1:5" x14ac:dyDescent="0.4">
      <c r="A68">
        <v>64</v>
      </c>
      <c r="B68">
        <v>1</v>
      </c>
      <c r="C68">
        <v>3</v>
      </c>
      <c r="D68">
        <v>4</v>
      </c>
      <c r="E68">
        <v>3</v>
      </c>
    </row>
    <row r="69" spans="1:5" x14ac:dyDescent="0.4">
      <c r="A69">
        <v>65</v>
      </c>
      <c r="B69">
        <v>3</v>
      </c>
      <c r="C69">
        <v>3</v>
      </c>
      <c r="D69">
        <v>3</v>
      </c>
      <c r="E69">
        <v>2</v>
      </c>
    </row>
    <row r="70" spans="1:5" x14ac:dyDescent="0.4">
      <c r="A70">
        <v>70</v>
      </c>
      <c r="B70">
        <v>3</v>
      </c>
      <c r="C70">
        <v>1</v>
      </c>
      <c r="D70">
        <v>3</v>
      </c>
      <c r="E70">
        <v>3</v>
      </c>
    </row>
    <row r="71" spans="1:5" x14ac:dyDescent="0.4">
      <c r="A71">
        <v>74</v>
      </c>
      <c r="B71">
        <v>2</v>
      </c>
      <c r="C71">
        <v>1</v>
      </c>
      <c r="D71">
        <v>4</v>
      </c>
      <c r="E71">
        <v>2</v>
      </c>
    </row>
    <row r="72" spans="1:5" x14ac:dyDescent="0.4">
      <c r="A72">
        <v>76</v>
      </c>
      <c r="B72">
        <v>4</v>
      </c>
      <c r="C72">
        <v>4</v>
      </c>
      <c r="D72">
        <v>4</v>
      </c>
      <c r="E72">
        <v>2</v>
      </c>
    </row>
    <row r="73" spans="1:5" x14ac:dyDescent="0.4">
      <c r="A73">
        <v>77</v>
      </c>
      <c r="B73">
        <v>1</v>
      </c>
      <c r="C73">
        <v>3</v>
      </c>
      <c r="D73">
        <v>3</v>
      </c>
      <c r="E73">
        <v>4</v>
      </c>
    </row>
    <row r="74" spans="1:5" x14ac:dyDescent="0.4">
      <c r="A74">
        <v>1303</v>
      </c>
      <c r="B74">
        <v>4</v>
      </c>
      <c r="C74">
        <v>2</v>
      </c>
      <c r="D74">
        <v>4</v>
      </c>
      <c r="E74">
        <v>2</v>
      </c>
    </row>
    <row r="75" spans="1:5" x14ac:dyDescent="0.4">
      <c r="A75">
        <v>78</v>
      </c>
      <c r="B75">
        <v>1</v>
      </c>
      <c r="C75">
        <v>4</v>
      </c>
      <c r="D75">
        <v>2</v>
      </c>
      <c r="E75">
        <v>3</v>
      </c>
    </row>
    <row r="76" spans="1:5" x14ac:dyDescent="0.4">
      <c r="A76">
        <v>85</v>
      </c>
      <c r="B76">
        <v>2</v>
      </c>
      <c r="C76">
        <v>2</v>
      </c>
      <c r="D76">
        <v>3</v>
      </c>
      <c r="E76">
        <v>3</v>
      </c>
    </row>
    <row r="77" spans="1:5" x14ac:dyDescent="0.4">
      <c r="A77">
        <v>1856</v>
      </c>
      <c r="B77">
        <v>2</v>
      </c>
      <c r="C77">
        <v>3</v>
      </c>
      <c r="D77">
        <v>3</v>
      </c>
      <c r="E77">
        <v>3</v>
      </c>
    </row>
    <row r="78" spans="1:5" x14ac:dyDescent="0.4">
      <c r="A78">
        <v>86</v>
      </c>
      <c r="B78">
        <v>2</v>
      </c>
      <c r="C78">
        <v>1</v>
      </c>
      <c r="D78">
        <v>3</v>
      </c>
      <c r="E78">
        <v>3</v>
      </c>
    </row>
    <row r="79" spans="1:5" x14ac:dyDescent="0.4">
      <c r="A79">
        <v>1461</v>
      </c>
      <c r="B79">
        <v>4</v>
      </c>
      <c r="C79">
        <v>2</v>
      </c>
      <c r="D79">
        <v>4</v>
      </c>
      <c r="E79">
        <v>3</v>
      </c>
    </row>
    <row r="80" spans="1:5" x14ac:dyDescent="0.4">
      <c r="A80">
        <v>1762</v>
      </c>
      <c r="B80">
        <v>4</v>
      </c>
      <c r="C80">
        <v>1</v>
      </c>
      <c r="D80">
        <v>3</v>
      </c>
      <c r="E80">
        <v>3</v>
      </c>
    </row>
    <row r="81" spans="1:5" x14ac:dyDescent="0.4">
      <c r="A81">
        <v>391</v>
      </c>
      <c r="B81">
        <v>4</v>
      </c>
      <c r="C81">
        <v>4</v>
      </c>
      <c r="D81">
        <v>2</v>
      </c>
      <c r="E81">
        <v>3</v>
      </c>
    </row>
    <row r="82" spans="1:5" x14ac:dyDescent="0.4">
      <c r="A82">
        <v>88</v>
      </c>
      <c r="B82">
        <v>2</v>
      </c>
      <c r="C82">
        <v>1</v>
      </c>
      <c r="D82">
        <v>4</v>
      </c>
      <c r="E82">
        <v>2</v>
      </c>
    </row>
    <row r="83" spans="1:5" x14ac:dyDescent="0.4">
      <c r="A83">
        <v>90</v>
      </c>
      <c r="B83">
        <v>4</v>
      </c>
      <c r="C83">
        <v>3</v>
      </c>
      <c r="D83">
        <v>1</v>
      </c>
      <c r="E83">
        <v>2</v>
      </c>
    </row>
    <row r="84" spans="1:5" x14ac:dyDescent="0.4">
      <c r="A84">
        <v>94</v>
      </c>
      <c r="B84">
        <v>3</v>
      </c>
      <c r="C84">
        <v>2</v>
      </c>
      <c r="D84">
        <v>4</v>
      </c>
      <c r="E84">
        <v>3</v>
      </c>
    </row>
    <row r="85" spans="1:5" x14ac:dyDescent="0.4">
      <c r="A85">
        <v>95</v>
      </c>
      <c r="B85">
        <v>3</v>
      </c>
      <c r="C85">
        <v>2</v>
      </c>
      <c r="D85">
        <v>2</v>
      </c>
      <c r="E85">
        <v>3</v>
      </c>
    </row>
    <row r="86" spans="1:5" x14ac:dyDescent="0.4">
      <c r="A86">
        <v>1004</v>
      </c>
      <c r="B86">
        <v>1</v>
      </c>
      <c r="C86">
        <v>3</v>
      </c>
      <c r="D86">
        <v>2</v>
      </c>
      <c r="E86">
        <v>3</v>
      </c>
    </row>
    <row r="87" spans="1:5" x14ac:dyDescent="0.4">
      <c r="A87">
        <v>96</v>
      </c>
      <c r="B87">
        <v>2</v>
      </c>
      <c r="C87">
        <v>2</v>
      </c>
      <c r="D87">
        <v>2</v>
      </c>
      <c r="E87">
        <v>3</v>
      </c>
    </row>
    <row r="88" spans="1:5" x14ac:dyDescent="0.4">
      <c r="A88">
        <v>1937</v>
      </c>
      <c r="B88">
        <v>4</v>
      </c>
      <c r="C88">
        <v>2</v>
      </c>
      <c r="D88">
        <v>3</v>
      </c>
      <c r="E88">
        <v>3</v>
      </c>
    </row>
    <row r="89" spans="1:5" x14ac:dyDescent="0.4">
      <c r="A89">
        <v>100</v>
      </c>
      <c r="B89">
        <v>3</v>
      </c>
      <c r="C89">
        <v>1</v>
      </c>
      <c r="D89">
        <v>2</v>
      </c>
      <c r="E89">
        <v>3</v>
      </c>
    </row>
    <row r="90" spans="1:5" x14ac:dyDescent="0.4">
      <c r="A90">
        <v>101</v>
      </c>
      <c r="B90">
        <v>4</v>
      </c>
      <c r="C90">
        <v>1</v>
      </c>
      <c r="D90">
        <v>2</v>
      </c>
      <c r="E90">
        <v>4</v>
      </c>
    </row>
    <row r="91" spans="1:5" x14ac:dyDescent="0.4">
      <c r="A91">
        <v>102</v>
      </c>
      <c r="B91">
        <v>1</v>
      </c>
      <c r="C91">
        <v>3</v>
      </c>
      <c r="D91">
        <v>1</v>
      </c>
      <c r="E91">
        <v>4</v>
      </c>
    </row>
    <row r="92" spans="1:5" x14ac:dyDescent="0.4">
      <c r="A92">
        <v>103</v>
      </c>
      <c r="B92">
        <v>2</v>
      </c>
      <c r="C92">
        <v>2</v>
      </c>
      <c r="D92">
        <v>4</v>
      </c>
      <c r="E92">
        <v>3</v>
      </c>
    </row>
    <row r="93" spans="1:5" x14ac:dyDescent="0.4">
      <c r="A93">
        <v>1818</v>
      </c>
      <c r="B93">
        <v>4</v>
      </c>
      <c r="C93">
        <v>2</v>
      </c>
      <c r="D93">
        <v>3</v>
      </c>
      <c r="E93">
        <v>3</v>
      </c>
    </row>
    <row r="94" spans="1:5" x14ac:dyDescent="0.4">
      <c r="A94">
        <v>286</v>
      </c>
      <c r="B94">
        <v>2</v>
      </c>
      <c r="C94">
        <v>4</v>
      </c>
      <c r="D94">
        <v>1</v>
      </c>
      <c r="E94">
        <v>3</v>
      </c>
    </row>
    <row r="95" spans="1:5" x14ac:dyDescent="0.4">
      <c r="A95">
        <v>104</v>
      </c>
      <c r="B95">
        <v>4</v>
      </c>
      <c r="C95">
        <v>4</v>
      </c>
      <c r="D95">
        <v>3</v>
      </c>
      <c r="E95">
        <v>2</v>
      </c>
    </row>
    <row r="96" spans="1:5" x14ac:dyDescent="0.4">
      <c r="A96">
        <v>974</v>
      </c>
      <c r="B96">
        <v>3</v>
      </c>
      <c r="C96">
        <v>4</v>
      </c>
      <c r="D96">
        <v>2</v>
      </c>
      <c r="E96">
        <v>3</v>
      </c>
    </row>
    <row r="97" spans="1:5" x14ac:dyDescent="0.4">
      <c r="A97">
        <v>105</v>
      </c>
      <c r="B97">
        <v>2</v>
      </c>
      <c r="C97">
        <v>3</v>
      </c>
      <c r="D97">
        <v>1</v>
      </c>
      <c r="E97">
        <v>3</v>
      </c>
    </row>
    <row r="98" spans="1:5" x14ac:dyDescent="0.4">
      <c r="A98">
        <v>1202</v>
      </c>
      <c r="B98">
        <v>2</v>
      </c>
      <c r="C98">
        <v>4</v>
      </c>
      <c r="D98">
        <v>1</v>
      </c>
      <c r="E98">
        <v>2</v>
      </c>
    </row>
    <row r="99" spans="1:5" x14ac:dyDescent="0.4">
      <c r="A99">
        <v>478</v>
      </c>
      <c r="B99">
        <v>1</v>
      </c>
      <c r="C99">
        <v>2</v>
      </c>
      <c r="D99">
        <v>3</v>
      </c>
      <c r="E99">
        <v>3</v>
      </c>
    </row>
    <row r="100" spans="1:5" x14ac:dyDescent="0.4">
      <c r="A100">
        <v>106</v>
      </c>
      <c r="B100">
        <v>1</v>
      </c>
      <c r="C100">
        <v>4</v>
      </c>
      <c r="D100">
        <v>4</v>
      </c>
      <c r="E100">
        <v>3</v>
      </c>
    </row>
    <row r="101" spans="1:5" x14ac:dyDescent="0.4">
      <c r="A101">
        <v>110</v>
      </c>
      <c r="B101">
        <v>1</v>
      </c>
      <c r="C101">
        <v>2</v>
      </c>
      <c r="D101">
        <v>3</v>
      </c>
      <c r="E101">
        <v>3</v>
      </c>
    </row>
    <row r="102" spans="1:5" x14ac:dyDescent="0.4">
      <c r="A102">
        <v>112</v>
      </c>
      <c r="B102">
        <v>4</v>
      </c>
      <c r="C102">
        <v>4</v>
      </c>
      <c r="D102">
        <v>1</v>
      </c>
      <c r="E102">
        <v>2</v>
      </c>
    </row>
    <row r="103" spans="1:5" x14ac:dyDescent="0.4">
      <c r="A103">
        <v>1747</v>
      </c>
      <c r="B103">
        <v>3</v>
      </c>
      <c r="C103">
        <v>4</v>
      </c>
      <c r="D103">
        <v>3</v>
      </c>
      <c r="E103">
        <v>2</v>
      </c>
    </row>
    <row r="104" spans="1:5" x14ac:dyDescent="0.4">
      <c r="A104">
        <v>655</v>
      </c>
      <c r="B104">
        <v>1</v>
      </c>
      <c r="C104">
        <v>3</v>
      </c>
      <c r="D104">
        <v>3</v>
      </c>
      <c r="E104">
        <v>2</v>
      </c>
    </row>
    <row r="105" spans="1:5" x14ac:dyDescent="0.4">
      <c r="A105">
        <v>1987</v>
      </c>
      <c r="B105">
        <v>3</v>
      </c>
      <c r="C105">
        <v>2</v>
      </c>
      <c r="D105">
        <v>3</v>
      </c>
      <c r="E105">
        <v>3</v>
      </c>
    </row>
    <row r="106" spans="1:5" x14ac:dyDescent="0.4">
      <c r="A106">
        <v>113</v>
      </c>
      <c r="B106">
        <v>3</v>
      </c>
      <c r="C106">
        <v>1</v>
      </c>
      <c r="D106">
        <v>3</v>
      </c>
      <c r="E106">
        <v>3</v>
      </c>
    </row>
    <row r="107" spans="1:5" x14ac:dyDescent="0.4">
      <c r="A107">
        <v>116</v>
      </c>
      <c r="B107">
        <v>4</v>
      </c>
      <c r="C107">
        <v>4</v>
      </c>
      <c r="D107">
        <v>2</v>
      </c>
      <c r="E107">
        <v>3</v>
      </c>
    </row>
    <row r="108" spans="1:5" x14ac:dyDescent="0.4">
      <c r="A108">
        <v>117</v>
      </c>
      <c r="B108">
        <v>3</v>
      </c>
      <c r="C108">
        <v>4</v>
      </c>
      <c r="D108">
        <v>1</v>
      </c>
      <c r="E108">
        <v>3</v>
      </c>
    </row>
    <row r="109" spans="1:5" x14ac:dyDescent="0.4">
      <c r="A109">
        <v>118</v>
      </c>
      <c r="B109">
        <v>3</v>
      </c>
      <c r="C109">
        <v>4</v>
      </c>
      <c r="D109">
        <v>4</v>
      </c>
      <c r="E109">
        <v>3</v>
      </c>
    </row>
    <row r="110" spans="1:5" x14ac:dyDescent="0.4">
      <c r="A110">
        <v>1219</v>
      </c>
      <c r="B110">
        <v>4</v>
      </c>
      <c r="C110">
        <v>2</v>
      </c>
      <c r="D110">
        <v>1</v>
      </c>
      <c r="E110">
        <v>1</v>
      </c>
    </row>
    <row r="111" spans="1:5" x14ac:dyDescent="0.4">
      <c r="A111">
        <v>483</v>
      </c>
      <c r="B111">
        <v>4</v>
      </c>
      <c r="C111">
        <v>3</v>
      </c>
      <c r="D111">
        <v>3</v>
      </c>
      <c r="E111">
        <v>3</v>
      </c>
    </row>
    <row r="112" spans="1:5" x14ac:dyDescent="0.4">
      <c r="A112">
        <v>741</v>
      </c>
      <c r="B112">
        <v>1</v>
      </c>
      <c r="C112">
        <v>2</v>
      </c>
      <c r="D112">
        <v>4</v>
      </c>
      <c r="E112">
        <v>3</v>
      </c>
    </row>
    <row r="113" spans="1:5" x14ac:dyDescent="0.4">
      <c r="A113">
        <v>119</v>
      </c>
      <c r="B113">
        <v>3</v>
      </c>
      <c r="C113">
        <v>2</v>
      </c>
      <c r="D113">
        <v>4</v>
      </c>
      <c r="E113">
        <v>2</v>
      </c>
    </row>
    <row r="114" spans="1:5" x14ac:dyDescent="0.4">
      <c r="A114">
        <v>1055</v>
      </c>
      <c r="B114">
        <v>3</v>
      </c>
      <c r="C114">
        <v>3</v>
      </c>
      <c r="D114">
        <v>4</v>
      </c>
      <c r="E114">
        <v>3</v>
      </c>
    </row>
    <row r="115" spans="1:5" x14ac:dyDescent="0.4">
      <c r="A115">
        <v>120</v>
      </c>
      <c r="B115">
        <v>3</v>
      </c>
      <c r="C115">
        <v>4</v>
      </c>
      <c r="D115">
        <v>4</v>
      </c>
      <c r="E115">
        <v>1</v>
      </c>
    </row>
    <row r="116" spans="1:5" x14ac:dyDescent="0.4">
      <c r="A116">
        <v>216</v>
      </c>
      <c r="B116">
        <v>3</v>
      </c>
      <c r="C116">
        <v>3</v>
      </c>
      <c r="D116">
        <v>4</v>
      </c>
      <c r="E116">
        <v>3</v>
      </c>
    </row>
    <row r="117" spans="1:5" x14ac:dyDescent="0.4">
      <c r="A117">
        <v>332</v>
      </c>
      <c r="B117">
        <v>3</v>
      </c>
      <c r="C117">
        <v>3</v>
      </c>
      <c r="D117">
        <v>3</v>
      </c>
      <c r="E117">
        <v>3</v>
      </c>
    </row>
    <row r="118" spans="1:5" x14ac:dyDescent="0.4">
      <c r="A118">
        <v>124</v>
      </c>
      <c r="B118">
        <v>3</v>
      </c>
      <c r="C118">
        <v>1</v>
      </c>
      <c r="D118">
        <v>3</v>
      </c>
      <c r="E118">
        <v>2</v>
      </c>
    </row>
    <row r="119" spans="1:5" x14ac:dyDescent="0.4">
      <c r="A119">
        <v>125</v>
      </c>
      <c r="B119">
        <v>2</v>
      </c>
      <c r="C119">
        <v>3</v>
      </c>
      <c r="D119">
        <v>1</v>
      </c>
      <c r="E119">
        <v>3</v>
      </c>
    </row>
    <row r="120" spans="1:5" x14ac:dyDescent="0.4">
      <c r="A120">
        <v>511</v>
      </c>
      <c r="B120">
        <v>1</v>
      </c>
      <c r="C120">
        <v>2</v>
      </c>
      <c r="D120">
        <v>4</v>
      </c>
      <c r="E120">
        <v>3</v>
      </c>
    </row>
    <row r="121" spans="1:5" x14ac:dyDescent="0.4">
      <c r="A121">
        <v>129</v>
      </c>
      <c r="B121">
        <v>2</v>
      </c>
      <c r="C121">
        <v>3</v>
      </c>
      <c r="D121">
        <v>2</v>
      </c>
      <c r="E121">
        <v>4</v>
      </c>
    </row>
    <row r="122" spans="1:5" x14ac:dyDescent="0.4">
      <c r="A122">
        <v>131</v>
      </c>
      <c r="B122">
        <v>4</v>
      </c>
      <c r="C122">
        <v>3</v>
      </c>
      <c r="D122">
        <v>3</v>
      </c>
      <c r="E122">
        <v>2</v>
      </c>
    </row>
    <row r="123" spans="1:5" x14ac:dyDescent="0.4">
      <c r="A123">
        <v>132</v>
      </c>
      <c r="B123">
        <v>2</v>
      </c>
      <c r="C123">
        <v>2</v>
      </c>
      <c r="D123">
        <v>3</v>
      </c>
      <c r="E123">
        <v>4</v>
      </c>
    </row>
    <row r="124" spans="1:5" x14ac:dyDescent="0.4">
      <c r="A124">
        <v>133</v>
      </c>
      <c r="B124">
        <v>3</v>
      </c>
      <c r="C124">
        <v>1</v>
      </c>
      <c r="D124">
        <v>4</v>
      </c>
      <c r="E124">
        <v>3</v>
      </c>
    </row>
    <row r="125" spans="1:5" x14ac:dyDescent="0.4">
      <c r="A125">
        <v>134</v>
      </c>
      <c r="B125">
        <v>4</v>
      </c>
      <c r="C125">
        <v>1</v>
      </c>
      <c r="D125">
        <v>4</v>
      </c>
      <c r="E125">
        <v>3</v>
      </c>
    </row>
    <row r="126" spans="1:5" x14ac:dyDescent="0.4">
      <c r="A126">
        <v>139</v>
      </c>
      <c r="B126">
        <v>3</v>
      </c>
      <c r="C126">
        <v>4</v>
      </c>
      <c r="D126">
        <v>4</v>
      </c>
      <c r="E126">
        <v>4</v>
      </c>
    </row>
    <row r="127" spans="1:5" x14ac:dyDescent="0.4">
      <c r="A127">
        <v>996</v>
      </c>
      <c r="B127">
        <v>4</v>
      </c>
      <c r="C127">
        <v>4</v>
      </c>
      <c r="D127">
        <v>4</v>
      </c>
      <c r="E127">
        <v>3</v>
      </c>
    </row>
    <row r="128" spans="1:5" x14ac:dyDescent="0.4">
      <c r="A128">
        <v>142</v>
      </c>
      <c r="B128">
        <v>3</v>
      </c>
      <c r="C128">
        <v>3</v>
      </c>
      <c r="D128">
        <v>4</v>
      </c>
      <c r="E128">
        <v>3</v>
      </c>
    </row>
    <row r="129" spans="1:5" x14ac:dyDescent="0.4">
      <c r="A129">
        <v>834</v>
      </c>
      <c r="B129">
        <v>2</v>
      </c>
      <c r="C129">
        <v>3</v>
      </c>
      <c r="D129">
        <v>4</v>
      </c>
      <c r="E129">
        <v>3</v>
      </c>
    </row>
    <row r="130" spans="1:5" x14ac:dyDescent="0.4">
      <c r="A130">
        <v>143</v>
      </c>
      <c r="B130">
        <v>4</v>
      </c>
      <c r="C130">
        <v>4</v>
      </c>
      <c r="D130">
        <v>3</v>
      </c>
      <c r="E130">
        <v>3</v>
      </c>
    </row>
    <row r="131" spans="1:5" x14ac:dyDescent="0.4">
      <c r="A131">
        <v>147</v>
      </c>
      <c r="B131">
        <v>1</v>
      </c>
      <c r="C131">
        <v>3</v>
      </c>
      <c r="D131">
        <v>4</v>
      </c>
      <c r="E131">
        <v>3</v>
      </c>
    </row>
    <row r="132" spans="1:5" x14ac:dyDescent="0.4">
      <c r="A132">
        <v>260</v>
      </c>
      <c r="B132">
        <v>4</v>
      </c>
      <c r="C132">
        <v>2</v>
      </c>
      <c r="D132">
        <v>4</v>
      </c>
      <c r="E132">
        <v>2</v>
      </c>
    </row>
    <row r="133" spans="1:5" x14ac:dyDescent="0.4">
      <c r="A133">
        <v>150</v>
      </c>
      <c r="B133">
        <v>2</v>
      </c>
      <c r="C133">
        <v>3</v>
      </c>
      <c r="D133">
        <v>3</v>
      </c>
      <c r="E133">
        <v>3</v>
      </c>
    </row>
    <row r="134" spans="1:5" x14ac:dyDescent="0.4">
      <c r="A134">
        <v>245</v>
      </c>
      <c r="B134">
        <v>3</v>
      </c>
      <c r="C134">
        <v>4</v>
      </c>
      <c r="D134">
        <v>3</v>
      </c>
      <c r="E134">
        <v>3</v>
      </c>
    </row>
    <row r="135" spans="1:5" x14ac:dyDescent="0.4">
      <c r="A135">
        <v>152</v>
      </c>
      <c r="B135">
        <v>3</v>
      </c>
      <c r="C135">
        <v>4</v>
      </c>
      <c r="D135">
        <v>1</v>
      </c>
      <c r="E135">
        <v>3</v>
      </c>
    </row>
    <row r="136" spans="1:5" x14ac:dyDescent="0.4">
      <c r="A136">
        <v>158</v>
      </c>
      <c r="B136">
        <v>3</v>
      </c>
      <c r="C136">
        <v>4</v>
      </c>
      <c r="D136">
        <v>4</v>
      </c>
      <c r="E136">
        <v>4</v>
      </c>
    </row>
    <row r="137" spans="1:5" x14ac:dyDescent="0.4">
      <c r="A137">
        <v>159</v>
      </c>
      <c r="B137">
        <v>1</v>
      </c>
      <c r="C137">
        <v>3</v>
      </c>
      <c r="D137">
        <v>3</v>
      </c>
      <c r="E137">
        <v>2</v>
      </c>
    </row>
    <row r="138" spans="1:5" x14ac:dyDescent="0.4">
      <c r="A138">
        <v>160</v>
      </c>
      <c r="B138">
        <v>3</v>
      </c>
      <c r="C138">
        <v>2</v>
      </c>
      <c r="D138">
        <v>1</v>
      </c>
      <c r="E138">
        <v>4</v>
      </c>
    </row>
    <row r="139" spans="1:5" x14ac:dyDescent="0.4">
      <c r="A139">
        <v>162</v>
      </c>
      <c r="B139">
        <v>1</v>
      </c>
      <c r="C139">
        <v>3</v>
      </c>
      <c r="D139">
        <v>3</v>
      </c>
      <c r="E139">
        <v>3</v>
      </c>
    </row>
    <row r="140" spans="1:5" x14ac:dyDescent="0.4">
      <c r="A140">
        <v>163</v>
      </c>
      <c r="B140">
        <v>2</v>
      </c>
      <c r="C140">
        <v>3</v>
      </c>
      <c r="D140">
        <v>2</v>
      </c>
      <c r="E140">
        <v>2</v>
      </c>
    </row>
    <row r="141" spans="1:5" x14ac:dyDescent="0.4">
      <c r="A141">
        <v>1331</v>
      </c>
      <c r="B141">
        <v>4</v>
      </c>
      <c r="C141">
        <v>2</v>
      </c>
      <c r="D141">
        <v>1</v>
      </c>
      <c r="E141">
        <v>4</v>
      </c>
    </row>
    <row r="142" spans="1:5" x14ac:dyDescent="0.4">
      <c r="A142">
        <v>167</v>
      </c>
      <c r="B142">
        <v>4</v>
      </c>
      <c r="C142">
        <v>3</v>
      </c>
      <c r="D142">
        <v>4</v>
      </c>
      <c r="E142">
        <v>2</v>
      </c>
    </row>
    <row r="143" spans="1:5" x14ac:dyDescent="0.4">
      <c r="A143">
        <v>169</v>
      </c>
      <c r="B143">
        <v>3</v>
      </c>
      <c r="C143">
        <v>4</v>
      </c>
      <c r="D143">
        <v>3</v>
      </c>
      <c r="E143">
        <v>3</v>
      </c>
    </row>
    <row r="144" spans="1:5" x14ac:dyDescent="0.4">
      <c r="A144">
        <v>176</v>
      </c>
      <c r="B144">
        <v>3</v>
      </c>
      <c r="C144">
        <v>3</v>
      </c>
      <c r="D144">
        <v>3</v>
      </c>
      <c r="E144">
        <v>3</v>
      </c>
    </row>
    <row r="145" spans="1:5" x14ac:dyDescent="0.4">
      <c r="A145">
        <v>178</v>
      </c>
      <c r="B145">
        <v>2</v>
      </c>
      <c r="C145">
        <v>2</v>
      </c>
      <c r="D145">
        <v>4</v>
      </c>
      <c r="E145">
        <v>3</v>
      </c>
    </row>
    <row r="146" spans="1:5" x14ac:dyDescent="0.4">
      <c r="A146">
        <v>247</v>
      </c>
      <c r="B146">
        <v>4</v>
      </c>
      <c r="C146">
        <v>2</v>
      </c>
      <c r="D146">
        <v>4</v>
      </c>
      <c r="E146">
        <v>3</v>
      </c>
    </row>
    <row r="147" spans="1:5" x14ac:dyDescent="0.4">
      <c r="A147">
        <v>179</v>
      </c>
      <c r="B147">
        <v>1</v>
      </c>
      <c r="C147">
        <v>4</v>
      </c>
      <c r="D147">
        <v>4</v>
      </c>
      <c r="E147">
        <v>3</v>
      </c>
    </row>
    <row r="148" spans="1:5" x14ac:dyDescent="0.4">
      <c r="A148">
        <v>183</v>
      </c>
      <c r="B148">
        <v>1</v>
      </c>
      <c r="C148">
        <v>3</v>
      </c>
      <c r="D148">
        <v>4</v>
      </c>
      <c r="E148">
        <v>3</v>
      </c>
    </row>
    <row r="149" spans="1:5" x14ac:dyDescent="0.4">
      <c r="A149">
        <v>933</v>
      </c>
      <c r="B149">
        <v>2</v>
      </c>
      <c r="C149">
        <v>3</v>
      </c>
      <c r="D149">
        <v>3</v>
      </c>
      <c r="E149">
        <v>3</v>
      </c>
    </row>
    <row r="150" spans="1:5" x14ac:dyDescent="0.4">
      <c r="A150">
        <v>816</v>
      </c>
      <c r="B150">
        <v>2</v>
      </c>
      <c r="C150">
        <v>1</v>
      </c>
      <c r="D150">
        <v>4</v>
      </c>
      <c r="E150">
        <v>3</v>
      </c>
    </row>
    <row r="151" spans="1:5" x14ac:dyDescent="0.4">
      <c r="A151">
        <v>184</v>
      </c>
      <c r="B151">
        <v>3</v>
      </c>
      <c r="C151">
        <v>4</v>
      </c>
      <c r="D151">
        <v>4</v>
      </c>
      <c r="E151">
        <v>1</v>
      </c>
    </row>
    <row r="152" spans="1:5" x14ac:dyDescent="0.4">
      <c r="A152">
        <v>192</v>
      </c>
      <c r="B152">
        <v>3</v>
      </c>
      <c r="C152">
        <v>4</v>
      </c>
      <c r="D152">
        <v>2</v>
      </c>
      <c r="E152">
        <v>2</v>
      </c>
    </row>
    <row r="153" spans="1:5" x14ac:dyDescent="0.4">
      <c r="A153">
        <v>195</v>
      </c>
      <c r="B153">
        <v>4</v>
      </c>
      <c r="C153">
        <v>4</v>
      </c>
      <c r="D153">
        <v>4</v>
      </c>
      <c r="E153">
        <v>4</v>
      </c>
    </row>
    <row r="154" spans="1:5" x14ac:dyDescent="0.4">
      <c r="A154">
        <v>1077</v>
      </c>
      <c r="B154">
        <v>4</v>
      </c>
      <c r="C154">
        <v>4</v>
      </c>
      <c r="D154">
        <v>2</v>
      </c>
      <c r="E154">
        <v>3</v>
      </c>
    </row>
    <row r="155" spans="1:5" x14ac:dyDescent="0.4">
      <c r="A155">
        <v>235</v>
      </c>
      <c r="B155">
        <v>3</v>
      </c>
      <c r="C155">
        <v>1</v>
      </c>
      <c r="D155">
        <v>1</v>
      </c>
      <c r="E155">
        <v>4</v>
      </c>
    </row>
    <row r="156" spans="1:5" x14ac:dyDescent="0.4">
      <c r="A156">
        <v>198</v>
      </c>
      <c r="B156">
        <v>2</v>
      </c>
      <c r="C156">
        <v>4</v>
      </c>
      <c r="D156">
        <v>4</v>
      </c>
      <c r="E156">
        <v>3</v>
      </c>
    </row>
    <row r="157" spans="1:5" x14ac:dyDescent="0.4">
      <c r="A157">
        <v>199</v>
      </c>
      <c r="B157">
        <v>4</v>
      </c>
      <c r="C157">
        <v>1</v>
      </c>
      <c r="D157">
        <v>2</v>
      </c>
      <c r="E157">
        <v>2</v>
      </c>
    </row>
    <row r="158" spans="1:5" x14ac:dyDescent="0.4">
      <c r="A158">
        <v>200</v>
      </c>
      <c r="B158">
        <v>3</v>
      </c>
      <c r="C158">
        <v>1</v>
      </c>
      <c r="D158">
        <v>4</v>
      </c>
      <c r="E158">
        <v>3</v>
      </c>
    </row>
    <row r="159" spans="1:5" x14ac:dyDescent="0.4">
      <c r="A159">
        <v>951</v>
      </c>
      <c r="B159">
        <v>3</v>
      </c>
      <c r="C159">
        <v>2</v>
      </c>
      <c r="D159">
        <v>3</v>
      </c>
      <c r="E159">
        <v>3</v>
      </c>
    </row>
    <row r="160" spans="1:5" x14ac:dyDescent="0.4">
      <c r="A160">
        <v>204</v>
      </c>
      <c r="B160">
        <v>3</v>
      </c>
      <c r="C160">
        <v>2</v>
      </c>
      <c r="D160">
        <v>1</v>
      </c>
      <c r="E160">
        <v>3</v>
      </c>
    </row>
    <row r="161" spans="1:5" x14ac:dyDescent="0.4">
      <c r="A161">
        <v>205</v>
      </c>
      <c r="B161">
        <v>2</v>
      </c>
      <c r="C161">
        <v>3</v>
      </c>
      <c r="D161">
        <v>4</v>
      </c>
      <c r="E161">
        <v>1</v>
      </c>
    </row>
    <row r="162" spans="1:5" x14ac:dyDescent="0.4">
      <c r="A162">
        <v>206</v>
      </c>
      <c r="B162">
        <v>2</v>
      </c>
      <c r="C162">
        <v>2</v>
      </c>
      <c r="D162">
        <v>3</v>
      </c>
      <c r="E162">
        <v>1</v>
      </c>
    </row>
    <row r="163" spans="1:5" x14ac:dyDescent="0.4">
      <c r="A163">
        <v>208</v>
      </c>
      <c r="B163">
        <v>4</v>
      </c>
      <c r="C163">
        <v>3</v>
      </c>
      <c r="D163">
        <v>1</v>
      </c>
      <c r="E163">
        <v>3</v>
      </c>
    </row>
    <row r="164" spans="1:5" x14ac:dyDescent="0.4">
      <c r="A164">
        <v>54</v>
      </c>
      <c r="B164">
        <v>4</v>
      </c>
      <c r="C164">
        <v>1</v>
      </c>
      <c r="D164">
        <v>4</v>
      </c>
      <c r="E164">
        <v>3</v>
      </c>
    </row>
    <row r="165" spans="1:5" x14ac:dyDescent="0.4">
      <c r="A165">
        <v>763</v>
      </c>
      <c r="B165">
        <v>4</v>
      </c>
      <c r="C165">
        <v>4</v>
      </c>
      <c r="D165">
        <v>4</v>
      </c>
      <c r="E165">
        <v>2</v>
      </c>
    </row>
    <row r="166" spans="1:5" x14ac:dyDescent="0.4">
      <c r="A166">
        <v>211</v>
      </c>
      <c r="B166">
        <v>2</v>
      </c>
      <c r="C166">
        <v>3</v>
      </c>
      <c r="D166">
        <v>3</v>
      </c>
      <c r="E166">
        <v>3</v>
      </c>
    </row>
    <row r="167" spans="1:5" x14ac:dyDescent="0.4">
      <c r="A167">
        <v>1044</v>
      </c>
      <c r="B167">
        <v>2</v>
      </c>
      <c r="C167">
        <v>4</v>
      </c>
      <c r="D167">
        <v>4</v>
      </c>
      <c r="E167">
        <v>2</v>
      </c>
    </row>
    <row r="168" spans="1:5" x14ac:dyDescent="0.4">
      <c r="A168">
        <v>215</v>
      </c>
      <c r="B168">
        <v>3</v>
      </c>
      <c r="C168">
        <v>4</v>
      </c>
      <c r="D168">
        <v>1</v>
      </c>
      <c r="E168">
        <v>2</v>
      </c>
    </row>
    <row r="169" spans="1:5" x14ac:dyDescent="0.4">
      <c r="A169">
        <v>217</v>
      </c>
      <c r="B169">
        <v>3</v>
      </c>
      <c r="C169">
        <v>4</v>
      </c>
      <c r="D169">
        <v>1</v>
      </c>
      <c r="E169">
        <v>3</v>
      </c>
    </row>
    <row r="170" spans="1:5" x14ac:dyDescent="0.4">
      <c r="A170">
        <v>218</v>
      </c>
      <c r="B170">
        <v>4</v>
      </c>
      <c r="C170">
        <v>2</v>
      </c>
      <c r="D170">
        <v>4</v>
      </c>
      <c r="E170">
        <v>1</v>
      </c>
    </row>
    <row r="171" spans="1:5" x14ac:dyDescent="0.4">
      <c r="A171">
        <v>555</v>
      </c>
      <c r="B171">
        <v>4</v>
      </c>
      <c r="C171">
        <v>3</v>
      </c>
      <c r="D171">
        <v>4</v>
      </c>
      <c r="E171">
        <v>2</v>
      </c>
    </row>
    <row r="172" spans="1:5" x14ac:dyDescent="0.4">
      <c r="A172">
        <v>221</v>
      </c>
      <c r="B172">
        <v>3</v>
      </c>
      <c r="C172">
        <v>4</v>
      </c>
      <c r="D172">
        <v>3</v>
      </c>
      <c r="E172">
        <v>1</v>
      </c>
    </row>
    <row r="173" spans="1:5" x14ac:dyDescent="0.4">
      <c r="A173">
        <v>223</v>
      </c>
      <c r="B173">
        <v>3</v>
      </c>
      <c r="C173">
        <v>4</v>
      </c>
      <c r="D173">
        <v>2</v>
      </c>
      <c r="E173">
        <v>1</v>
      </c>
    </row>
    <row r="174" spans="1:5" x14ac:dyDescent="0.4">
      <c r="A174">
        <v>224</v>
      </c>
      <c r="B174">
        <v>3</v>
      </c>
      <c r="C174">
        <v>3</v>
      </c>
      <c r="D174">
        <v>4</v>
      </c>
      <c r="E174">
        <v>2</v>
      </c>
    </row>
    <row r="175" spans="1:5" x14ac:dyDescent="0.4">
      <c r="A175">
        <v>848</v>
      </c>
      <c r="B175">
        <v>3</v>
      </c>
      <c r="C175">
        <v>3</v>
      </c>
      <c r="D175">
        <v>1</v>
      </c>
      <c r="E175">
        <v>3</v>
      </c>
    </row>
    <row r="176" spans="1:5" x14ac:dyDescent="0.4">
      <c r="A176">
        <v>1576</v>
      </c>
      <c r="B176">
        <v>3</v>
      </c>
      <c r="C176">
        <v>1</v>
      </c>
      <c r="D176">
        <v>4</v>
      </c>
      <c r="E176">
        <v>2</v>
      </c>
    </row>
    <row r="177" spans="1:5" x14ac:dyDescent="0.4">
      <c r="A177">
        <v>227</v>
      </c>
      <c r="B177">
        <v>1</v>
      </c>
      <c r="C177">
        <v>3</v>
      </c>
      <c r="D177">
        <v>1</v>
      </c>
      <c r="E177">
        <v>3</v>
      </c>
    </row>
    <row r="178" spans="1:5" x14ac:dyDescent="0.4">
      <c r="A178">
        <v>164</v>
      </c>
      <c r="B178">
        <v>3</v>
      </c>
      <c r="C178">
        <v>2</v>
      </c>
      <c r="D178">
        <v>3</v>
      </c>
      <c r="E178">
        <v>2</v>
      </c>
    </row>
    <row r="179" spans="1:5" x14ac:dyDescent="0.4">
      <c r="A179">
        <v>471</v>
      </c>
      <c r="B179">
        <v>3</v>
      </c>
      <c r="C179">
        <v>2</v>
      </c>
      <c r="D179">
        <v>3</v>
      </c>
      <c r="E179">
        <v>3</v>
      </c>
    </row>
    <row r="180" spans="1:5" x14ac:dyDescent="0.4">
      <c r="A180">
        <v>1292</v>
      </c>
      <c r="B180">
        <v>2</v>
      </c>
      <c r="C180">
        <v>2</v>
      </c>
      <c r="D180">
        <v>4</v>
      </c>
      <c r="E180">
        <v>3</v>
      </c>
    </row>
    <row r="181" spans="1:5" x14ac:dyDescent="0.4">
      <c r="A181">
        <v>231</v>
      </c>
      <c r="B181">
        <v>3</v>
      </c>
      <c r="C181">
        <v>3</v>
      </c>
      <c r="D181">
        <v>1</v>
      </c>
      <c r="E181">
        <v>3</v>
      </c>
    </row>
    <row r="182" spans="1:5" x14ac:dyDescent="0.4">
      <c r="A182">
        <v>233</v>
      </c>
      <c r="B182">
        <v>3</v>
      </c>
      <c r="C182">
        <v>2</v>
      </c>
      <c r="D182">
        <v>4</v>
      </c>
      <c r="E182">
        <v>2</v>
      </c>
    </row>
    <row r="183" spans="1:5" x14ac:dyDescent="0.4">
      <c r="A183">
        <v>238</v>
      </c>
      <c r="B183">
        <v>4</v>
      </c>
      <c r="C183">
        <v>2</v>
      </c>
      <c r="D183">
        <v>3</v>
      </c>
      <c r="E183">
        <v>2</v>
      </c>
    </row>
    <row r="184" spans="1:5" x14ac:dyDescent="0.4">
      <c r="A184">
        <v>930</v>
      </c>
      <c r="B184">
        <v>3</v>
      </c>
      <c r="C184">
        <v>3</v>
      </c>
      <c r="D184">
        <v>2</v>
      </c>
      <c r="E184">
        <v>3</v>
      </c>
    </row>
    <row r="185" spans="1:5" x14ac:dyDescent="0.4">
      <c r="A185">
        <v>239</v>
      </c>
      <c r="B185">
        <v>3</v>
      </c>
      <c r="C185">
        <v>1</v>
      </c>
      <c r="D185">
        <v>3</v>
      </c>
      <c r="E185">
        <v>3</v>
      </c>
    </row>
    <row r="186" spans="1:5" x14ac:dyDescent="0.4">
      <c r="A186">
        <v>1850</v>
      </c>
      <c r="B186">
        <v>4</v>
      </c>
      <c r="C186">
        <v>4</v>
      </c>
      <c r="D186">
        <v>3</v>
      </c>
      <c r="E186">
        <v>2</v>
      </c>
    </row>
    <row r="187" spans="1:5" x14ac:dyDescent="0.4">
      <c r="A187">
        <v>242</v>
      </c>
      <c r="B187">
        <v>3</v>
      </c>
      <c r="C187">
        <v>4</v>
      </c>
      <c r="D187">
        <v>1</v>
      </c>
      <c r="E187">
        <v>4</v>
      </c>
    </row>
    <row r="188" spans="1:5" x14ac:dyDescent="0.4">
      <c r="A188">
        <v>249</v>
      </c>
      <c r="B188">
        <v>3</v>
      </c>
      <c r="C188">
        <v>3</v>
      </c>
      <c r="D188">
        <v>4</v>
      </c>
      <c r="E188">
        <v>2</v>
      </c>
    </row>
    <row r="189" spans="1:5" x14ac:dyDescent="0.4">
      <c r="A189">
        <v>254</v>
      </c>
      <c r="B189">
        <v>3</v>
      </c>
      <c r="C189">
        <v>2</v>
      </c>
      <c r="D189">
        <v>4</v>
      </c>
      <c r="E189">
        <v>3</v>
      </c>
    </row>
    <row r="190" spans="1:5" x14ac:dyDescent="0.4">
      <c r="A190">
        <v>256</v>
      </c>
      <c r="B190">
        <v>4</v>
      </c>
      <c r="C190">
        <v>3</v>
      </c>
      <c r="D190">
        <v>3</v>
      </c>
      <c r="E190">
        <v>2</v>
      </c>
    </row>
    <row r="191" spans="1:5" x14ac:dyDescent="0.4">
      <c r="A191">
        <v>259</v>
      </c>
      <c r="B191">
        <v>3</v>
      </c>
      <c r="C191">
        <v>3</v>
      </c>
      <c r="D191">
        <v>1</v>
      </c>
      <c r="E191">
        <v>3</v>
      </c>
    </row>
    <row r="192" spans="1:5" x14ac:dyDescent="0.4">
      <c r="A192">
        <v>1405</v>
      </c>
      <c r="B192">
        <v>4</v>
      </c>
      <c r="C192">
        <v>3</v>
      </c>
      <c r="D192">
        <v>4</v>
      </c>
      <c r="E192">
        <v>3</v>
      </c>
    </row>
    <row r="193" spans="1:5" x14ac:dyDescent="0.4">
      <c r="A193">
        <v>1783</v>
      </c>
      <c r="B193">
        <v>3</v>
      </c>
      <c r="C193">
        <v>1</v>
      </c>
      <c r="D193">
        <v>3</v>
      </c>
      <c r="E193">
        <v>3</v>
      </c>
    </row>
    <row r="194" spans="1:5" x14ac:dyDescent="0.4">
      <c r="A194">
        <v>261</v>
      </c>
      <c r="B194">
        <v>2</v>
      </c>
      <c r="C194">
        <v>3</v>
      </c>
      <c r="D194">
        <v>1</v>
      </c>
      <c r="E194">
        <v>3</v>
      </c>
    </row>
    <row r="195" spans="1:5" x14ac:dyDescent="0.4">
      <c r="A195">
        <v>262</v>
      </c>
      <c r="B195">
        <v>4</v>
      </c>
      <c r="C195">
        <v>4</v>
      </c>
      <c r="D195">
        <v>4</v>
      </c>
      <c r="E195">
        <v>4</v>
      </c>
    </row>
    <row r="196" spans="1:5" x14ac:dyDescent="0.4">
      <c r="A196">
        <v>994</v>
      </c>
      <c r="B196">
        <v>4</v>
      </c>
      <c r="C196">
        <v>1</v>
      </c>
      <c r="D196">
        <v>3</v>
      </c>
      <c r="E196">
        <v>3</v>
      </c>
    </row>
    <row r="197" spans="1:5" x14ac:dyDescent="0.4">
      <c r="A197">
        <v>264</v>
      </c>
      <c r="B197">
        <v>1</v>
      </c>
      <c r="C197">
        <v>4</v>
      </c>
      <c r="D197">
        <v>4</v>
      </c>
      <c r="E197">
        <v>3</v>
      </c>
    </row>
    <row r="198" spans="1:5" x14ac:dyDescent="0.4">
      <c r="A198">
        <v>79</v>
      </c>
      <c r="B198">
        <v>4</v>
      </c>
      <c r="C198">
        <v>4</v>
      </c>
      <c r="D198">
        <v>4</v>
      </c>
      <c r="E198">
        <v>3</v>
      </c>
    </row>
    <row r="199" spans="1:5" x14ac:dyDescent="0.4">
      <c r="A199">
        <v>267</v>
      </c>
      <c r="B199">
        <v>2</v>
      </c>
      <c r="C199">
        <v>1</v>
      </c>
      <c r="D199">
        <v>1</v>
      </c>
      <c r="E199">
        <v>2</v>
      </c>
    </row>
    <row r="200" spans="1:5" x14ac:dyDescent="0.4">
      <c r="A200">
        <v>271</v>
      </c>
      <c r="B200">
        <v>4</v>
      </c>
      <c r="C200">
        <v>3</v>
      </c>
      <c r="D200">
        <v>2</v>
      </c>
      <c r="E200">
        <v>3</v>
      </c>
    </row>
    <row r="201" spans="1:5" x14ac:dyDescent="0.4">
      <c r="A201">
        <v>273</v>
      </c>
      <c r="B201">
        <v>4</v>
      </c>
      <c r="C201">
        <v>4</v>
      </c>
      <c r="D201">
        <v>1</v>
      </c>
      <c r="E201">
        <v>1</v>
      </c>
    </row>
    <row r="202" spans="1:5" x14ac:dyDescent="0.4">
      <c r="A202">
        <v>1017</v>
      </c>
      <c r="B202">
        <v>2</v>
      </c>
      <c r="C202">
        <v>2</v>
      </c>
      <c r="D202">
        <v>1</v>
      </c>
      <c r="E202">
        <v>3</v>
      </c>
    </row>
    <row r="203" spans="1:5" x14ac:dyDescent="0.4">
      <c r="A203">
        <v>274</v>
      </c>
      <c r="B203">
        <v>3</v>
      </c>
      <c r="C203">
        <v>1</v>
      </c>
      <c r="D203">
        <v>3</v>
      </c>
      <c r="E203">
        <v>3</v>
      </c>
    </row>
    <row r="204" spans="1:5" x14ac:dyDescent="0.4">
      <c r="A204">
        <v>1554</v>
      </c>
      <c r="B204">
        <v>2</v>
      </c>
      <c r="C204">
        <v>3</v>
      </c>
      <c r="D204">
        <v>1</v>
      </c>
      <c r="E204">
        <v>3</v>
      </c>
    </row>
    <row r="205" spans="1:5" x14ac:dyDescent="0.4">
      <c r="A205">
        <v>1939</v>
      </c>
      <c r="B205">
        <v>1</v>
      </c>
      <c r="C205">
        <v>3</v>
      </c>
      <c r="D205">
        <v>1</v>
      </c>
      <c r="E205">
        <v>3</v>
      </c>
    </row>
    <row r="206" spans="1:5" x14ac:dyDescent="0.4">
      <c r="A206">
        <v>275</v>
      </c>
      <c r="B206">
        <v>4</v>
      </c>
      <c r="C206">
        <v>4</v>
      </c>
      <c r="D206">
        <v>1</v>
      </c>
      <c r="E206">
        <v>3</v>
      </c>
    </row>
    <row r="207" spans="1:5" x14ac:dyDescent="0.4">
      <c r="A207">
        <v>277</v>
      </c>
      <c r="B207">
        <v>4</v>
      </c>
      <c r="C207">
        <v>3</v>
      </c>
      <c r="D207">
        <v>4</v>
      </c>
      <c r="E207">
        <v>4</v>
      </c>
    </row>
    <row r="208" spans="1:5" x14ac:dyDescent="0.4">
      <c r="A208">
        <v>281</v>
      </c>
      <c r="B208">
        <v>3</v>
      </c>
      <c r="C208">
        <v>4</v>
      </c>
      <c r="D208">
        <v>3</v>
      </c>
      <c r="E208">
        <v>4</v>
      </c>
    </row>
    <row r="209" spans="1:5" x14ac:dyDescent="0.4">
      <c r="A209">
        <v>282</v>
      </c>
      <c r="B209">
        <v>2</v>
      </c>
      <c r="C209">
        <v>1</v>
      </c>
      <c r="D209">
        <v>2</v>
      </c>
      <c r="E209">
        <v>3</v>
      </c>
    </row>
    <row r="210" spans="1:5" x14ac:dyDescent="0.4">
      <c r="A210">
        <v>284</v>
      </c>
      <c r="B210">
        <v>4</v>
      </c>
      <c r="C210">
        <v>2</v>
      </c>
      <c r="D210">
        <v>1</v>
      </c>
      <c r="E210">
        <v>2</v>
      </c>
    </row>
    <row r="211" spans="1:5" x14ac:dyDescent="0.4">
      <c r="A211">
        <v>287</v>
      </c>
      <c r="B211">
        <v>4</v>
      </c>
      <c r="C211">
        <v>4</v>
      </c>
      <c r="D211">
        <v>4</v>
      </c>
      <c r="E211">
        <v>1</v>
      </c>
    </row>
    <row r="212" spans="1:5" x14ac:dyDescent="0.4">
      <c r="A212">
        <v>1675</v>
      </c>
      <c r="B212">
        <v>4</v>
      </c>
      <c r="C212">
        <v>2</v>
      </c>
      <c r="D212">
        <v>2</v>
      </c>
      <c r="E212">
        <v>3</v>
      </c>
    </row>
    <row r="213" spans="1:5" x14ac:dyDescent="0.4">
      <c r="A213">
        <v>288</v>
      </c>
      <c r="B213">
        <v>4</v>
      </c>
      <c r="C213">
        <v>1</v>
      </c>
      <c r="D213">
        <v>3</v>
      </c>
      <c r="E213">
        <v>3</v>
      </c>
    </row>
    <row r="214" spans="1:5" x14ac:dyDescent="0.4">
      <c r="A214">
        <v>291</v>
      </c>
      <c r="B214">
        <v>4</v>
      </c>
      <c r="C214">
        <v>4</v>
      </c>
      <c r="D214">
        <v>3</v>
      </c>
      <c r="E214">
        <v>2</v>
      </c>
    </row>
    <row r="215" spans="1:5" x14ac:dyDescent="0.4">
      <c r="A215">
        <v>292</v>
      </c>
      <c r="B215">
        <v>3</v>
      </c>
      <c r="C215">
        <v>3</v>
      </c>
      <c r="D215">
        <v>3</v>
      </c>
      <c r="E215">
        <v>3</v>
      </c>
    </row>
    <row r="216" spans="1:5" x14ac:dyDescent="0.4">
      <c r="A216">
        <v>296</v>
      </c>
      <c r="B216">
        <v>2</v>
      </c>
      <c r="C216">
        <v>2</v>
      </c>
      <c r="D216">
        <v>4</v>
      </c>
      <c r="E216">
        <v>1</v>
      </c>
    </row>
    <row r="217" spans="1:5" x14ac:dyDescent="0.4">
      <c r="A217">
        <v>300</v>
      </c>
      <c r="B217">
        <v>3</v>
      </c>
      <c r="C217">
        <v>3</v>
      </c>
      <c r="D217">
        <v>4</v>
      </c>
      <c r="E217">
        <v>2</v>
      </c>
    </row>
    <row r="218" spans="1:5" x14ac:dyDescent="0.4">
      <c r="A218">
        <v>430</v>
      </c>
      <c r="B218">
        <v>3</v>
      </c>
      <c r="C218">
        <v>4</v>
      </c>
      <c r="D218">
        <v>1</v>
      </c>
      <c r="E218">
        <v>3</v>
      </c>
    </row>
    <row r="219" spans="1:5" x14ac:dyDescent="0.4">
      <c r="A219">
        <v>304</v>
      </c>
      <c r="B219">
        <v>4</v>
      </c>
      <c r="C219">
        <v>2</v>
      </c>
      <c r="D219">
        <v>4</v>
      </c>
      <c r="E219">
        <v>4</v>
      </c>
    </row>
    <row r="220" spans="1:5" x14ac:dyDescent="0.4">
      <c r="A220">
        <v>1760</v>
      </c>
      <c r="B220">
        <v>3</v>
      </c>
      <c r="C220">
        <v>2</v>
      </c>
      <c r="D220">
        <v>2</v>
      </c>
      <c r="E220">
        <v>2</v>
      </c>
    </row>
    <row r="221" spans="1:5" x14ac:dyDescent="0.4">
      <c r="A221">
        <v>306</v>
      </c>
      <c r="B221">
        <v>2</v>
      </c>
      <c r="C221">
        <v>4</v>
      </c>
      <c r="D221">
        <v>3</v>
      </c>
      <c r="E221">
        <v>3</v>
      </c>
    </row>
    <row r="222" spans="1:5" x14ac:dyDescent="0.4">
      <c r="A222">
        <v>307</v>
      </c>
      <c r="B222">
        <v>1</v>
      </c>
      <c r="C222">
        <v>3</v>
      </c>
      <c r="D222">
        <v>3</v>
      </c>
      <c r="E222">
        <v>2</v>
      </c>
    </row>
    <row r="223" spans="1:5" x14ac:dyDescent="0.4">
      <c r="A223">
        <v>434</v>
      </c>
      <c r="B223">
        <v>3</v>
      </c>
      <c r="C223">
        <v>2</v>
      </c>
      <c r="D223">
        <v>2</v>
      </c>
      <c r="E223">
        <v>2</v>
      </c>
    </row>
    <row r="224" spans="1:5" x14ac:dyDescent="0.4">
      <c r="A224">
        <v>308</v>
      </c>
      <c r="B224">
        <v>3</v>
      </c>
      <c r="C224">
        <v>3</v>
      </c>
      <c r="D224">
        <v>4</v>
      </c>
      <c r="E224">
        <v>3</v>
      </c>
    </row>
    <row r="225" spans="1:5" x14ac:dyDescent="0.4">
      <c r="A225">
        <v>309</v>
      </c>
      <c r="B225">
        <v>3</v>
      </c>
      <c r="C225">
        <v>4</v>
      </c>
      <c r="D225">
        <v>1</v>
      </c>
      <c r="E225">
        <v>3</v>
      </c>
    </row>
    <row r="226" spans="1:5" x14ac:dyDescent="0.4">
      <c r="A226">
        <v>311</v>
      </c>
      <c r="B226">
        <v>1</v>
      </c>
      <c r="C226">
        <v>4</v>
      </c>
      <c r="D226">
        <v>3</v>
      </c>
      <c r="E226">
        <v>3</v>
      </c>
    </row>
    <row r="227" spans="1:5" x14ac:dyDescent="0.4">
      <c r="A227">
        <v>315</v>
      </c>
      <c r="B227">
        <v>3</v>
      </c>
      <c r="C227">
        <v>4</v>
      </c>
      <c r="D227">
        <v>3</v>
      </c>
      <c r="E227">
        <v>2</v>
      </c>
    </row>
    <row r="228" spans="1:5" x14ac:dyDescent="0.4">
      <c r="A228">
        <v>319</v>
      </c>
      <c r="B228">
        <v>3</v>
      </c>
      <c r="C228">
        <v>4</v>
      </c>
      <c r="D228">
        <v>4</v>
      </c>
      <c r="E228">
        <v>3</v>
      </c>
    </row>
    <row r="229" spans="1:5" x14ac:dyDescent="0.4">
      <c r="A229">
        <v>826</v>
      </c>
      <c r="B229">
        <v>4</v>
      </c>
      <c r="C229">
        <v>3</v>
      </c>
      <c r="D229">
        <v>3</v>
      </c>
      <c r="E229">
        <v>3</v>
      </c>
    </row>
    <row r="230" spans="1:5" x14ac:dyDescent="0.4">
      <c r="A230">
        <v>1120</v>
      </c>
      <c r="B230">
        <v>3</v>
      </c>
      <c r="C230">
        <v>4</v>
      </c>
      <c r="D230">
        <v>1</v>
      </c>
      <c r="E230">
        <v>3</v>
      </c>
    </row>
    <row r="231" spans="1:5" x14ac:dyDescent="0.4">
      <c r="A231">
        <v>321</v>
      </c>
      <c r="B231">
        <v>2</v>
      </c>
      <c r="C231">
        <v>3</v>
      </c>
      <c r="D231">
        <v>4</v>
      </c>
      <c r="E231">
        <v>2</v>
      </c>
    </row>
    <row r="232" spans="1:5" x14ac:dyDescent="0.4">
      <c r="A232">
        <v>1175</v>
      </c>
      <c r="B232">
        <v>3</v>
      </c>
      <c r="C232">
        <v>4</v>
      </c>
      <c r="D232">
        <v>4</v>
      </c>
      <c r="E232">
        <v>2</v>
      </c>
    </row>
    <row r="233" spans="1:5" x14ac:dyDescent="0.4">
      <c r="A233">
        <v>325</v>
      </c>
      <c r="B233">
        <v>3</v>
      </c>
      <c r="C233">
        <v>4</v>
      </c>
      <c r="D233">
        <v>3</v>
      </c>
      <c r="E233">
        <v>1</v>
      </c>
    </row>
    <row r="234" spans="1:5" x14ac:dyDescent="0.4">
      <c r="A234">
        <v>329</v>
      </c>
      <c r="B234">
        <v>1</v>
      </c>
      <c r="C234">
        <v>3</v>
      </c>
      <c r="D234">
        <v>4</v>
      </c>
      <c r="E234">
        <v>4</v>
      </c>
    </row>
    <row r="235" spans="1:5" x14ac:dyDescent="0.4">
      <c r="A235">
        <v>331</v>
      </c>
      <c r="B235">
        <v>4</v>
      </c>
      <c r="C235">
        <v>3</v>
      </c>
      <c r="D235">
        <v>4</v>
      </c>
      <c r="E235">
        <v>1</v>
      </c>
    </row>
    <row r="236" spans="1:5" x14ac:dyDescent="0.4">
      <c r="A236">
        <v>912</v>
      </c>
      <c r="B236">
        <v>1</v>
      </c>
      <c r="C236">
        <v>4</v>
      </c>
      <c r="D236">
        <v>3</v>
      </c>
      <c r="E236">
        <v>3</v>
      </c>
    </row>
    <row r="237" spans="1:5" x14ac:dyDescent="0.4">
      <c r="A237">
        <v>1364</v>
      </c>
      <c r="B237">
        <v>3</v>
      </c>
      <c r="C237">
        <v>4</v>
      </c>
      <c r="D237">
        <v>2</v>
      </c>
      <c r="E237">
        <v>3</v>
      </c>
    </row>
    <row r="238" spans="1:5" x14ac:dyDescent="0.4">
      <c r="A238">
        <v>333</v>
      </c>
      <c r="B238">
        <v>3</v>
      </c>
      <c r="C238">
        <v>4</v>
      </c>
      <c r="D238">
        <v>1</v>
      </c>
      <c r="E238">
        <v>3</v>
      </c>
    </row>
    <row r="239" spans="1:5" x14ac:dyDescent="0.4">
      <c r="A239">
        <v>501</v>
      </c>
      <c r="B239">
        <v>4</v>
      </c>
      <c r="C239">
        <v>3</v>
      </c>
      <c r="D239">
        <v>2</v>
      </c>
      <c r="E239">
        <v>3</v>
      </c>
    </row>
    <row r="240" spans="1:5" x14ac:dyDescent="0.4">
      <c r="A240">
        <v>334</v>
      </c>
      <c r="B240">
        <v>3</v>
      </c>
      <c r="C240">
        <v>1</v>
      </c>
      <c r="D240">
        <v>1</v>
      </c>
      <c r="E240">
        <v>2</v>
      </c>
    </row>
    <row r="241" spans="1:5" x14ac:dyDescent="0.4">
      <c r="A241">
        <v>565</v>
      </c>
      <c r="B241">
        <v>3</v>
      </c>
      <c r="C241">
        <v>2</v>
      </c>
      <c r="D241">
        <v>2</v>
      </c>
      <c r="E241">
        <v>4</v>
      </c>
    </row>
    <row r="242" spans="1:5" x14ac:dyDescent="0.4">
      <c r="A242">
        <v>335</v>
      </c>
      <c r="B242">
        <v>1</v>
      </c>
      <c r="C242">
        <v>4</v>
      </c>
      <c r="D242">
        <v>1</v>
      </c>
      <c r="E242">
        <v>3</v>
      </c>
    </row>
    <row r="243" spans="1:5" x14ac:dyDescent="0.4">
      <c r="A243">
        <v>838</v>
      </c>
      <c r="B243">
        <v>3</v>
      </c>
      <c r="C243">
        <v>4</v>
      </c>
      <c r="D243">
        <v>3</v>
      </c>
      <c r="E243">
        <v>3</v>
      </c>
    </row>
    <row r="244" spans="1:5" x14ac:dyDescent="0.4">
      <c r="A244">
        <v>856</v>
      </c>
      <c r="B244">
        <v>3</v>
      </c>
      <c r="C244">
        <v>1</v>
      </c>
      <c r="D244">
        <v>4</v>
      </c>
      <c r="E244">
        <v>2</v>
      </c>
    </row>
    <row r="245" spans="1:5" x14ac:dyDescent="0.4">
      <c r="A245">
        <v>336</v>
      </c>
      <c r="B245">
        <v>3</v>
      </c>
      <c r="C245">
        <v>4</v>
      </c>
      <c r="D245">
        <v>3</v>
      </c>
      <c r="E245">
        <v>3</v>
      </c>
    </row>
    <row r="246" spans="1:5" x14ac:dyDescent="0.4">
      <c r="A246">
        <v>337</v>
      </c>
      <c r="B246">
        <v>2</v>
      </c>
      <c r="C246">
        <v>3</v>
      </c>
      <c r="D246">
        <v>1</v>
      </c>
      <c r="E246">
        <v>3</v>
      </c>
    </row>
    <row r="247" spans="1:5" x14ac:dyDescent="0.4">
      <c r="A247">
        <v>339</v>
      </c>
      <c r="B247">
        <v>4</v>
      </c>
      <c r="C247">
        <v>1</v>
      </c>
      <c r="D247">
        <v>2</v>
      </c>
      <c r="E247">
        <v>3</v>
      </c>
    </row>
    <row r="248" spans="1:5" x14ac:dyDescent="0.4">
      <c r="A248">
        <v>341</v>
      </c>
      <c r="B248">
        <v>1</v>
      </c>
      <c r="C248">
        <v>3</v>
      </c>
      <c r="D248">
        <v>4</v>
      </c>
      <c r="E248">
        <v>3</v>
      </c>
    </row>
    <row r="249" spans="1:5" x14ac:dyDescent="0.4">
      <c r="A249">
        <v>571</v>
      </c>
      <c r="B249">
        <v>3</v>
      </c>
      <c r="C249">
        <v>4</v>
      </c>
      <c r="D249">
        <v>3</v>
      </c>
      <c r="E249">
        <v>2</v>
      </c>
    </row>
    <row r="250" spans="1:5" x14ac:dyDescent="0.4">
      <c r="A250">
        <v>342</v>
      </c>
      <c r="B250">
        <v>1</v>
      </c>
      <c r="C250">
        <v>3</v>
      </c>
      <c r="D250">
        <v>2</v>
      </c>
      <c r="E250">
        <v>3</v>
      </c>
    </row>
    <row r="251" spans="1:5" x14ac:dyDescent="0.4">
      <c r="A251">
        <v>346</v>
      </c>
      <c r="B251">
        <v>3</v>
      </c>
      <c r="C251">
        <v>4</v>
      </c>
      <c r="D251">
        <v>1</v>
      </c>
      <c r="E251">
        <v>3</v>
      </c>
    </row>
    <row r="252" spans="1:5" x14ac:dyDescent="0.4">
      <c r="A252">
        <v>349</v>
      </c>
      <c r="B252">
        <v>4</v>
      </c>
      <c r="C252">
        <v>4</v>
      </c>
      <c r="D252">
        <v>4</v>
      </c>
      <c r="E252">
        <v>3</v>
      </c>
    </row>
    <row r="253" spans="1:5" x14ac:dyDescent="0.4">
      <c r="A253">
        <v>805</v>
      </c>
      <c r="B253">
        <v>1</v>
      </c>
      <c r="C253">
        <v>4</v>
      </c>
      <c r="D253">
        <v>2</v>
      </c>
      <c r="E253">
        <v>2</v>
      </c>
    </row>
    <row r="254" spans="1:5" x14ac:dyDescent="0.4">
      <c r="A254">
        <v>517</v>
      </c>
      <c r="B254">
        <v>2</v>
      </c>
      <c r="C254">
        <v>1</v>
      </c>
      <c r="D254">
        <v>2</v>
      </c>
      <c r="E254">
        <v>3</v>
      </c>
    </row>
    <row r="255" spans="1:5" x14ac:dyDescent="0.4">
      <c r="A255">
        <v>666</v>
      </c>
      <c r="B255">
        <v>3</v>
      </c>
      <c r="C255">
        <v>3</v>
      </c>
      <c r="D255">
        <v>4</v>
      </c>
      <c r="E255">
        <v>3</v>
      </c>
    </row>
    <row r="256" spans="1:5" x14ac:dyDescent="0.4">
      <c r="A256">
        <v>352</v>
      </c>
      <c r="B256">
        <v>1</v>
      </c>
      <c r="C256">
        <v>3</v>
      </c>
      <c r="D256">
        <v>4</v>
      </c>
      <c r="E256">
        <v>3</v>
      </c>
    </row>
    <row r="257" spans="1:5" x14ac:dyDescent="0.4">
      <c r="A257">
        <v>1265</v>
      </c>
      <c r="B257">
        <v>3</v>
      </c>
      <c r="C257">
        <v>3</v>
      </c>
      <c r="D257">
        <v>4</v>
      </c>
      <c r="E257">
        <v>2</v>
      </c>
    </row>
    <row r="258" spans="1:5" x14ac:dyDescent="0.4">
      <c r="A258">
        <v>1674</v>
      </c>
      <c r="B258">
        <v>4</v>
      </c>
      <c r="C258">
        <v>1</v>
      </c>
      <c r="D258">
        <v>2</v>
      </c>
      <c r="E258">
        <v>2</v>
      </c>
    </row>
    <row r="259" spans="1:5" x14ac:dyDescent="0.4">
      <c r="A259">
        <v>353</v>
      </c>
      <c r="B259">
        <v>3</v>
      </c>
      <c r="C259">
        <v>4</v>
      </c>
      <c r="D259">
        <v>2</v>
      </c>
      <c r="E259">
        <v>2</v>
      </c>
    </row>
    <row r="260" spans="1:5" x14ac:dyDescent="0.4">
      <c r="A260">
        <v>355</v>
      </c>
      <c r="B260">
        <v>3</v>
      </c>
      <c r="C260">
        <v>2</v>
      </c>
      <c r="D260">
        <v>2</v>
      </c>
      <c r="E260">
        <v>4</v>
      </c>
    </row>
    <row r="261" spans="1:5" x14ac:dyDescent="0.4">
      <c r="A261">
        <v>351</v>
      </c>
      <c r="B261">
        <v>4</v>
      </c>
      <c r="C261">
        <v>1</v>
      </c>
      <c r="D261">
        <v>3</v>
      </c>
      <c r="E261">
        <v>3</v>
      </c>
    </row>
    <row r="262" spans="1:5" x14ac:dyDescent="0.4">
      <c r="A262">
        <v>359</v>
      </c>
      <c r="B262">
        <v>2</v>
      </c>
      <c r="C262">
        <v>2</v>
      </c>
      <c r="D262">
        <v>3</v>
      </c>
      <c r="E262">
        <v>1</v>
      </c>
    </row>
    <row r="263" spans="1:5" x14ac:dyDescent="0.4">
      <c r="A263">
        <v>1016</v>
      </c>
      <c r="B263">
        <v>4</v>
      </c>
      <c r="C263">
        <v>1</v>
      </c>
      <c r="D263">
        <v>1</v>
      </c>
      <c r="E263">
        <v>3</v>
      </c>
    </row>
    <row r="264" spans="1:5" x14ac:dyDescent="0.4">
      <c r="A264">
        <v>361</v>
      </c>
      <c r="B264">
        <v>4</v>
      </c>
      <c r="C264">
        <v>4</v>
      </c>
      <c r="D264">
        <v>4</v>
      </c>
      <c r="E264">
        <v>3</v>
      </c>
    </row>
    <row r="265" spans="1:5" x14ac:dyDescent="0.4">
      <c r="A265">
        <v>362</v>
      </c>
      <c r="B265">
        <v>4</v>
      </c>
      <c r="C265">
        <v>1</v>
      </c>
      <c r="D265">
        <v>4</v>
      </c>
      <c r="E265">
        <v>3</v>
      </c>
    </row>
    <row r="266" spans="1:5" x14ac:dyDescent="0.4">
      <c r="A266">
        <v>364</v>
      </c>
      <c r="B266">
        <v>1</v>
      </c>
      <c r="C266">
        <v>3</v>
      </c>
      <c r="D266">
        <v>3</v>
      </c>
      <c r="E266">
        <v>1</v>
      </c>
    </row>
    <row r="267" spans="1:5" x14ac:dyDescent="0.4">
      <c r="A267">
        <v>366</v>
      </c>
      <c r="B267">
        <v>1</v>
      </c>
      <c r="C267">
        <v>2</v>
      </c>
      <c r="D267">
        <v>2</v>
      </c>
      <c r="E267">
        <v>3</v>
      </c>
    </row>
    <row r="268" spans="1:5" x14ac:dyDescent="0.4">
      <c r="A268">
        <v>662</v>
      </c>
      <c r="B268">
        <v>3</v>
      </c>
      <c r="C268">
        <v>1</v>
      </c>
      <c r="D268">
        <v>4</v>
      </c>
      <c r="E268">
        <v>2</v>
      </c>
    </row>
    <row r="269" spans="1:5" x14ac:dyDescent="0.4">
      <c r="A269">
        <v>305</v>
      </c>
      <c r="B269">
        <v>3</v>
      </c>
      <c r="C269">
        <v>2</v>
      </c>
      <c r="D269">
        <v>4</v>
      </c>
      <c r="E269">
        <v>3</v>
      </c>
    </row>
    <row r="270" spans="1:5" x14ac:dyDescent="0.4">
      <c r="A270">
        <v>1279</v>
      </c>
      <c r="B270">
        <v>1</v>
      </c>
      <c r="C270">
        <v>3</v>
      </c>
      <c r="D270">
        <v>3</v>
      </c>
      <c r="E270">
        <v>1</v>
      </c>
    </row>
    <row r="271" spans="1:5" x14ac:dyDescent="0.4">
      <c r="A271">
        <v>194</v>
      </c>
      <c r="B271">
        <v>1</v>
      </c>
      <c r="C271">
        <v>3</v>
      </c>
      <c r="D271">
        <v>3</v>
      </c>
      <c r="E271">
        <v>2</v>
      </c>
    </row>
    <row r="272" spans="1:5" x14ac:dyDescent="0.4">
      <c r="A272">
        <v>367</v>
      </c>
      <c r="B272">
        <v>2</v>
      </c>
      <c r="C272">
        <v>4</v>
      </c>
      <c r="D272">
        <v>2</v>
      </c>
      <c r="E272">
        <v>3</v>
      </c>
    </row>
    <row r="273" spans="1:5" x14ac:dyDescent="0.4">
      <c r="A273">
        <v>369</v>
      </c>
      <c r="B273">
        <v>2</v>
      </c>
      <c r="C273">
        <v>1</v>
      </c>
      <c r="D273">
        <v>4</v>
      </c>
      <c r="E273">
        <v>3</v>
      </c>
    </row>
    <row r="274" spans="1:5" x14ac:dyDescent="0.4">
      <c r="A274">
        <v>46</v>
      </c>
      <c r="B274">
        <v>4</v>
      </c>
      <c r="C274">
        <v>3</v>
      </c>
      <c r="D274">
        <v>4</v>
      </c>
      <c r="E274">
        <v>2</v>
      </c>
    </row>
    <row r="275" spans="1:5" x14ac:dyDescent="0.4">
      <c r="A275">
        <v>372</v>
      </c>
      <c r="B275">
        <v>3</v>
      </c>
      <c r="C275">
        <v>4</v>
      </c>
      <c r="D275">
        <v>2</v>
      </c>
      <c r="E275">
        <v>3</v>
      </c>
    </row>
    <row r="276" spans="1:5" x14ac:dyDescent="0.4">
      <c r="A276">
        <v>373</v>
      </c>
      <c r="B276">
        <v>4</v>
      </c>
      <c r="C276">
        <v>4</v>
      </c>
      <c r="D276">
        <v>3</v>
      </c>
      <c r="E276">
        <v>3</v>
      </c>
    </row>
    <row r="277" spans="1:5" x14ac:dyDescent="0.4">
      <c r="A277">
        <v>1691</v>
      </c>
      <c r="B277">
        <v>4</v>
      </c>
      <c r="C277">
        <v>3</v>
      </c>
      <c r="D277">
        <v>3</v>
      </c>
      <c r="E277">
        <v>3</v>
      </c>
    </row>
    <row r="278" spans="1:5" x14ac:dyDescent="0.4">
      <c r="A278">
        <v>297</v>
      </c>
      <c r="B278">
        <v>4</v>
      </c>
      <c r="C278">
        <v>1</v>
      </c>
      <c r="D278">
        <v>3</v>
      </c>
      <c r="E278">
        <v>3</v>
      </c>
    </row>
    <row r="279" spans="1:5" x14ac:dyDescent="0.4">
      <c r="A279">
        <v>374</v>
      </c>
      <c r="B279">
        <v>4</v>
      </c>
      <c r="C279">
        <v>1</v>
      </c>
      <c r="D279">
        <v>3</v>
      </c>
      <c r="E279">
        <v>3</v>
      </c>
    </row>
    <row r="280" spans="1:5" x14ac:dyDescent="0.4">
      <c r="A280">
        <v>686</v>
      </c>
      <c r="B280">
        <v>3</v>
      </c>
      <c r="C280">
        <v>4</v>
      </c>
      <c r="D280">
        <v>3</v>
      </c>
      <c r="E280">
        <v>3</v>
      </c>
    </row>
    <row r="281" spans="1:5" x14ac:dyDescent="0.4">
      <c r="A281">
        <v>376</v>
      </c>
      <c r="B281">
        <v>1</v>
      </c>
      <c r="C281">
        <v>2</v>
      </c>
      <c r="D281">
        <v>4</v>
      </c>
      <c r="E281">
        <v>2</v>
      </c>
    </row>
    <row r="282" spans="1:5" x14ac:dyDescent="0.4">
      <c r="A282">
        <v>377</v>
      </c>
      <c r="B282">
        <v>4</v>
      </c>
      <c r="C282">
        <v>4</v>
      </c>
      <c r="D282">
        <v>4</v>
      </c>
      <c r="E282">
        <v>2</v>
      </c>
    </row>
    <row r="283" spans="1:5" x14ac:dyDescent="0.4">
      <c r="A283">
        <v>378</v>
      </c>
      <c r="B283">
        <v>3</v>
      </c>
      <c r="C283">
        <v>4</v>
      </c>
      <c r="D283">
        <v>2</v>
      </c>
      <c r="E283">
        <v>4</v>
      </c>
    </row>
    <row r="284" spans="1:5" x14ac:dyDescent="0.4">
      <c r="A284">
        <v>10</v>
      </c>
      <c r="B284">
        <v>3</v>
      </c>
      <c r="C284">
        <v>1</v>
      </c>
      <c r="D284">
        <v>1</v>
      </c>
      <c r="E284">
        <v>2</v>
      </c>
    </row>
    <row r="285" spans="1:5" x14ac:dyDescent="0.4">
      <c r="A285">
        <v>379</v>
      </c>
      <c r="B285">
        <v>4</v>
      </c>
      <c r="C285">
        <v>3</v>
      </c>
      <c r="D285">
        <v>1</v>
      </c>
      <c r="E285">
        <v>4</v>
      </c>
    </row>
    <row r="286" spans="1:5" x14ac:dyDescent="0.4">
      <c r="A286">
        <v>385</v>
      </c>
      <c r="B286">
        <v>1</v>
      </c>
      <c r="C286">
        <v>2</v>
      </c>
      <c r="D286">
        <v>1</v>
      </c>
      <c r="E286">
        <v>2</v>
      </c>
    </row>
    <row r="287" spans="1:5" x14ac:dyDescent="0.4">
      <c r="A287">
        <v>386</v>
      </c>
      <c r="B287">
        <v>3</v>
      </c>
      <c r="C287">
        <v>3</v>
      </c>
      <c r="D287">
        <v>4</v>
      </c>
      <c r="E287">
        <v>2</v>
      </c>
    </row>
    <row r="288" spans="1:5" x14ac:dyDescent="0.4">
      <c r="A288">
        <v>387</v>
      </c>
      <c r="B288">
        <v>2</v>
      </c>
      <c r="C288">
        <v>3</v>
      </c>
      <c r="D288">
        <v>3</v>
      </c>
      <c r="E288">
        <v>3</v>
      </c>
    </row>
    <row r="289" spans="1:5" x14ac:dyDescent="0.4">
      <c r="A289">
        <v>388</v>
      </c>
      <c r="B289">
        <v>2</v>
      </c>
      <c r="C289">
        <v>4</v>
      </c>
      <c r="D289">
        <v>1</v>
      </c>
      <c r="E289">
        <v>2</v>
      </c>
    </row>
    <row r="290" spans="1:5" x14ac:dyDescent="0.4">
      <c r="A290">
        <v>389</v>
      </c>
      <c r="B290">
        <v>2</v>
      </c>
      <c r="C290">
        <v>4</v>
      </c>
      <c r="D290">
        <v>4</v>
      </c>
      <c r="E290">
        <v>3</v>
      </c>
    </row>
    <row r="291" spans="1:5" x14ac:dyDescent="0.4">
      <c r="A291">
        <v>390</v>
      </c>
      <c r="B291">
        <v>1</v>
      </c>
      <c r="C291">
        <v>1</v>
      </c>
      <c r="D291">
        <v>3</v>
      </c>
      <c r="E291">
        <v>3</v>
      </c>
    </row>
    <row r="292" spans="1:5" x14ac:dyDescent="0.4">
      <c r="A292">
        <v>392</v>
      </c>
      <c r="B292">
        <v>4</v>
      </c>
      <c r="C292">
        <v>3</v>
      </c>
      <c r="D292">
        <v>4</v>
      </c>
      <c r="E292">
        <v>1</v>
      </c>
    </row>
    <row r="293" spans="1:5" x14ac:dyDescent="0.4">
      <c r="A293">
        <v>923</v>
      </c>
      <c r="B293">
        <v>4</v>
      </c>
      <c r="C293">
        <v>4</v>
      </c>
      <c r="D293">
        <v>1</v>
      </c>
      <c r="E293">
        <v>2</v>
      </c>
    </row>
    <row r="294" spans="1:5" x14ac:dyDescent="0.4">
      <c r="A294">
        <v>393</v>
      </c>
      <c r="B294">
        <v>4</v>
      </c>
      <c r="C294">
        <v>4</v>
      </c>
      <c r="D294">
        <v>2</v>
      </c>
      <c r="E294">
        <v>3</v>
      </c>
    </row>
    <row r="295" spans="1:5" x14ac:dyDescent="0.4">
      <c r="A295">
        <v>394</v>
      </c>
      <c r="B295">
        <v>1</v>
      </c>
      <c r="C295">
        <v>2</v>
      </c>
      <c r="D295">
        <v>4</v>
      </c>
      <c r="E295">
        <v>3</v>
      </c>
    </row>
    <row r="296" spans="1:5" x14ac:dyDescent="0.4">
      <c r="A296">
        <v>397</v>
      </c>
      <c r="B296">
        <v>3</v>
      </c>
      <c r="C296">
        <v>2</v>
      </c>
      <c r="D296">
        <v>4</v>
      </c>
      <c r="E296">
        <v>3</v>
      </c>
    </row>
    <row r="297" spans="1:5" x14ac:dyDescent="0.4">
      <c r="A297">
        <v>401</v>
      </c>
      <c r="B297">
        <v>4</v>
      </c>
      <c r="C297">
        <v>4</v>
      </c>
      <c r="D297">
        <v>2</v>
      </c>
      <c r="E297">
        <v>3</v>
      </c>
    </row>
    <row r="298" spans="1:5" x14ac:dyDescent="0.4">
      <c r="A298">
        <v>403</v>
      </c>
      <c r="B298">
        <v>2</v>
      </c>
      <c r="C298">
        <v>4</v>
      </c>
      <c r="D298">
        <v>3</v>
      </c>
      <c r="E298">
        <v>2</v>
      </c>
    </row>
    <row r="299" spans="1:5" x14ac:dyDescent="0.4">
      <c r="A299">
        <v>406</v>
      </c>
      <c r="B299">
        <v>3</v>
      </c>
      <c r="C299">
        <v>2</v>
      </c>
      <c r="D299">
        <v>3</v>
      </c>
      <c r="E299">
        <v>2</v>
      </c>
    </row>
    <row r="300" spans="1:5" x14ac:dyDescent="0.4">
      <c r="A300">
        <v>407</v>
      </c>
      <c r="B300">
        <v>3</v>
      </c>
      <c r="C300">
        <v>4</v>
      </c>
      <c r="D300">
        <v>4</v>
      </c>
      <c r="E300">
        <v>3</v>
      </c>
    </row>
    <row r="301" spans="1:5" x14ac:dyDescent="0.4">
      <c r="A301">
        <v>408</v>
      </c>
      <c r="B301">
        <v>4</v>
      </c>
      <c r="C301">
        <v>2</v>
      </c>
      <c r="D301">
        <v>4</v>
      </c>
      <c r="E301">
        <v>3</v>
      </c>
    </row>
    <row r="302" spans="1:5" x14ac:dyDescent="0.4">
      <c r="A302">
        <v>328</v>
      </c>
      <c r="B302">
        <v>1</v>
      </c>
      <c r="C302">
        <v>1</v>
      </c>
      <c r="D302">
        <v>1</v>
      </c>
      <c r="E302">
        <v>4</v>
      </c>
    </row>
    <row r="303" spans="1:5" x14ac:dyDescent="0.4">
      <c r="A303">
        <v>410</v>
      </c>
      <c r="B303">
        <v>4</v>
      </c>
      <c r="C303">
        <v>2</v>
      </c>
      <c r="D303">
        <v>2</v>
      </c>
      <c r="E303">
        <v>3</v>
      </c>
    </row>
    <row r="304" spans="1:5" x14ac:dyDescent="0.4">
      <c r="A304">
        <v>494</v>
      </c>
      <c r="B304">
        <v>3</v>
      </c>
      <c r="C304">
        <v>2</v>
      </c>
      <c r="D304">
        <v>4</v>
      </c>
      <c r="E304">
        <v>3</v>
      </c>
    </row>
    <row r="305" spans="1:5" x14ac:dyDescent="0.4">
      <c r="A305">
        <v>412</v>
      </c>
      <c r="B305">
        <v>2</v>
      </c>
      <c r="C305">
        <v>1</v>
      </c>
      <c r="D305">
        <v>3</v>
      </c>
      <c r="E305">
        <v>3</v>
      </c>
    </row>
    <row r="306" spans="1:5" x14ac:dyDescent="0.4">
      <c r="A306">
        <v>416</v>
      </c>
      <c r="B306">
        <v>2</v>
      </c>
      <c r="C306">
        <v>4</v>
      </c>
      <c r="D306">
        <v>2</v>
      </c>
      <c r="E306">
        <v>2</v>
      </c>
    </row>
    <row r="307" spans="1:5" x14ac:dyDescent="0.4">
      <c r="A307">
        <v>417</v>
      </c>
      <c r="B307">
        <v>3</v>
      </c>
      <c r="C307">
        <v>4</v>
      </c>
      <c r="D307">
        <v>1</v>
      </c>
      <c r="E307">
        <v>2</v>
      </c>
    </row>
    <row r="308" spans="1:5" x14ac:dyDescent="0.4">
      <c r="A308">
        <v>420</v>
      </c>
      <c r="B308">
        <v>4</v>
      </c>
      <c r="C308">
        <v>3</v>
      </c>
      <c r="D308">
        <v>3</v>
      </c>
      <c r="E308">
        <v>2</v>
      </c>
    </row>
    <row r="309" spans="1:5" x14ac:dyDescent="0.4">
      <c r="A309">
        <v>422</v>
      </c>
      <c r="B309">
        <v>4</v>
      </c>
      <c r="C309">
        <v>3</v>
      </c>
      <c r="D309">
        <v>4</v>
      </c>
      <c r="E309">
        <v>3</v>
      </c>
    </row>
    <row r="310" spans="1:5" x14ac:dyDescent="0.4">
      <c r="A310">
        <v>423</v>
      </c>
      <c r="B310">
        <v>3</v>
      </c>
      <c r="C310">
        <v>4</v>
      </c>
      <c r="D310">
        <v>3</v>
      </c>
      <c r="E310">
        <v>3</v>
      </c>
    </row>
    <row r="311" spans="1:5" x14ac:dyDescent="0.4">
      <c r="A311">
        <v>424</v>
      </c>
      <c r="B311">
        <v>1</v>
      </c>
      <c r="C311">
        <v>1</v>
      </c>
      <c r="D311">
        <v>4</v>
      </c>
      <c r="E311">
        <v>3</v>
      </c>
    </row>
    <row r="312" spans="1:5" x14ac:dyDescent="0.4">
      <c r="A312">
        <v>608</v>
      </c>
      <c r="B312">
        <v>2</v>
      </c>
      <c r="C312">
        <v>3</v>
      </c>
      <c r="D312">
        <v>2</v>
      </c>
      <c r="E312">
        <v>2</v>
      </c>
    </row>
    <row r="313" spans="1:5" x14ac:dyDescent="0.4">
      <c r="A313">
        <v>425</v>
      </c>
      <c r="B313">
        <v>1</v>
      </c>
      <c r="C313">
        <v>1</v>
      </c>
      <c r="D313">
        <v>1</v>
      </c>
      <c r="E313">
        <v>3</v>
      </c>
    </row>
    <row r="314" spans="1:5" x14ac:dyDescent="0.4">
      <c r="A314">
        <v>1467</v>
      </c>
      <c r="B314">
        <v>1</v>
      </c>
      <c r="C314">
        <v>3</v>
      </c>
      <c r="D314">
        <v>4</v>
      </c>
      <c r="E314">
        <v>3</v>
      </c>
    </row>
    <row r="315" spans="1:5" x14ac:dyDescent="0.4">
      <c r="A315">
        <v>1042</v>
      </c>
      <c r="B315">
        <v>3</v>
      </c>
      <c r="C315">
        <v>1</v>
      </c>
      <c r="D315">
        <v>3</v>
      </c>
      <c r="E315">
        <v>3</v>
      </c>
    </row>
    <row r="316" spans="1:5" x14ac:dyDescent="0.4">
      <c r="A316">
        <v>1234</v>
      </c>
      <c r="B316">
        <v>3</v>
      </c>
      <c r="C316">
        <v>2</v>
      </c>
      <c r="D316">
        <v>3</v>
      </c>
      <c r="E316">
        <v>3</v>
      </c>
    </row>
    <row r="317" spans="1:5" x14ac:dyDescent="0.4">
      <c r="A317">
        <v>252</v>
      </c>
      <c r="B317">
        <v>4</v>
      </c>
      <c r="C317">
        <v>2</v>
      </c>
      <c r="D317">
        <v>4</v>
      </c>
      <c r="E317">
        <v>3</v>
      </c>
    </row>
    <row r="318" spans="1:5" x14ac:dyDescent="0.4">
      <c r="A318">
        <v>426</v>
      </c>
      <c r="B318">
        <v>3</v>
      </c>
      <c r="C318">
        <v>4</v>
      </c>
      <c r="D318">
        <v>2</v>
      </c>
      <c r="E318">
        <v>1</v>
      </c>
    </row>
    <row r="319" spans="1:5" x14ac:dyDescent="0.4">
      <c r="A319">
        <v>1752</v>
      </c>
      <c r="B319">
        <v>2</v>
      </c>
      <c r="C319">
        <v>2</v>
      </c>
      <c r="D319">
        <v>3</v>
      </c>
      <c r="E319">
        <v>3</v>
      </c>
    </row>
    <row r="320" spans="1:5" x14ac:dyDescent="0.4">
      <c r="A320">
        <v>429</v>
      </c>
      <c r="B320">
        <v>3</v>
      </c>
      <c r="C320">
        <v>1</v>
      </c>
      <c r="D320">
        <v>4</v>
      </c>
      <c r="E320">
        <v>3</v>
      </c>
    </row>
    <row r="321" spans="1:5" x14ac:dyDescent="0.4">
      <c r="A321">
        <v>433</v>
      </c>
      <c r="B321">
        <v>3</v>
      </c>
      <c r="C321">
        <v>2</v>
      </c>
      <c r="D321">
        <v>1</v>
      </c>
      <c r="E321">
        <v>2</v>
      </c>
    </row>
    <row r="322" spans="1:5" x14ac:dyDescent="0.4">
      <c r="A322">
        <v>437</v>
      </c>
      <c r="B322">
        <v>4</v>
      </c>
      <c r="C322">
        <v>3</v>
      </c>
      <c r="D322">
        <v>1</v>
      </c>
      <c r="E322">
        <v>3</v>
      </c>
    </row>
    <row r="323" spans="1:5" x14ac:dyDescent="0.4">
      <c r="A323">
        <v>438</v>
      </c>
      <c r="B323">
        <v>4</v>
      </c>
      <c r="C323">
        <v>4</v>
      </c>
      <c r="D323">
        <v>4</v>
      </c>
      <c r="E323">
        <v>3</v>
      </c>
    </row>
    <row r="324" spans="1:5" x14ac:dyDescent="0.4">
      <c r="A324">
        <v>927</v>
      </c>
      <c r="B324">
        <v>2</v>
      </c>
      <c r="C324">
        <v>4</v>
      </c>
      <c r="D324">
        <v>3</v>
      </c>
      <c r="E324">
        <v>2</v>
      </c>
    </row>
    <row r="325" spans="1:5" x14ac:dyDescent="0.4">
      <c r="A325">
        <v>440</v>
      </c>
      <c r="B325">
        <v>1</v>
      </c>
      <c r="C325">
        <v>4</v>
      </c>
      <c r="D325">
        <v>4</v>
      </c>
      <c r="E325">
        <v>2</v>
      </c>
    </row>
    <row r="326" spans="1:5" x14ac:dyDescent="0.4">
      <c r="A326">
        <v>802</v>
      </c>
      <c r="B326">
        <v>4</v>
      </c>
      <c r="C326">
        <v>1</v>
      </c>
      <c r="D326">
        <v>2</v>
      </c>
      <c r="E326">
        <v>2</v>
      </c>
    </row>
    <row r="327" spans="1:5" x14ac:dyDescent="0.4">
      <c r="A327">
        <v>444</v>
      </c>
      <c r="B327">
        <v>3</v>
      </c>
      <c r="C327">
        <v>4</v>
      </c>
      <c r="D327">
        <v>1</v>
      </c>
      <c r="E327">
        <v>3</v>
      </c>
    </row>
    <row r="328" spans="1:5" x14ac:dyDescent="0.4">
      <c r="A328">
        <v>1657</v>
      </c>
      <c r="B328">
        <v>3</v>
      </c>
      <c r="C328">
        <v>3</v>
      </c>
      <c r="D328">
        <v>1</v>
      </c>
      <c r="E328">
        <v>3</v>
      </c>
    </row>
    <row r="329" spans="1:5" x14ac:dyDescent="0.4">
      <c r="A329">
        <v>1379</v>
      </c>
      <c r="B329">
        <v>3</v>
      </c>
      <c r="C329">
        <v>4</v>
      </c>
      <c r="D329">
        <v>3</v>
      </c>
      <c r="E329">
        <v>4</v>
      </c>
    </row>
    <row r="330" spans="1:5" x14ac:dyDescent="0.4">
      <c r="A330">
        <v>399</v>
      </c>
      <c r="B330">
        <v>4</v>
      </c>
      <c r="C330">
        <v>2</v>
      </c>
      <c r="D330">
        <v>3</v>
      </c>
      <c r="E330">
        <v>2</v>
      </c>
    </row>
    <row r="331" spans="1:5" x14ac:dyDescent="0.4">
      <c r="A331">
        <v>446</v>
      </c>
      <c r="B331">
        <v>2</v>
      </c>
      <c r="C331">
        <v>4</v>
      </c>
      <c r="D331">
        <v>3</v>
      </c>
      <c r="E331">
        <v>2</v>
      </c>
    </row>
    <row r="332" spans="1:5" x14ac:dyDescent="0.4">
      <c r="A332">
        <v>447</v>
      </c>
      <c r="B332">
        <v>4</v>
      </c>
      <c r="C332">
        <v>3</v>
      </c>
      <c r="D332">
        <v>2</v>
      </c>
      <c r="E332">
        <v>3</v>
      </c>
    </row>
    <row r="333" spans="1:5" x14ac:dyDescent="0.4">
      <c r="A333">
        <v>449</v>
      </c>
      <c r="B333">
        <v>3</v>
      </c>
      <c r="C333">
        <v>2</v>
      </c>
      <c r="D333">
        <v>4</v>
      </c>
      <c r="E333">
        <v>3</v>
      </c>
    </row>
    <row r="334" spans="1:5" x14ac:dyDescent="0.4">
      <c r="A334">
        <v>452</v>
      </c>
      <c r="B334">
        <v>4</v>
      </c>
      <c r="C334">
        <v>4</v>
      </c>
      <c r="D334">
        <v>1</v>
      </c>
      <c r="E334">
        <v>3</v>
      </c>
    </row>
    <row r="335" spans="1:5" x14ac:dyDescent="0.4">
      <c r="A335">
        <v>453</v>
      </c>
      <c r="B335">
        <v>2</v>
      </c>
      <c r="C335">
        <v>4</v>
      </c>
      <c r="D335">
        <v>3</v>
      </c>
      <c r="E335">
        <v>2</v>
      </c>
    </row>
    <row r="336" spans="1:5" x14ac:dyDescent="0.4">
      <c r="A336">
        <v>896</v>
      </c>
      <c r="B336">
        <v>2</v>
      </c>
      <c r="C336">
        <v>3</v>
      </c>
      <c r="D336">
        <v>3</v>
      </c>
      <c r="E336">
        <v>3</v>
      </c>
    </row>
    <row r="337" spans="1:5" x14ac:dyDescent="0.4">
      <c r="A337">
        <v>454</v>
      </c>
      <c r="B337">
        <v>2</v>
      </c>
      <c r="C337">
        <v>1</v>
      </c>
      <c r="D337">
        <v>4</v>
      </c>
      <c r="E337">
        <v>2</v>
      </c>
    </row>
    <row r="338" spans="1:5" x14ac:dyDescent="0.4">
      <c r="A338">
        <v>455</v>
      </c>
      <c r="B338">
        <v>2</v>
      </c>
      <c r="C338">
        <v>4</v>
      </c>
      <c r="D338">
        <v>3</v>
      </c>
      <c r="E338">
        <v>3</v>
      </c>
    </row>
    <row r="339" spans="1:5" x14ac:dyDescent="0.4">
      <c r="A339">
        <v>460</v>
      </c>
      <c r="B339">
        <v>4</v>
      </c>
      <c r="C339">
        <v>4</v>
      </c>
      <c r="D339">
        <v>3</v>
      </c>
      <c r="E339">
        <v>2</v>
      </c>
    </row>
    <row r="340" spans="1:5" x14ac:dyDescent="0.4">
      <c r="A340">
        <v>1001</v>
      </c>
      <c r="B340">
        <v>3</v>
      </c>
      <c r="C340">
        <v>2</v>
      </c>
      <c r="D340">
        <v>2</v>
      </c>
      <c r="E340">
        <v>3</v>
      </c>
    </row>
    <row r="341" spans="1:5" x14ac:dyDescent="0.4">
      <c r="A341">
        <v>1605</v>
      </c>
      <c r="B341">
        <v>2</v>
      </c>
      <c r="C341">
        <v>3</v>
      </c>
      <c r="D341">
        <v>2</v>
      </c>
      <c r="E341">
        <v>2</v>
      </c>
    </row>
    <row r="342" spans="1:5" x14ac:dyDescent="0.4">
      <c r="A342">
        <v>461</v>
      </c>
      <c r="B342">
        <v>3</v>
      </c>
      <c r="C342">
        <v>4</v>
      </c>
      <c r="D342">
        <v>2</v>
      </c>
      <c r="E342">
        <v>3</v>
      </c>
    </row>
    <row r="343" spans="1:5" x14ac:dyDescent="0.4">
      <c r="A343">
        <v>464</v>
      </c>
      <c r="B343">
        <v>3</v>
      </c>
      <c r="C343">
        <v>2</v>
      </c>
      <c r="D343">
        <v>4</v>
      </c>
      <c r="E343">
        <v>3</v>
      </c>
    </row>
    <row r="344" spans="1:5" x14ac:dyDescent="0.4">
      <c r="A344">
        <v>465</v>
      </c>
      <c r="B344">
        <v>3</v>
      </c>
      <c r="C344">
        <v>4</v>
      </c>
      <c r="D344">
        <v>3</v>
      </c>
      <c r="E344">
        <v>2</v>
      </c>
    </row>
    <row r="345" spans="1:5" x14ac:dyDescent="0.4">
      <c r="A345">
        <v>1190</v>
      </c>
      <c r="B345">
        <v>3</v>
      </c>
      <c r="C345">
        <v>1</v>
      </c>
      <c r="D345">
        <v>3</v>
      </c>
      <c r="E345">
        <v>3</v>
      </c>
    </row>
    <row r="346" spans="1:5" x14ac:dyDescent="0.4">
      <c r="A346">
        <v>155</v>
      </c>
      <c r="B346">
        <v>1</v>
      </c>
      <c r="C346">
        <v>4</v>
      </c>
      <c r="D346">
        <v>1</v>
      </c>
      <c r="E346">
        <v>3</v>
      </c>
    </row>
    <row r="347" spans="1:5" x14ac:dyDescent="0.4">
      <c r="A347">
        <v>657</v>
      </c>
      <c r="B347">
        <v>4</v>
      </c>
      <c r="C347">
        <v>2</v>
      </c>
      <c r="D347">
        <v>4</v>
      </c>
      <c r="E347">
        <v>4</v>
      </c>
    </row>
    <row r="348" spans="1:5" x14ac:dyDescent="0.4">
      <c r="A348">
        <v>2010</v>
      </c>
      <c r="B348">
        <v>3</v>
      </c>
      <c r="C348">
        <v>2</v>
      </c>
      <c r="D348">
        <v>3</v>
      </c>
      <c r="E348">
        <v>3</v>
      </c>
    </row>
    <row r="349" spans="1:5" x14ac:dyDescent="0.4">
      <c r="A349">
        <v>1297</v>
      </c>
      <c r="B349">
        <v>2</v>
      </c>
      <c r="C349">
        <v>3</v>
      </c>
      <c r="D349">
        <v>2</v>
      </c>
      <c r="E349">
        <v>2</v>
      </c>
    </row>
    <row r="350" spans="1:5" x14ac:dyDescent="0.4">
      <c r="A350">
        <v>466</v>
      </c>
      <c r="B350">
        <v>4</v>
      </c>
      <c r="C350">
        <v>2</v>
      </c>
      <c r="D350">
        <v>4</v>
      </c>
      <c r="E350">
        <v>3</v>
      </c>
    </row>
    <row r="351" spans="1:5" x14ac:dyDescent="0.4">
      <c r="A351">
        <v>485</v>
      </c>
      <c r="B351">
        <v>4</v>
      </c>
      <c r="C351">
        <v>3</v>
      </c>
      <c r="D351">
        <v>2</v>
      </c>
      <c r="E351">
        <v>3</v>
      </c>
    </row>
    <row r="352" spans="1:5" x14ac:dyDescent="0.4">
      <c r="A352">
        <v>467</v>
      </c>
      <c r="B352">
        <v>2</v>
      </c>
      <c r="C352">
        <v>3</v>
      </c>
      <c r="D352">
        <v>1</v>
      </c>
      <c r="E352">
        <v>3</v>
      </c>
    </row>
    <row r="353" spans="1:5" x14ac:dyDescent="0.4">
      <c r="A353">
        <v>1875</v>
      </c>
      <c r="B353">
        <v>2</v>
      </c>
      <c r="C353">
        <v>2</v>
      </c>
      <c r="D353">
        <v>4</v>
      </c>
      <c r="E353">
        <v>3</v>
      </c>
    </row>
    <row r="354" spans="1:5" x14ac:dyDescent="0.4">
      <c r="A354">
        <v>469</v>
      </c>
      <c r="B354">
        <v>4</v>
      </c>
      <c r="C354">
        <v>3</v>
      </c>
      <c r="D354">
        <v>1</v>
      </c>
      <c r="E354">
        <v>2</v>
      </c>
    </row>
    <row r="355" spans="1:5" x14ac:dyDescent="0.4">
      <c r="A355">
        <v>470</v>
      </c>
      <c r="B355">
        <v>3</v>
      </c>
      <c r="C355">
        <v>3</v>
      </c>
      <c r="D355">
        <v>3</v>
      </c>
      <c r="E355">
        <v>3</v>
      </c>
    </row>
    <row r="356" spans="1:5" x14ac:dyDescent="0.4">
      <c r="A356">
        <v>474</v>
      </c>
      <c r="B356">
        <v>3</v>
      </c>
      <c r="C356">
        <v>1</v>
      </c>
      <c r="D356">
        <v>1</v>
      </c>
      <c r="E356">
        <v>3</v>
      </c>
    </row>
    <row r="357" spans="1:5" x14ac:dyDescent="0.4">
      <c r="A357">
        <v>1944</v>
      </c>
      <c r="B357">
        <v>1</v>
      </c>
      <c r="C357">
        <v>2</v>
      </c>
      <c r="D357">
        <v>1</v>
      </c>
      <c r="E357">
        <v>3</v>
      </c>
    </row>
    <row r="358" spans="1:5" x14ac:dyDescent="0.4">
      <c r="A358">
        <v>476</v>
      </c>
      <c r="B358">
        <v>3</v>
      </c>
      <c r="C358">
        <v>3</v>
      </c>
      <c r="D358">
        <v>2</v>
      </c>
      <c r="E358">
        <v>3</v>
      </c>
    </row>
    <row r="359" spans="1:5" x14ac:dyDescent="0.4">
      <c r="A359">
        <v>144</v>
      </c>
      <c r="B359">
        <v>2</v>
      </c>
      <c r="C359">
        <v>4</v>
      </c>
      <c r="D359">
        <v>3</v>
      </c>
      <c r="E359">
        <v>3</v>
      </c>
    </row>
    <row r="360" spans="1:5" x14ac:dyDescent="0.4">
      <c r="A360">
        <v>477</v>
      </c>
      <c r="B360">
        <v>1</v>
      </c>
      <c r="C360">
        <v>4</v>
      </c>
      <c r="D360">
        <v>2</v>
      </c>
      <c r="E360">
        <v>3</v>
      </c>
    </row>
    <row r="361" spans="1:5" x14ac:dyDescent="0.4">
      <c r="A361">
        <v>560</v>
      </c>
      <c r="B361">
        <v>1</v>
      </c>
      <c r="C361">
        <v>4</v>
      </c>
      <c r="D361">
        <v>2</v>
      </c>
      <c r="E361">
        <v>1</v>
      </c>
    </row>
    <row r="362" spans="1:5" x14ac:dyDescent="0.4">
      <c r="A362">
        <v>647</v>
      </c>
      <c r="B362">
        <v>1</v>
      </c>
      <c r="C362">
        <v>3</v>
      </c>
      <c r="D362">
        <v>4</v>
      </c>
      <c r="E362">
        <v>3</v>
      </c>
    </row>
    <row r="363" spans="1:5" x14ac:dyDescent="0.4">
      <c r="A363">
        <v>481</v>
      </c>
      <c r="B363">
        <v>1</v>
      </c>
      <c r="C363">
        <v>4</v>
      </c>
      <c r="D363">
        <v>1</v>
      </c>
      <c r="E363">
        <v>3</v>
      </c>
    </row>
    <row r="364" spans="1:5" x14ac:dyDescent="0.4">
      <c r="A364">
        <v>1969</v>
      </c>
      <c r="B364">
        <v>1</v>
      </c>
      <c r="C364">
        <v>3</v>
      </c>
      <c r="D364">
        <v>3</v>
      </c>
      <c r="E364">
        <v>2</v>
      </c>
    </row>
    <row r="365" spans="1:5" x14ac:dyDescent="0.4">
      <c r="A365">
        <v>482</v>
      </c>
      <c r="B365">
        <v>4</v>
      </c>
      <c r="C365">
        <v>3</v>
      </c>
      <c r="D365">
        <v>3</v>
      </c>
      <c r="E365">
        <v>3</v>
      </c>
    </row>
    <row r="366" spans="1:5" x14ac:dyDescent="0.4">
      <c r="A366">
        <v>484</v>
      </c>
      <c r="B366">
        <v>1</v>
      </c>
      <c r="C366">
        <v>4</v>
      </c>
      <c r="D366">
        <v>3</v>
      </c>
      <c r="E366">
        <v>2</v>
      </c>
    </row>
    <row r="367" spans="1:5" x14ac:dyDescent="0.4">
      <c r="A367">
        <v>5</v>
      </c>
      <c r="B367">
        <v>4</v>
      </c>
      <c r="C367">
        <v>3</v>
      </c>
      <c r="D367">
        <v>3</v>
      </c>
      <c r="E367">
        <v>3</v>
      </c>
    </row>
    <row r="368" spans="1:5" x14ac:dyDescent="0.4">
      <c r="A368">
        <v>488</v>
      </c>
      <c r="B368">
        <v>1</v>
      </c>
      <c r="C368">
        <v>2</v>
      </c>
      <c r="D368">
        <v>3</v>
      </c>
      <c r="E368">
        <v>3</v>
      </c>
    </row>
    <row r="369" spans="1:5" x14ac:dyDescent="0.4">
      <c r="A369">
        <v>491</v>
      </c>
      <c r="B369">
        <v>4</v>
      </c>
      <c r="C369">
        <v>4</v>
      </c>
      <c r="D369">
        <v>4</v>
      </c>
      <c r="E369">
        <v>3</v>
      </c>
    </row>
    <row r="370" spans="1:5" x14ac:dyDescent="0.4">
      <c r="A370">
        <v>338</v>
      </c>
      <c r="B370">
        <v>3</v>
      </c>
      <c r="C370">
        <v>4</v>
      </c>
      <c r="D370">
        <v>3</v>
      </c>
      <c r="E370">
        <v>2</v>
      </c>
    </row>
    <row r="371" spans="1:5" x14ac:dyDescent="0.4">
      <c r="A371">
        <v>137</v>
      </c>
      <c r="B371">
        <v>4</v>
      </c>
      <c r="C371">
        <v>4</v>
      </c>
      <c r="D371">
        <v>2</v>
      </c>
      <c r="E371">
        <v>3</v>
      </c>
    </row>
    <row r="372" spans="1:5" x14ac:dyDescent="0.4">
      <c r="A372">
        <v>1701</v>
      </c>
      <c r="B372">
        <v>2</v>
      </c>
      <c r="C372">
        <v>4</v>
      </c>
      <c r="D372">
        <v>2</v>
      </c>
      <c r="E372">
        <v>3</v>
      </c>
    </row>
    <row r="373" spans="1:5" x14ac:dyDescent="0.4">
      <c r="A373">
        <v>492</v>
      </c>
      <c r="B373">
        <v>3</v>
      </c>
      <c r="C373">
        <v>3</v>
      </c>
      <c r="D373">
        <v>1</v>
      </c>
      <c r="E373">
        <v>3</v>
      </c>
    </row>
    <row r="374" spans="1:5" x14ac:dyDescent="0.4">
      <c r="A374">
        <v>1893</v>
      </c>
      <c r="B374">
        <v>2</v>
      </c>
      <c r="C374">
        <v>3</v>
      </c>
      <c r="D374">
        <v>3</v>
      </c>
      <c r="E374">
        <v>2</v>
      </c>
    </row>
    <row r="375" spans="1:5" x14ac:dyDescent="0.4">
      <c r="A375">
        <v>493</v>
      </c>
      <c r="B375">
        <v>3</v>
      </c>
      <c r="C375">
        <v>2</v>
      </c>
      <c r="D375">
        <v>4</v>
      </c>
      <c r="E375">
        <v>3</v>
      </c>
    </row>
    <row r="376" spans="1:5" x14ac:dyDescent="0.4">
      <c r="A376">
        <v>495</v>
      </c>
      <c r="B376">
        <v>4</v>
      </c>
      <c r="C376">
        <v>4</v>
      </c>
      <c r="D376">
        <v>4</v>
      </c>
      <c r="E376">
        <v>3</v>
      </c>
    </row>
    <row r="377" spans="1:5" x14ac:dyDescent="0.4">
      <c r="A377">
        <v>496</v>
      </c>
      <c r="B377">
        <v>3</v>
      </c>
      <c r="C377">
        <v>2</v>
      </c>
      <c r="D377">
        <v>3</v>
      </c>
      <c r="E377">
        <v>3</v>
      </c>
    </row>
    <row r="378" spans="1:5" x14ac:dyDescent="0.4">
      <c r="A378">
        <v>177</v>
      </c>
      <c r="B378">
        <v>3</v>
      </c>
      <c r="C378">
        <v>3</v>
      </c>
      <c r="D378">
        <v>4</v>
      </c>
      <c r="E378">
        <v>3</v>
      </c>
    </row>
    <row r="379" spans="1:5" x14ac:dyDescent="0.4">
      <c r="A379">
        <v>1071</v>
      </c>
      <c r="B379">
        <v>1</v>
      </c>
      <c r="C379">
        <v>3</v>
      </c>
      <c r="D379">
        <v>2</v>
      </c>
      <c r="E379">
        <v>3</v>
      </c>
    </row>
    <row r="380" spans="1:5" x14ac:dyDescent="0.4">
      <c r="A380">
        <v>1409</v>
      </c>
      <c r="B380">
        <v>3</v>
      </c>
      <c r="C380">
        <v>1</v>
      </c>
      <c r="D380">
        <v>3</v>
      </c>
      <c r="E380">
        <v>1</v>
      </c>
    </row>
    <row r="381" spans="1:5" x14ac:dyDescent="0.4">
      <c r="A381">
        <v>497</v>
      </c>
      <c r="B381">
        <v>4</v>
      </c>
      <c r="C381">
        <v>2</v>
      </c>
      <c r="D381">
        <v>2</v>
      </c>
      <c r="E381">
        <v>3</v>
      </c>
    </row>
    <row r="382" spans="1:5" x14ac:dyDescent="0.4">
      <c r="A382">
        <v>498</v>
      </c>
      <c r="B382">
        <v>2</v>
      </c>
      <c r="C382">
        <v>4</v>
      </c>
      <c r="D382">
        <v>4</v>
      </c>
      <c r="E382">
        <v>3</v>
      </c>
    </row>
    <row r="383" spans="1:5" x14ac:dyDescent="0.4">
      <c r="A383">
        <v>499</v>
      </c>
      <c r="B383">
        <v>2</v>
      </c>
      <c r="C383">
        <v>3</v>
      </c>
      <c r="D383">
        <v>3</v>
      </c>
      <c r="E383">
        <v>3</v>
      </c>
    </row>
    <row r="384" spans="1:5" x14ac:dyDescent="0.4">
      <c r="A384">
        <v>2060</v>
      </c>
      <c r="B384">
        <v>4</v>
      </c>
      <c r="C384">
        <v>3</v>
      </c>
      <c r="D384">
        <v>4</v>
      </c>
      <c r="E384">
        <v>3</v>
      </c>
    </row>
    <row r="385" spans="1:5" x14ac:dyDescent="0.4">
      <c r="A385">
        <v>502</v>
      </c>
      <c r="B385">
        <v>1</v>
      </c>
      <c r="C385">
        <v>4</v>
      </c>
      <c r="D385">
        <v>2</v>
      </c>
      <c r="E385">
        <v>2</v>
      </c>
    </row>
    <row r="386" spans="1:5" x14ac:dyDescent="0.4">
      <c r="A386">
        <v>900</v>
      </c>
      <c r="B386">
        <v>3</v>
      </c>
      <c r="C386">
        <v>4</v>
      </c>
      <c r="D386">
        <v>2</v>
      </c>
      <c r="E386">
        <v>3</v>
      </c>
    </row>
    <row r="387" spans="1:5" x14ac:dyDescent="0.4">
      <c r="A387">
        <v>508</v>
      </c>
      <c r="B387">
        <v>3</v>
      </c>
      <c r="C387">
        <v>2</v>
      </c>
      <c r="D387">
        <v>1</v>
      </c>
      <c r="E387">
        <v>3</v>
      </c>
    </row>
    <row r="388" spans="1:5" x14ac:dyDescent="0.4">
      <c r="A388">
        <v>1709</v>
      </c>
      <c r="B388">
        <v>4</v>
      </c>
      <c r="C388">
        <v>3</v>
      </c>
      <c r="D388">
        <v>3</v>
      </c>
      <c r="E388">
        <v>3</v>
      </c>
    </row>
    <row r="389" spans="1:5" x14ac:dyDescent="0.4">
      <c r="A389">
        <v>510</v>
      </c>
      <c r="B389">
        <v>3</v>
      </c>
      <c r="C389">
        <v>1</v>
      </c>
      <c r="D389">
        <v>3</v>
      </c>
      <c r="E389">
        <v>3</v>
      </c>
    </row>
    <row r="390" spans="1:5" x14ac:dyDescent="0.4">
      <c r="A390">
        <v>2052</v>
      </c>
      <c r="B390">
        <v>3</v>
      </c>
      <c r="C390">
        <v>4</v>
      </c>
      <c r="D390">
        <v>4</v>
      </c>
      <c r="E390">
        <v>3</v>
      </c>
    </row>
    <row r="391" spans="1:5" x14ac:dyDescent="0.4">
      <c r="A391">
        <v>513</v>
      </c>
      <c r="B391">
        <v>2</v>
      </c>
      <c r="C391">
        <v>3</v>
      </c>
      <c r="D391">
        <v>2</v>
      </c>
      <c r="E391">
        <v>3</v>
      </c>
    </row>
    <row r="392" spans="1:5" x14ac:dyDescent="0.4">
      <c r="A392">
        <v>514</v>
      </c>
      <c r="B392">
        <v>3</v>
      </c>
      <c r="C392">
        <v>4</v>
      </c>
      <c r="D392">
        <v>3</v>
      </c>
      <c r="E392">
        <v>3</v>
      </c>
    </row>
    <row r="393" spans="1:5" x14ac:dyDescent="0.4">
      <c r="A393">
        <v>518</v>
      </c>
      <c r="B393">
        <v>3</v>
      </c>
      <c r="C393">
        <v>2</v>
      </c>
      <c r="D393">
        <v>4</v>
      </c>
      <c r="E393">
        <v>2</v>
      </c>
    </row>
    <row r="394" spans="1:5" x14ac:dyDescent="0.4">
      <c r="A394">
        <v>1269</v>
      </c>
      <c r="B394">
        <v>2</v>
      </c>
      <c r="C394">
        <v>4</v>
      </c>
      <c r="D394">
        <v>4</v>
      </c>
      <c r="E394">
        <v>3</v>
      </c>
    </row>
    <row r="395" spans="1:5" x14ac:dyDescent="0.4">
      <c r="A395">
        <v>520</v>
      </c>
      <c r="B395">
        <v>1</v>
      </c>
      <c r="C395">
        <v>2</v>
      </c>
      <c r="D395">
        <v>3</v>
      </c>
      <c r="E395">
        <v>3</v>
      </c>
    </row>
    <row r="396" spans="1:5" x14ac:dyDescent="0.4">
      <c r="A396">
        <v>522</v>
      </c>
      <c r="B396">
        <v>1</v>
      </c>
      <c r="C396">
        <v>1</v>
      </c>
      <c r="D396">
        <v>3</v>
      </c>
      <c r="E396">
        <v>2</v>
      </c>
    </row>
    <row r="397" spans="1:5" x14ac:dyDescent="0.4">
      <c r="A397">
        <v>525</v>
      </c>
      <c r="B397">
        <v>4</v>
      </c>
      <c r="C397">
        <v>4</v>
      </c>
      <c r="D397">
        <v>1</v>
      </c>
      <c r="E397">
        <v>3</v>
      </c>
    </row>
    <row r="398" spans="1:5" x14ac:dyDescent="0.4">
      <c r="A398">
        <v>530</v>
      </c>
      <c r="B398">
        <v>4</v>
      </c>
      <c r="C398">
        <v>1</v>
      </c>
      <c r="D398">
        <v>3</v>
      </c>
      <c r="E398">
        <v>3</v>
      </c>
    </row>
    <row r="399" spans="1:5" x14ac:dyDescent="0.4">
      <c r="A399">
        <v>26</v>
      </c>
      <c r="B399">
        <v>1</v>
      </c>
      <c r="C399">
        <v>3</v>
      </c>
      <c r="D399">
        <v>4</v>
      </c>
      <c r="E399">
        <v>2</v>
      </c>
    </row>
    <row r="400" spans="1:5" x14ac:dyDescent="0.4">
      <c r="A400">
        <v>57</v>
      </c>
      <c r="B400">
        <v>3</v>
      </c>
      <c r="C400">
        <v>4</v>
      </c>
      <c r="D400">
        <v>4</v>
      </c>
      <c r="E400">
        <v>3</v>
      </c>
    </row>
    <row r="401" spans="1:5" x14ac:dyDescent="0.4">
      <c r="A401">
        <v>75</v>
      </c>
      <c r="B401">
        <v>3</v>
      </c>
      <c r="C401">
        <v>1</v>
      </c>
      <c r="D401">
        <v>3</v>
      </c>
      <c r="E401">
        <v>3</v>
      </c>
    </row>
    <row r="402" spans="1:5" x14ac:dyDescent="0.4">
      <c r="A402">
        <v>942</v>
      </c>
      <c r="B402">
        <v>4</v>
      </c>
      <c r="C402">
        <v>4</v>
      </c>
      <c r="D402">
        <v>4</v>
      </c>
      <c r="E402">
        <v>1</v>
      </c>
    </row>
    <row r="403" spans="1:5" x14ac:dyDescent="0.4">
      <c r="A403">
        <v>531</v>
      </c>
      <c r="B403">
        <v>2</v>
      </c>
      <c r="C403">
        <v>3</v>
      </c>
      <c r="D403">
        <v>3</v>
      </c>
      <c r="E403">
        <v>3</v>
      </c>
    </row>
    <row r="404" spans="1:5" x14ac:dyDescent="0.4">
      <c r="A404">
        <v>1046</v>
      </c>
      <c r="B404">
        <v>4</v>
      </c>
      <c r="C404">
        <v>3</v>
      </c>
      <c r="D404">
        <v>2</v>
      </c>
      <c r="E404">
        <v>3</v>
      </c>
    </row>
    <row r="405" spans="1:5" x14ac:dyDescent="0.4">
      <c r="A405">
        <v>534</v>
      </c>
      <c r="B405">
        <v>2</v>
      </c>
      <c r="C405">
        <v>1</v>
      </c>
      <c r="D405">
        <v>3</v>
      </c>
      <c r="E405">
        <v>3</v>
      </c>
    </row>
    <row r="406" spans="1:5" x14ac:dyDescent="0.4">
      <c r="A406">
        <v>709</v>
      </c>
      <c r="B406">
        <v>4</v>
      </c>
      <c r="C406">
        <v>4</v>
      </c>
      <c r="D406">
        <v>1</v>
      </c>
      <c r="E406">
        <v>3</v>
      </c>
    </row>
    <row r="407" spans="1:5" x14ac:dyDescent="0.4">
      <c r="A407">
        <v>536</v>
      </c>
      <c r="B407">
        <v>3</v>
      </c>
      <c r="C407">
        <v>1</v>
      </c>
      <c r="D407">
        <v>4</v>
      </c>
      <c r="E407">
        <v>3</v>
      </c>
    </row>
    <row r="408" spans="1:5" x14ac:dyDescent="0.4">
      <c r="A408">
        <v>538</v>
      </c>
      <c r="B408">
        <v>1</v>
      </c>
      <c r="C408">
        <v>1</v>
      </c>
      <c r="D408">
        <v>3</v>
      </c>
      <c r="E408">
        <v>3</v>
      </c>
    </row>
    <row r="409" spans="1:5" x14ac:dyDescent="0.4">
      <c r="A409">
        <v>543</v>
      </c>
      <c r="B409">
        <v>4</v>
      </c>
      <c r="C409">
        <v>3</v>
      </c>
      <c r="D409">
        <v>3</v>
      </c>
      <c r="E409">
        <v>3</v>
      </c>
    </row>
    <row r="410" spans="1:5" x14ac:dyDescent="0.4">
      <c r="A410">
        <v>515</v>
      </c>
      <c r="B410">
        <v>4</v>
      </c>
      <c r="C410">
        <v>1</v>
      </c>
      <c r="D410">
        <v>3</v>
      </c>
      <c r="E410">
        <v>2</v>
      </c>
    </row>
    <row r="411" spans="1:5" x14ac:dyDescent="0.4">
      <c r="A411">
        <v>544</v>
      </c>
      <c r="B411">
        <v>1</v>
      </c>
      <c r="C411">
        <v>4</v>
      </c>
      <c r="D411">
        <v>4</v>
      </c>
      <c r="E411">
        <v>2</v>
      </c>
    </row>
    <row r="412" spans="1:5" x14ac:dyDescent="0.4">
      <c r="A412">
        <v>556</v>
      </c>
      <c r="B412">
        <v>4</v>
      </c>
      <c r="C412">
        <v>4</v>
      </c>
      <c r="D412">
        <v>3</v>
      </c>
      <c r="E412">
        <v>3</v>
      </c>
    </row>
    <row r="413" spans="1:5" x14ac:dyDescent="0.4">
      <c r="A413">
        <v>97</v>
      </c>
      <c r="B413">
        <v>2</v>
      </c>
      <c r="C413">
        <v>4</v>
      </c>
      <c r="D413">
        <v>2</v>
      </c>
      <c r="E413">
        <v>3</v>
      </c>
    </row>
    <row r="414" spans="1:5" x14ac:dyDescent="0.4">
      <c r="A414">
        <v>562</v>
      </c>
      <c r="B414">
        <v>3</v>
      </c>
      <c r="C414">
        <v>4</v>
      </c>
      <c r="D414">
        <v>3</v>
      </c>
      <c r="E414">
        <v>1</v>
      </c>
    </row>
    <row r="415" spans="1:5" x14ac:dyDescent="0.4">
      <c r="A415">
        <v>564</v>
      </c>
      <c r="B415">
        <v>2</v>
      </c>
      <c r="C415">
        <v>3</v>
      </c>
      <c r="D415">
        <v>3</v>
      </c>
      <c r="E415">
        <v>3</v>
      </c>
    </row>
    <row r="416" spans="1:5" x14ac:dyDescent="0.4">
      <c r="A416">
        <v>595</v>
      </c>
      <c r="B416">
        <v>2</v>
      </c>
      <c r="C416">
        <v>4</v>
      </c>
      <c r="D416">
        <v>1</v>
      </c>
      <c r="E416">
        <v>3</v>
      </c>
    </row>
    <row r="417" spans="1:5" x14ac:dyDescent="0.4">
      <c r="A417">
        <v>566</v>
      </c>
      <c r="B417">
        <v>1</v>
      </c>
      <c r="C417">
        <v>4</v>
      </c>
      <c r="D417">
        <v>3</v>
      </c>
      <c r="E417">
        <v>4</v>
      </c>
    </row>
    <row r="418" spans="1:5" x14ac:dyDescent="0.4">
      <c r="A418">
        <v>568</v>
      </c>
      <c r="B418">
        <v>1</v>
      </c>
      <c r="C418">
        <v>4</v>
      </c>
      <c r="D418">
        <v>3</v>
      </c>
      <c r="E418">
        <v>2</v>
      </c>
    </row>
    <row r="419" spans="1:5" x14ac:dyDescent="0.4">
      <c r="A419">
        <v>569</v>
      </c>
      <c r="B419">
        <v>2</v>
      </c>
      <c r="C419">
        <v>3</v>
      </c>
      <c r="D419">
        <v>2</v>
      </c>
      <c r="E419">
        <v>3</v>
      </c>
    </row>
    <row r="420" spans="1:5" x14ac:dyDescent="0.4">
      <c r="A420">
        <v>575</v>
      </c>
      <c r="B420">
        <v>1</v>
      </c>
      <c r="C420">
        <v>3</v>
      </c>
      <c r="D420">
        <v>3</v>
      </c>
      <c r="E420">
        <v>1</v>
      </c>
    </row>
    <row r="421" spans="1:5" x14ac:dyDescent="0.4">
      <c r="A421">
        <v>577</v>
      </c>
      <c r="B421">
        <v>4</v>
      </c>
      <c r="C421">
        <v>3</v>
      </c>
      <c r="D421">
        <v>3</v>
      </c>
      <c r="E421">
        <v>3</v>
      </c>
    </row>
    <row r="422" spans="1:5" x14ac:dyDescent="0.4">
      <c r="A422">
        <v>579</v>
      </c>
      <c r="B422">
        <v>4</v>
      </c>
      <c r="C422">
        <v>3</v>
      </c>
      <c r="D422">
        <v>3</v>
      </c>
      <c r="E422">
        <v>3</v>
      </c>
    </row>
    <row r="423" spans="1:5" x14ac:dyDescent="0.4">
      <c r="A423">
        <v>581</v>
      </c>
      <c r="B423">
        <v>3</v>
      </c>
      <c r="C423">
        <v>2</v>
      </c>
      <c r="D423">
        <v>4</v>
      </c>
      <c r="E423">
        <v>4</v>
      </c>
    </row>
    <row r="424" spans="1:5" x14ac:dyDescent="0.4">
      <c r="A424">
        <v>582</v>
      </c>
      <c r="B424">
        <v>2</v>
      </c>
      <c r="C424">
        <v>3</v>
      </c>
      <c r="D424">
        <v>4</v>
      </c>
      <c r="E424">
        <v>4</v>
      </c>
    </row>
    <row r="425" spans="1:5" x14ac:dyDescent="0.4">
      <c r="A425">
        <v>584</v>
      </c>
      <c r="B425">
        <v>1</v>
      </c>
      <c r="C425">
        <v>4</v>
      </c>
      <c r="D425">
        <v>1</v>
      </c>
      <c r="E425">
        <v>3</v>
      </c>
    </row>
    <row r="426" spans="1:5" x14ac:dyDescent="0.4">
      <c r="A426">
        <v>585</v>
      </c>
      <c r="B426">
        <v>4</v>
      </c>
      <c r="C426">
        <v>2</v>
      </c>
      <c r="D426">
        <v>1</v>
      </c>
      <c r="E426">
        <v>3</v>
      </c>
    </row>
    <row r="427" spans="1:5" x14ac:dyDescent="0.4">
      <c r="A427">
        <v>586</v>
      </c>
      <c r="B427">
        <v>4</v>
      </c>
      <c r="C427">
        <v>3</v>
      </c>
      <c r="D427">
        <v>3</v>
      </c>
      <c r="E427">
        <v>3</v>
      </c>
    </row>
    <row r="428" spans="1:5" x14ac:dyDescent="0.4">
      <c r="A428">
        <v>587</v>
      </c>
      <c r="B428">
        <v>1</v>
      </c>
      <c r="C428">
        <v>3</v>
      </c>
      <c r="D428">
        <v>1</v>
      </c>
      <c r="E428">
        <v>3</v>
      </c>
    </row>
    <row r="429" spans="1:5" x14ac:dyDescent="0.4">
      <c r="A429">
        <v>591</v>
      </c>
      <c r="B429">
        <v>2</v>
      </c>
      <c r="C429">
        <v>3</v>
      </c>
      <c r="D429">
        <v>4</v>
      </c>
      <c r="E429">
        <v>3</v>
      </c>
    </row>
    <row r="430" spans="1:5" x14ac:dyDescent="0.4">
      <c r="A430">
        <v>1402</v>
      </c>
      <c r="B430">
        <v>1</v>
      </c>
      <c r="C430">
        <v>3</v>
      </c>
      <c r="D430">
        <v>1</v>
      </c>
      <c r="E430">
        <v>1</v>
      </c>
    </row>
    <row r="431" spans="1:5" x14ac:dyDescent="0.4">
      <c r="A431">
        <v>1537</v>
      </c>
      <c r="B431">
        <v>4</v>
      </c>
      <c r="C431">
        <v>3</v>
      </c>
      <c r="D431">
        <v>1</v>
      </c>
      <c r="E431">
        <v>1</v>
      </c>
    </row>
    <row r="432" spans="1:5" x14ac:dyDescent="0.4">
      <c r="A432">
        <v>592</v>
      </c>
      <c r="B432">
        <v>2</v>
      </c>
      <c r="C432">
        <v>4</v>
      </c>
      <c r="D432">
        <v>4</v>
      </c>
      <c r="E432">
        <v>2</v>
      </c>
    </row>
    <row r="433" spans="1:5" x14ac:dyDescent="0.4">
      <c r="A433">
        <v>659</v>
      </c>
      <c r="B433">
        <v>3</v>
      </c>
      <c r="C433">
        <v>4</v>
      </c>
      <c r="D433">
        <v>2</v>
      </c>
      <c r="E433">
        <v>3</v>
      </c>
    </row>
    <row r="434" spans="1:5" x14ac:dyDescent="0.4">
      <c r="A434">
        <v>593</v>
      </c>
      <c r="B434">
        <v>3</v>
      </c>
      <c r="C434">
        <v>3</v>
      </c>
      <c r="D434">
        <v>3</v>
      </c>
      <c r="E434">
        <v>3</v>
      </c>
    </row>
    <row r="435" spans="1:5" x14ac:dyDescent="0.4">
      <c r="A435">
        <v>1349</v>
      </c>
      <c r="B435">
        <v>3</v>
      </c>
      <c r="C435">
        <v>1</v>
      </c>
      <c r="D435">
        <v>4</v>
      </c>
      <c r="E435">
        <v>3</v>
      </c>
    </row>
    <row r="436" spans="1:5" x14ac:dyDescent="0.4">
      <c r="A436">
        <v>599</v>
      </c>
      <c r="B436">
        <v>4</v>
      </c>
      <c r="C436">
        <v>4</v>
      </c>
      <c r="D436">
        <v>4</v>
      </c>
      <c r="E436">
        <v>3</v>
      </c>
    </row>
    <row r="437" spans="1:5" x14ac:dyDescent="0.4">
      <c r="A437">
        <v>1062</v>
      </c>
      <c r="B437">
        <v>4</v>
      </c>
      <c r="C437">
        <v>2</v>
      </c>
      <c r="D437">
        <v>1</v>
      </c>
      <c r="E437">
        <v>2</v>
      </c>
    </row>
    <row r="438" spans="1:5" x14ac:dyDescent="0.4">
      <c r="A438">
        <v>600</v>
      </c>
      <c r="B438">
        <v>2</v>
      </c>
      <c r="C438">
        <v>3</v>
      </c>
      <c r="D438">
        <v>3</v>
      </c>
      <c r="E438">
        <v>3</v>
      </c>
    </row>
    <row r="439" spans="1:5" x14ac:dyDescent="0.4">
      <c r="A439">
        <v>604</v>
      </c>
      <c r="B439">
        <v>2</v>
      </c>
      <c r="C439">
        <v>4</v>
      </c>
      <c r="D439">
        <v>3</v>
      </c>
      <c r="E439">
        <v>4</v>
      </c>
    </row>
    <row r="440" spans="1:5" x14ac:dyDescent="0.4">
      <c r="A440">
        <v>605</v>
      </c>
      <c r="B440">
        <v>4</v>
      </c>
      <c r="C440">
        <v>1</v>
      </c>
      <c r="D440">
        <v>4</v>
      </c>
      <c r="E440">
        <v>2</v>
      </c>
    </row>
    <row r="441" spans="1:5" x14ac:dyDescent="0.4">
      <c r="A441">
        <v>606</v>
      </c>
      <c r="B441">
        <v>4</v>
      </c>
      <c r="C441">
        <v>2</v>
      </c>
      <c r="D441">
        <v>2</v>
      </c>
      <c r="E441">
        <v>4</v>
      </c>
    </row>
    <row r="442" spans="1:5" x14ac:dyDescent="0.4">
      <c r="A442">
        <v>1192</v>
      </c>
      <c r="B442">
        <v>2</v>
      </c>
      <c r="C442">
        <v>4</v>
      </c>
      <c r="D442">
        <v>1</v>
      </c>
      <c r="E442">
        <v>3</v>
      </c>
    </row>
    <row r="443" spans="1:5" x14ac:dyDescent="0.4">
      <c r="A443">
        <v>248</v>
      </c>
      <c r="B443">
        <v>2</v>
      </c>
      <c r="C443">
        <v>2</v>
      </c>
      <c r="D443">
        <v>4</v>
      </c>
      <c r="E443">
        <v>2</v>
      </c>
    </row>
    <row r="444" spans="1:5" x14ac:dyDescent="0.4">
      <c r="A444">
        <v>611</v>
      </c>
      <c r="B444">
        <v>4</v>
      </c>
      <c r="C444">
        <v>4</v>
      </c>
      <c r="D444">
        <v>2</v>
      </c>
      <c r="E444">
        <v>4</v>
      </c>
    </row>
    <row r="445" spans="1:5" x14ac:dyDescent="0.4">
      <c r="A445">
        <v>1011</v>
      </c>
      <c r="B445">
        <v>3</v>
      </c>
      <c r="C445">
        <v>1</v>
      </c>
      <c r="D445">
        <v>3</v>
      </c>
      <c r="E445">
        <v>3</v>
      </c>
    </row>
    <row r="446" spans="1:5" x14ac:dyDescent="0.4">
      <c r="A446">
        <v>1630</v>
      </c>
      <c r="B446">
        <v>3</v>
      </c>
      <c r="C446">
        <v>3</v>
      </c>
      <c r="D446">
        <v>4</v>
      </c>
      <c r="E446">
        <v>3</v>
      </c>
    </row>
    <row r="447" spans="1:5" x14ac:dyDescent="0.4">
      <c r="A447">
        <v>813</v>
      </c>
      <c r="B447">
        <v>4</v>
      </c>
      <c r="C447">
        <v>3</v>
      </c>
      <c r="D447">
        <v>2</v>
      </c>
      <c r="E447">
        <v>3</v>
      </c>
    </row>
    <row r="448" spans="1:5" x14ac:dyDescent="0.4">
      <c r="A448">
        <v>613</v>
      </c>
      <c r="B448">
        <v>3</v>
      </c>
      <c r="C448">
        <v>4</v>
      </c>
      <c r="D448">
        <v>3</v>
      </c>
      <c r="E448">
        <v>2</v>
      </c>
    </row>
    <row r="449" spans="1:5" x14ac:dyDescent="0.4">
      <c r="A449">
        <v>72</v>
      </c>
      <c r="B449">
        <v>3</v>
      </c>
      <c r="C449">
        <v>4</v>
      </c>
      <c r="D449">
        <v>3</v>
      </c>
      <c r="E449">
        <v>2</v>
      </c>
    </row>
    <row r="450" spans="1:5" x14ac:dyDescent="0.4">
      <c r="A450">
        <v>614</v>
      </c>
      <c r="B450">
        <v>2</v>
      </c>
      <c r="C450">
        <v>2</v>
      </c>
      <c r="D450">
        <v>4</v>
      </c>
      <c r="E450">
        <v>3</v>
      </c>
    </row>
    <row r="451" spans="1:5" x14ac:dyDescent="0.4">
      <c r="A451">
        <v>615</v>
      </c>
      <c r="B451">
        <v>3</v>
      </c>
      <c r="C451">
        <v>1</v>
      </c>
      <c r="D451">
        <v>3</v>
      </c>
      <c r="E451">
        <v>3</v>
      </c>
    </row>
    <row r="452" spans="1:5" x14ac:dyDescent="0.4">
      <c r="A452">
        <v>618</v>
      </c>
      <c r="B452">
        <v>1</v>
      </c>
      <c r="C452">
        <v>3</v>
      </c>
      <c r="D452">
        <v>1</v>
      </c>
      <c r="E452">
        <v>3</v>
      </c>
    </row>
    <row r="453" spans="1:5" x14ac:dyDescent="0.4">
      <c r="A453">
        <v>1445</v>
      </c>
      <c r="B453">
        <v>4</v>
      </c>
      <c r="C453">
        <v>3</v>
      </c>
      <c r="D453">
        <v>3</v>
      </c>
      <c r="E453">
        <v>3</v>
      </c>
    </row>
    <row r="454" spans="1:5" x14ac:dyDescent="0.4">
      <c r="A454">
        <v>1003</v>
      </c>
      <c r="B454">
        <v>4</v>
      </c>
      <c r="C454">
        <v>4</v>
      </c>
      <c r="D454">
        <v>3</v>
      </c>
      <c r="E454">
        <v>3</v>
      </c>
    </row>
    <row r="455" spans="1:5" x14ac:dyDescent="0.4">
      <c r="A455">
        <v>926</v>
      </c>
      <c r="B455">
        <v>2</v>
      </c>
      <c r="C455">
        <v>3</v>
      </c>
      <c r="D455">
        <v>1</v>
      </c>
      <c r="E455">
        <v>4</v>
      </c>
    </row>
    <row r="456" spans="1:5" x14ac:dyDescent="0.4">
      <c r="A456">
        <v>621</v>
      </c>
      <c r="B456">
        <v>4</v>
      </c>
      <c r="C456">
        <v>4</v>
      </c>
      <c r="D456">
        <v>4</v>
      </c>
      <c r="E456">
        <v>3</v>
      </c>
    </row>
    <row r="457" spans="1:5" x14ac:dyDescent="0.4">
      <c r="A457">
        <v>1513</v>
      </c>
      <c r="B457">
        <v>4</v>
      </c>
      <c r="C457">
        <v>2</v>
      </c>
      <c r="D457">
        <v>3</v>
      </c>
      <c r="E457">
        <v>3</v>
      </c>
    </row>
    <row r="458" spans="1:5" x14ac:dyDescent="0.4">
      <c r="A458">
        <v>622</v>
      </c>
      <c r="B458">
        <v>3</v>
      </c>
      <c r="C458">
        <v>4</v>
      </c>
      <c r="D458">
        <v>2</v>
      </c>
      <c r="E458">
        <v>1</v>
      </c>
    </row>
    <row r="459" spans="1:5" x14ac:dyDescent="0.4">
      <c r="A459">
        <v>626</v>
      </c>
      <c r="B459">
        <v>1</v>
      </c>
      <c r="C459">
        <v>2</v>
      </c>
      <c r="D459">
        <v>4</v>
      </c>
      <c r="E459">
        <v>3</v>
      </c>
    </row>
    <row r="460" spans="1:5" x14ac:dyDescent="0.4">
      <c r="A460">
        <v>15</v>
      </c>
      <c r="B460">
        <v>4</v>
      </c>
      <c r="C460">
        <v>3</v>
      </c>
      <c r="D460">
        <v>4</v>
      </c>
      <c r="E460">
        <v>3</v>
      </c>
    </row>
    <row r="461" spans="1:5" x14ac:dyDescent="0.4">
      <c r="A461">
        <v>630</v>
      </c>
      <c r="B461">
        <v>4</v>
      </c>
      <c r="C461">
        <v>1</v>
      </c>
      <c r="D461">
        <v>2</v>
      </c>
      <c r="E461">
        <v>3</v>
      </c>
    </row>
    <row r="462" spans="1:5" x14ac:dyDescent="0.4">
      <c r="A462">
        <v>1683</v>
      </c>
      <c r="B462">
        <v>3</v>
      </c>
      <c r="C462">
        <v>4</v>
      </c>
      <c r="D462">
        <v>1</v>
      </c>
      <c r="E462">
        <v>3</v>
      </c>
    </row>
    <row r="463" spans="1:5" x14ac:dyDescent="0.4">
      <c r="A463">
        <v>631</v>
      </c>
      <c r="B463">
        <v>4</v>
      </c>
      <c r="C463">
        <v>3</v>
      </c>
      <c r="D463">
        <v>4</v>
      </c>
      <c r="E463">
        <v>3</v>
      </c>
    </row>
    <row r="464" spans="1:5" x14ac:dyDescent="0.4">
      <c r="A464">
        <v>632</v>
      </c>
      <c r="B464">
        <v>4</v>
      </c>
      <c r="C464">
        <v>4</v>
      </c>
      <c r="D464">
        <v>3</v>
      </c>
      <c r="E464">
        <v>3</v>
      </c>
    </row>
    <row r="465" spans="1:5" x14ac:dyDescent="0.4">
      <c r="A465">
        <v>638</v>
      </c>
      <c r="B465">
        <v>4</v>
      </c>
      <c r="C465">
        <v>3</v>
      </c>
      <c r="D465">
        <v>3</v>
      </c>
      <c r="E465">
        <v>3</v>
      </c>
    </row>
    <row r="466" spans="1:5" x14ac:dyDescent="0.4">
      <c r="A466">
        <v>1583</v>
      </c>
      <c r="B466">
        <v>2</v>
      </c>
      <c r="C466">
        <v>2</v>
      </c>
      <c r="D466">
        <v>2</v>
      </c>
      <c r="E466">
        <v>4</v>
      </c>
    </row>
    <row r="467" spans="1:5" x14ac:dyDescent="0.4">
      <c r="A467">
        <v>190</v>
      </c>
      <c r="B467">
        <v>1</v>
      </c>
      <c r="C467">
        <v>1</v>
      </c>
      <c r="D467">
        <v>1</v>
      </c>
      <c r="E467">
        <v>4</v>
      </c>
    </row>
    <row r="468" spans="1:5" x14ac:dyDescent="0.4">
      <c r="A468">
        <v>639</v>
      </c>
      <c r="B468">
        <v>2</v>
      </c>
      <c r="C468">
        <v>4</v>
      </c>
      <c r="D468">
        <v>2</v>
      </c>
      <c r="E468">
        <v>3</v>
      </c>
    </row>
    <row r="469" spans="1:5" x14ac:dyDescent="0.4">
      <c r="A469">
        <v>554</v>
      </c>
      <c r="B469">
        <v>1</v>
      </c>
      <c r="C469">
        <v>2</v>
      </c>
      <c r="D469">
        <v>2</v>
      </c>
      <c r="E469">
        <v>3</v>
      </c>
    </row>
    <row r="470" spans="1:5" x14ac:dyDescent="0.4">
      <c r="A470">
        <v>197</v>
      </c>
      <c r="B470">
        <v>4</v>
      </c>
      <c r="C470">
        <v>1</v>
      </c>
      <c r="D470">
        <v>4</v>
      </c>
      <c r="E470">
        <v>3</v>
      </c>
    </row>
    <row r="471" spans="1:5" x14ac:dyDescent="0.4">
      <c r="A471">
        <v>641</v>
      </c>
      <c r="B471">
        <v>1</v>
      </c>
      <c r="C471">
        <v>2</v>
      </c>
      <c r="D471">
        <v>4</v>
      </c>
      <c r="E471">
        <v>4</v>
      </c>
    </row>
    <row r="472" spans="1:5" x14ac:dyDescent="0.4">
      <c r="A472">
        <v>1617</v>
      </c>
      <c r="B472">
        <v>3</v>
      </c>
      <c r="C472">
        <v>1</v>
      </c>
      <c r="D472">
        <v>4</v>
      </c>
      <c r="E472">
        <v>2</v>
      </c>
    </row>
    <row r="473" spans="1:5" x14ac:dyDescent="0.4">
      <c r="A473">
        <v>316</v>
      </c>
      <c r="B473">
        <v>3</v>
      </c>
      <c r="C473">
        <v>4</v>
      </c>
      <c r="D473">
        <v>2</v>
      </c>
      <c r="E473">
        <v>2</v>
      </c>
    </row>
    <row r="474" spans="1:5" x14ac:dyDescent="0.4">
      <c r="A474">
        <v>643</v>
      </c>
      <c r="B474">
        <v>4</v>
      </c>
      <c r="C474">
        <v>2</v>
      </c>
      <c r="D474">
        <v>4</v>
      </c>
      <c r="E474">
        <v>3</v>
      </c>
    </row>
    <row r="475" spans="1:5" x14ac:dyDescent="0.4">
      <c r="A475">
        <v>644</v>
      </c>
      <c r="B475">
        <v>1</v>
      </c>
      <c r="C475">
        <v>2</v>
      </c>
      <c r="D475">
        <v>3</v>
      </c>
      <c r="E475">
        <v>3</v>
      </c>
    </row>
    <row r="476" spans="1:5" x14ac:dyDescent="0.4">
      <c r="A476">
        <v>645</v>
      </c>
      <c r="B476">
        <v>2</v>
      </c>
      <c r="C476">
        <v>3</v>
      </c>
      <c r="D476">
        <v>3</v>
      </c>
      <c r="E476">
        <v>3</v>
      </c>
    </row>
    <row r="477" spans="1:5" x14ac:dyDescent="0.4">
      <c r="A477">
        <v>1027</v>
      </c>
      <c r="B477">
        <v>1</v>
      </c>
      <c r="C477">
        <v>4</v>
      </c>
      <c r="D477">
        <v>2</v>
      </c>
      <c r="E477">
        <v>3</v>
      </c>
    </row>
    <row r="478" spans="1:5" x14ac:dyDescent="0.4">
      <c r="A478">
        <v>648</v>
      </c>
      <c r="B478">
        <v>2</v>
      </c>
      <c r="C478">
        <v>1</v>
      </c>
      <c r="D478">
        <v>3</v>
      </c>
      <c r="E478">
        <v>4</v>
      </c>
    </row>
    <row r="479" spans="1:5" x14ac:dyDescent="0.4">
      <c r="A479">
        <v>649</v>
      </c>
      <c r="B479">
        <v>2</v>
      </c>
      <c r="C479">
        <v>4</v>
      </c>
      <c r="D479">
        <v>4</v>
      </c>
      <c r="E479">
        <v>3</v>
      </c>
    </row>
    <row r="480" spans="1:5" x14ac:dyDescent="0.4">
      <c r="A480">
        <v>650</v>
      </c>
      <c r="B480">
        <v>2</v>
      </c>
      <c r="C480">
        <v>1</v>
      </c>
      <c r="D480">
        <v>3</v>
      </c>
      <c r="E480">
        <v>1</v>
      </c>
    </row>
    <row r="481" spans="1:5" x14ac:dyDescent="0.4">
      <c r="A481">
        <v>652</v>
      </c>
      <c r="B481">
        <v>1</v>
      </c>
      <c r="C481">
        <v>4</v>
      </c>
      <c r="D481">
        <v>4</v>
      </c>
      <c r="E481">
        <v>3</v>
      </c>
    </row>
    <row r="482" spans="1:5" x14ac:dyDescent="0.4">
      <c r="A482">
        <v>653</v>
      </c>
      <c r="B482">
        <v>1</v>
      </c>
      <c r="C482">
        <v>4</v>
      </c>
      <c r="D482">
        <v>4</v>
      </c>
      <c r="E482">
        <v>4</v>
      </c>
    </row>
    <row r="483" spans="1:5" x14ac:dyDescent="0.4">
      <c r="A483">
        <v>807</v>
      </c>
      <c r="B483">
        <v>3</v>
      </c>
      <c r="C483">
        <v>2</v>
      </c>
      <c r="D483">
        <v>4</v>
      </c>
      <c r="E483">
        <v>3</v>
      </c>
    </row>
    <row r="484" spans="1:5" x14ac:dyDescent="0.4">
      <c r="A484">
        <v>656</v>
      </c>
      <c r="B484">
        <v>4</v>
      </c>
      <c r="C484">
        <v>3</v>
      </c>
      <c r="D484">
        <v>3</v>
      </c>
      <c r="E484">
        <v>2</v>
      </c>
    </row>
    <row r="485" spans="1:5" x14ac:dyDescent="0.4">
      <c r="A485">
        <v>661</v>
      </c>
      <c r="B485">
        <v>2</v>
      </c>
      <c r="C485">
        <v>4</v>
      </c>
      <c r="D485">
        <v>3</v>
      </c>
      <c r="E485">
        <v>2</v>
      </c>
    </row>
    <row r="486" spans="1:5" x14ac:dyDescent="0.4">
      <c r="A486">
        <v>241</v>
      </c>
      <c r="B486">
        <v>3</v>
      </c>
      <c r="C486">
        <v>1</v>
      </c>
      <c r="D486">
        <v>3</v>
      </c>
      <c r="E486">
        <v>3</v>
      </c>
    </row>
    <row r="487" spans="1:5" x14ac:dyDescent="0.4">
      <c r="A487">
        <v>663</v>
      </c>
      <c r="B487">
        <v>4</v>
      </c>
      <c r="C487">
        <v>3</v>
      </c>
      <c r="D487">
        <v>2</v>
      </c>
      <c r="E487">
        <v>3</v>
      </c>
    </row>
    <row r="488" spans="1:5" x14ac:dyDescent="0.4">
      <c r="A488">
        <v>507</v>
      </c>
      <c r="B488">
        <v>4</v>
      </c>
      <c r="C488">
        <v>3</v>
      </c>
      <c r="D488">
        <v>4</v>
      </c>
      <c r="E488">
        <v>4</v>
      </c>
    </row>
    <row r="489" spans="1:5" x14ac:dyDescent="0.4">
      <c r="A489">
        <v>667</v>
      </c>
      <c r="B489">
        <v>3</v>
      </c>
      <c r="C489">
        <v>1</v>
      </c>
      <c r="D489">
        <v>2</v>
      </c>
      <c r="E489">
        <v>3</v>
      </c>
    </row>
    <row r="490" spans="1:5" x14ac:dyDescent="0.4">
      <c r="A490">
        <v>669</v>
      </c>
      <c r="B490">
        <v>3</v>
      </c>
      <c r="C490">
        <v>3</v>
      </c>
      <c r="D490">
        <v>3</v>
      </c>
      <c r="E490">
        <v>3</v>
      </c>
    </row>
    <row r="491" spans="1:5" x14ac:dyDescent="0.4">
      <c r="A491">
        <v>797</v>
      </c>
      <c r="B491">
        <v>2</v>
      </c>
      <c r="C491">
        <v>4</v>
      </c>
      <c r="D491">
        <v>3</v>
      </c>
      <c r="E491">
        <v>3</v>
      </c>
    </row>
    <row r="492" spans="1:5" x14ac:dyDescent="0.4">
      <c r="A492">
        <v>671</v>
      </c>
      <c r="B492">
        <v>4</v>
      </c>
      <c r="C492">
        <v>4</v>
      </c>
      <c r="D492">
        <v>1</v>
      </c>
      <c r="E492">
        <v>4</v>
      </c>
    </row>
    <row r="493" spans="1:5" x14ac:dyDescent="0.4">
      <c r="A493">
        <v>675</v>
      </c>
      <c r="B493">
        <v>1</v>
      </c>
      <c r="C493">
        <v>3</v>
      </c>
      <c r="D493">
        <v>4</v>
      </c>
      <c r="E493">
        <v>3</v>
      </c>
    </row>
    <row r="494" spans="1:5" x14ac:dyDescent="0.4">
      <c r="A494">
        <v>677</v>
      </c>
      <c r="B494">
        <v>3</v>
      </c>
      <c r="C494">
        <v>3</v>
      </c>
      <c r="D494">
        <v>4</v>
      </c>
      <c r="E494">
        <v>3</v>
      </c>
    </row>
    <row r="495" spans="1:5" x14ac:dyDescent="0.4">
      <c r="A495">
        <v>684</v>
      </c>
      <c r="B495">
        <v>1</v>
      </c>
      <c r="C495">
        <v>1</v>
      </c>
      <c r="D495">
        <v>4</v>
      </c>
      <c r="E495">
        <v>3</v>
      </c>
    </row>
    <row r="496" spans="1:5" x14ac:dyDescent="0.4">
      <c r="A496">
        <v>1143</v>
      </c>
      <c r="B496">
        <v>4</v>
      </c>
      <c r="C496">
        <v>2</v>
      </c>
      <c r="D496">
        <v>4</v>
      </c>
      <c r="E496">
        <v>2</v>
      </c>
    </row>
    <row r="497" spans="1:5" x14ac:dyDescent="0.4">
      <c r="A497">
        <v>925</v>
      </c>
      <c r="B497">
        <v>4</v>
      </c>
      <c r="C497">
        <v>4</v>
      </c>
      <c r="D497">
        <v>1</v>
      </c>
      <c r="E497">
        <v>2</v>
      </c>
    </row>
    <row r="498" spans="1:5" x14ac:dyDescent="0.4">
      <c r="A498">
        <v>1447</v>
      </c>
      <c r="B498">
        <v>4</v>
      </c>
      <c r="C498">
        <v>2</v>
      </c>
      <c r="D498">
        <v>1</v>
      </c>
      <c r="E498">
        <v>2</v>
      </c>
    </row>
    <row r="499" spans="1:5" x14ac:dyDescent="0.4">
      <c r="A499">
        <v>683</v>
      </c>
      <c r="B499">
        <v>2</v>
      </c>
      <c r="C499">
        <v>4</v>
      </c>
      <c r="D499">
        <v>4</v>
      </c>
      <c r="E499">
        <v>2</v>
      </c>
    </row>
    <row r="500" spans="1:5" x14ac:dyDescent="0.4">
      <c r="A500">
        <v>1735</v>
      </c>
      <c r="B500">
        <v>3</v>
      </c>
      <c r="C500">
        <v>2</v>
      </c>
      <c r="D500">
        <v>3</v>
      </c>
      <c r="E500">
        <v>1</v>
      </c>
    </row>
    <row r="501" spans="1:5" x14ac:dyDescent="0.4">
      <c r="A501">
        <v>689</v>
      </c>
      <c r="B501">
        <v>3</v>
      </c>
      <c r="C501">
        <v>3</v>
      </c>
      <c r="D501">
        <v>3</v>
      </c>
      <c r="E501">
        <v>3</v>
      </c>
    </row>
    <row r="502" spans="1:5" x14ac:dyDescent="0.4">
      <c r="A502">
        <v>691</v>
      </c>
      <c r="B502">
        <v>2</v>
      </c>
      <c r="C502">
        <v>4</v>
      </c>
      <c r="D502">
        <v>2</v>
      </c>
      <c r="E502">
        <v>3</v>
      </c>
    </row>
    <row r="503" spans="1:5" x14ac:dyDescent="0.4">
      <c r="A503">
        <v>1114</v>
      </c>
      <c r="B503">
        <v>4</v>
      </c>
      <c r="C503">
        <v>2</v>
      </c>
      <c r="D503">
        <v>3</v>
      </c>
      <c r="E503">
        <v>3</v>
      </c>
    </row>
    <row r="504" spans="1:5" x14ac:dyDescent="0.4">
      <c r="A504">
        <v>1687</v>
      </c>
      <c r="B504">
        <v>4</v>
      </c>
      <c r="C504">
        <v>3</v>
      </c>
      <c r="D504">
        <v>4</v>
      </c>
      <c r="E504">
        <v>2</v>
      </c>
    </row>
    <row r="505" spans="1:5" x14ac:dyDescent="0.4">
      <c r="A505">
        <v>524</v>
      </c>
      <c r="B505">
        <v>2</v>
      </c>
      <c r="C505">
        <v>1</v>
      </c>
      <c r="D505">
        <v>2</v>
      </c>
      <c r="E505">
        <v>1</v>
      </c>
    </row>
    <row r="506" spans="1:5" x14ac:dyDescent="0.4">
      <c r="A506">
        <v>692</v>
      </c>
      <c r="B506">
        <v>3</v>
      </c>
      <c r="C506">
        <v>4</v>
      </c>
      <c r="D506">
        <v>3</v>
      </c>
      <c r="E506">
        <v>1</v>
      </c>
    </row>
    <row r="507" spans="1:5" x14ac:dyDescent="0.4">
      <c r="A507">
        <v>395</v>
      </c>
      <c r="B507">
        <v>4</v>
      </c>
      <c r="C507">
        <v>4</v>
      </c>
      <c r="D507">
        <v>4</v>
      </c>
      <c r="E507">
        <v>3</v>
      </c>
    </row>
    <row r="508" spans="1:5" x14ac:dyDescent="0.4">
      <c r="A508">
        <v>1607</v>
      </c>
      <c r="B508">
        <v>2</v>
      </c>
      <c r="C508">
        <v>4</v>
      </c>
      <c r="D508">
        <v>4</v>
      </c>
      <c r="E508">
        <v>3</v>
      </c>
    </row>
    <row r="509" spans="1:5" x14ac:dyDescent="0.4">
      <c r="A509">
        <v>698</v>
      </c>
      <c r="B509">
        <v>3</v>
      </c>
      <c r="C509">
        <v>2</v>
      </c>
      <c r="D509">
        <v>3</v>
      </c>
      <c r="E509">
        <v>4</v>
      </c>
    </row>
    <row r="510" spans="1:5" x14ac:dyDescent="0.4">
      <c r="A510">
        <v>193</v>
      </c>
      <c r="B510">
        <v>4</v>
      </c>
      <c r="C510">
        <v>3</v>
      </c>
      <c r="D510">
        <v>2</v>
      </c>
      <c r="E510">
        <v>3</v>
      </c>
    </row>
    <row r="511" spans="1:5" x14ac:dyDescent="0.4">
      <c r="A511">
        <v>699</v>
      </c>
      <c r="B511">
        <v>2</v>
      </c>
      <c r="C511">
        <v>2</v>
      </c>
      <c r="D511">
        <v>3</v>
      </c>
      <c r="E511">
        <v>3</v>
      </c>
    </row>
    <row r="512" spans="1:5" x14ac:dyDescent="0.4">
      <c r="A512">
        <v>700</v>
      </c>
      <c r="B512">
        <v>1</v>
      </c>
      <c r="C512">
        <v>4</v>
      </c>
      <c r="D512">
        <v>4</v>
      </c>
      <c r="E512">
        <v>3</v>
      </c>
    </row>
    <row r="513" spans="1:5" x14ac:dyDescent="0.4">
      <c r="A513">
        <v>702</v>
      </c>
      <c r="B513">
        <v>1</v>
      </c>
      <c r="C513">
        <v>1</v>
      </c>
      <c r="D513">
        <v>1</v>
      </c>
      <c r="E513">
        <v>3</v>
      </c>
    </row>
    <row r="514" spans="1:5" x14ac:dyDescent="0.4">
      <c r="A514">
        <v>705</v>
      </c>
      <c r="B514">
        <v>1</v>
      </c>
      <c r="C514">
        <v>1</v>
      </c>
      <c r="D514">
        <v>1</v>
      </c>
      <c r="E514">
        <v>4</v>
      </c>
    </row>
    <row r="515" spans="1:5" x14ac:dyDescent="0.4">
      <c r="A515">
        <v>707</v>
      </c>
      <c r="B515">
        <v>4</v>
      </c>
      <c r="C515">
        <v>2</v>
      </c>
      <c r="D515">
        <v>3</v>
      </c>
      <c r="E515">
        <v>3</v>
      </c>
    </row>
    <row r="516" spans="1:5" x14ac:dyDescent="0.4">
      <c r="A516">
        <v>710</v>
      </c>
      <c r="B516">
        <v>2</v>
      </c>
      <c r="C516">
        <v>4</v>
      </c>
      <c r="D516">
        <v>4</v>
      </c>
      <c r="E516">
        <v>3</v>
      </c>
    </row>
    <row r="517" spans="1:5" x14ac:dyDescent="0.4">
      <c r="A517">
        <v>712</v>
      </c>
      <c r="B517">
        <v>2</v>
      </c>
      <c r="C517">
        <v>2</v>
      </c>
      <c r="D517">
        <v>4</v>
      </c>
      <c r="E517">
        <v>3</v>
      </c>
    </row>
    <row r="518" spans="1:5" x14ac:dyDescent="0.4">
      <c r="A518">
        <v>793</v>
      </c>
      <c r="B518">
        <v>2</v>
      </c>
      <c r="C518">
        <v>3</v>
      </c>
      <c r="D518">
        <v>1</v>
      </c>
      <c r="E518">
        <v>2</v>
      </c>
    </row>
    <row r="519" spans="1:5" x14ac:dyDescent="0.4">
      <c r="A519">
        <v>1299</v>
      </c>
      <c r="B519">
        <v>2</v>
      </c>
      <c r="C519">
        <v>3</v>
      </c>
      <c r="D519">
        <v>1</v>
      </c>
      <c r="E519">
        <v>3</v>
      </c>
    </row>
    <row r="520" spans="1:5" x14ac:dyDescent="0.4">
      <c r="A520">
        <v>715</v>
      </c>
      <c r="B520">
        <v>4</v>
      </c>
      <c r="C520">
        <v>4</v>
      </c>
      <c r="D520">
        <v>1</v>
      </c>
      <c r="E520">
        <v>3</v>
      </c>
    </row>
    <row r="521" spans="1:5" x14ac:dyDescent="0.4">
      <c r="A521">
        <v>716</v>
      </c>
      <c r="B521">
        <v>4</v>
      </c>
      <c r="C521">
        <v>3</v>
      </c>
      <c r="D521">
        <v>3</v>
      </c>
      <c r="E521">
        <v>3</v>
      </c>
    </row>
    <row r="522" spans="1:5" x14ac:dyDescent="0.4">
      <c r="A522">
        <v>214</v>
      </c>
      <c r="B522">
        <v>2</v>
      </c>
      <c r="C522">
        <v>2</v>
      </c>
      <c r="D522">
        <v>2</v>
      </c>
      <c r="E522">
        <v>2</v>
      </c>
    </row>
    <row r="523" spans="1:5" x14ac:dyDescent="0.4">
      <c r="A523">
        <v>722</v>
      </c>
      <c r="B523">
        <v>4</v>
      </c>
      <c r="C523">
        <v>4</v>
      </c>
      <c r="D523">
        <v>4</v>
      </c>
      <c r="E523">
        <v>2</v>
      </c>
    </row>
    <row r="524" spans="1:5" x14ac:dyDescent="0.4">
      <c r="A524">
        <v>792</v>
      </c>
      <c r="B524">
        <v>1</v>
      </c>
      <c r="C524">
        <v>4</v>
      </c>
      <c r="D524">
        <v>1</v>
      </c>
      <c r="E524">
        <v>3</v>
      </c>
    </row>
    <row r="525" spans="1:5" x14ac:dyDescent="0.4">
      <c r="A525">
        <v>723</v>
      </c>
      <c r="B525">
        <v>2</v>
      </c>
      <c r="C525">
        <v>3</v>
      </c>
      <c r="D525">
        <v>1</v>
      </c>
      <c r="E525">
        <v>3</v>
      </c>
    </row>
    <row r="526" spans="1:5" x14ac:dyDescent="0.4">
      <c r="A526">
        <v>1662</v>
      </c>
      <c r="B526">
        <v>4</v>
      </c>
      <c r="C526">
        <v>3</v>
      </c>
      <c r="D526">
        <v>3</v>
      </c>
      <c r="E526">
        <v>3</v>
      </c>
    </row>
    <row r="527" spans="1:5" x14ac:dyDescent="0.4">
      <c r="A527">
        <v>728</v>
      </c>
      <c r="B527">
        <v>4</v>
      </c>
      <c r="C527">
        <v>1</v>
      </c>
      <c r="D527">
        <v>4</v>
      </c>
      <c r="E527">
        <v>3</v>
      </c>
    </row>
    <row r="528" spans="1:5" x14ac:dyDescent="0.4">
      <c r="A528">
        <v>1085</v>
      </c>
      <c r="B528">
        <v>2</v>
      </c>
      <c r="C528">
        <v>3</v>
      </c>
      <c r="D528">
        <v>3</v>
      </c>
      <c r="E528">
        <v>3</v>
      </c>
    </row>
    <row r="529" spans="1:5" x14ac:dyDescent="0.4">
      <c r="A529">
        <v>1802</v>
      </c>
      <c r="B529">
        <v>3</v>
      </c>
      <c r="C529">
        <v>1</v>
      </c>
      <c r="D529">
        <v>4</v>
      </c>
      <c r="E529">
        <v>2</v>
      </c>
    </row>
    <row r="530" spans="1:5" x14ac:dyDescent="0.4">
      <c r="A530">
        <v>1009</v>
      </c>
      <c r="B530">
        <v>4</v>
      </c>
      <c r="C530">
        <v>3</v>
      </c>
      <c r="D530">
        <v>2</v>
      </c>
      <c r="E530">
        <v>3</v>
      </c>
    </row>
    <row r="531" spans="1:5" x14ac:dyDescent="0.4">
      <c r="A531">
        <v>804</v>
      </c>
      <c r="B531">
        <v>3</v>
      </c>
      <c r="C531">
        <v>1</v>
      </c>
      <c r="D531">
        <v>3</v>
      </c>
      <c r="E531">
        <v>3</v>
      </c>
    </row>
    <row r="532" spans="1:5" x14ac:dyDescent="0.4">
      <c r="A532">
        <v>729</v>
      </c>
      <c r="B532">
        <v>4</v>
      </c>
      <c r="C532">
        <v>1</v>
      </c>
      <c r="D532">
        <v>3</v>
      </c>
      <c r="E532">
        <v>3</v>
      </c>
    </row>
    <row r="533" spans="1:5" x14ac:dyDescent="0.4">
      <c r="A533">
        <v>730</v>
      </c>
      <c r="B533">
        <v>3</v>
      </c>
      <c r="C533">
        <v>3</v>
      </c>
      <c r="D533">
        <v>3</v>
      </c>
      <c r="E533">
        <v>3</v>
      </c>
    </row>
    <row r="534" spans="1:5" x14ac:dyDescent="0.4">
      <c r="A534">
        <v>731</v>
      </c>
      <c r="B534">
        <v>2</v>
      </c>
      <c r="C534">
        <v>4</v>
      </c>
      <c r="D534">
        <v>2</v>
      </c>
      <c r="E534">
        <v>2</v>
      </c>
    </row>
    <row r="535" spans="1:5" x14ac:dyDescent="0.4">
      <c r="A535">
        <v>1909</v>
      </c>
      <c r="B535">
        <v>3</v>
      </c>
      <c r="C535">
        <v>2</v>
      </c>
      <c r="D535">
        <v>3</v>
      </c>
      <c r="E535">
        <v>3</v>
      </c>
    </row>
    <row r="536" spans="1:5" x14ac:dyDescent="0.4">
      <c r="A536">
        <v>732</v>
      </c>
      <c r="B536">
        <v>1</v>
      </c>
      <c r="C536">
        <v>1</v>
      </c>
      <c r="D536">
        <v>4</v>
      </c>
      <c r="E536">
        <v>3</v>
      </c>
    </row>
    <row r="537" spans="1:5" x14ac:dyDescent="0.4">
      <c r="A537">
        <v>733</v>
      </c>
      <c r="B537">
        <v>4</v>
      </c>
      <c r="C537">
        <v>1</v>
      </c>
      <c r="D537">
        <v>3</v>
      </c>
      <c r="E537">
        <v>2</v>
      </c>
    </row>
    <row r="538" spans="1:5" x14ac:dyDescent="0.4">
      <c r="A538">
        <v>734</v>
      </c>
      <c r="B538">
        <v>4</v>
      </c>
      <c r="C538">
        <v>3</v>
      </c>
      <c r="D538">
        <v>2</v>
      </c>
      <c r="E538">
        <v>3</v>
      </c>
    </row>
    <row r="539" spans="1:5" x14ac:dyDescent="0.4">
      <c r="A539">
        <v>738</v>
      </c>
      <c r="B539">
        <v>4</v>
      </c>
      <c r="C539">
        <v>2</v>
      </c>
      <c r="D539">
        <v>4</v>
      </c>
      <c r="E539">
        <v>3</v>
      </c>
    </row>
    <row r="540" spans="1:5" x14ac:dyDescent="0.4">
      <c r="A540">
        <v>744</v>
      </c>
      <c r="B540">
        <v>1</v>
      </c>
      <c r="C540">
        <v>3</v>
      </c>
      <c r="D540">
        <v>3</v>
      </c>
      <c r="E540">
        <v>3</v>
      </c>
    </row>
    <row r="541" spans="1:5" x14ac:dyDescent="0.4">
      <c r="A541">
        <v>747</v>
      </c>
      <c r="B541">
        <v>3</v>
      </c>
      <c r="C541">
        <v>4</v>
      </c>
      <c r="D541">
        <v>4</v>
      </c>
      <c r="E541">
        <v>2</v>
      </c>
    </row>
    <row r="542" spans="1:5" x14ac:dyDescent="0.4">
      <c r="A542">
        <v>749</v>
      </c>
      <c r="B542">
        <v>3</v>
      </c>
      <c r="C542">
        <v>3</v>
      </c>
      <c r="D542">
        <v>3</v>
      </c>
      <c r="E542">
        <v>3</v>
      </c>
    </row>
    <row r="543" spans="1:5" x14ac:dyDescent="0.4">
      <c r="A543">
        <v>51</v>
      </c>
      <c r="B543">
        <v>2</v>
      </c>
      <c r="C543">
        <v>1</v>
      </c>
      <c r="D543">
        <v>4</v>
      </c>
      <c r="E543">
        <v>4</v>
      </c>
    </row>
    <row r="544" spans="1:5" x14ac:dyDescent="0.4">
      <c r="A544">
        <v>752</v>
      </c>
      <c r="B544">
        <v>3</v>
      </c>
      <c r="C544">
        <v>3</v>
      </c>
      <c r="D544">
        <v>4</v>
      </c>
      <c r="E544">
        <v>3</v>
      </c>
    </row>
    <row r="545" spans="1:5" x14ac:dyDescent="0.4">
      <c r="A545">
        <v>754</v>
      </c>
      <c r="B545">
        <v>4</v>
      </c>
      <c r="C545">
        <v>4</v>
      </c>
      <c r="D545">
        <v>3</v>
      </c>
      <c r="E545">
        <v>3</v>
      </c>
    </row>
    <row r="546" spans="1:5" x14ac:dyDescent="0.4">
      <c r="A546">
        <v>758</v>
      </c>
      <c r="B546">
        <v>2</v>
      </c>
      <c r="C546">
        <v>1</v>
      </c>
      <c r="D546">
        <v>4</v>
      </c>
      <c r="E546">
        <v>4</v>
      </c>
    </row>
    <row r="547" spans="1:5" x14ac:dyDescent="0.4">
      <c r="A547">
        <v>1180</v>
      </c>
      <c r="B547">
        <v>3</v>
      </c>
      <c r="C547">
        <v>4</v>
      </c>
      <c r="D547">
        <v>4</v>
      </c>
      <c r="E547">
        <v>1</v>
      </c>
    </row>
    <row r="548" spans="1:5" x14ac:dyDescent="0.4">
      <c r="A548">
        <v>1314</v>
      </c>
      <c r="B548">
        <v>4</v>
      </c>
      <c r="C548">
        <v>1</v>
      </c>
      <c r="D548">
        <v>3</v>
      </c>
      <c r="E548">
        <v>4</v>
      </c>
    </row>
    <row r="549" spans="1:5" x14ac:dyDescent="0.4">
      <c r="A549">
        <v>762</v>
      </c>
      <c r="B549">
        <v>3</v>
      </c>
      <c r="C549">
        <v>4</v>
      </c>
      <c r="D549">
        <v>3</v>
      </c>
      <c r="E549">
        <v>2</v>
      </c>
    </row>
    <row r="550" spans="1:5" x14ac:dyDescent="0.4">
      <c r="A550">
        <v>98</v>
      </c>
      <c r="B550">
        <v>3</v>
      </c>
      <c r="C550">
        <v>4</v>
      </c>
      <c r="D550">
        <v>4</v>
      </c>
      <c r="E550">
        <v>3</v>
      </c>
    </row>
    <row r="551" spans="1:5" x14ac:dyDescent="0.4">
      <c r="A551">
        <v>269</v>
      </c>
      <c r="B551">
        <v>2</v>
      </c>
      <c r="C551">
        <v>2</v>
      </c>
      <c r="D551">
        <v>4</v>
      </c>
      <c r="E551">
        <v>3</v>
      </c>
    </row>
    <row r="552" spans="1:5" x14ac:dyDescent="0.4">
      <c r="A552">
        <v>766</v>
      </c>
      <c r="B552">
        <v>4</v>
      </c>
      <c r="C552">
        <v>2</v>
      </c>
      <c r="D552">
        <v>4</v>
      </c>
      <c r="E552">
        <v>3</v>
      </c>
    </row>
    <row r="553" spans="1:5" x14ac:dyDescent="0.4">
      <c r="A553">
        <v>769</v>
      </c>
      <c r="B553">
        <v>4</v>
      </c>
      <c r="C553">
        <v>4</v>
      </c>
      <c r="D553">
        <v>4</v>
      </c>
      <c r="E553">
        <v>3</v>
      </c>
    </row>
    <row r="554" spans="1:5" x14ac:dyDescent="0.4">
      <c r="A554">
        <v>1980</v>
      </c>
      <c r="B554">
        <v>3</v>
      </c>
      <c r="C554">
        <v>1</v>
      </c>
      <c r="D554">
        <v>4</v>
      </c>
      <c r="E554">
        <v>3</v>
      </c>
    </row>
    <row r="555" spans="1:5" x14ac:dyDescent="0.4">
      <c r="A555">
        <v>772</v>
      </c>
      <c r="B555">
        <v>1</v>
      </c>
      <c r="C555">
        <v>4</v>
      </c>
      <c r="D555">
        <v>4</v>
      </c>
      <c r="E555">
        <v>3</v>
      </c>
    </row>
    <row r="556" spans="1:5" x14ac:dyDescent="0.4">
      <c r="A556">
        <v>773</v>
      </c>
      <c r="B556">
        <v>4</v>
      </c>
      <c r="C556">
        <v>3</v>
      </c>
      <c r="D556">
        <v>2</v>
      </c>
      <c r="E556">
        <v>1</v>
      </c>
    </row>
    <row r="557" spans="1:5" x14ac:dyDescent="0.4">
      <c r="A557">
        <v>1285</v>
      </c>
      <c r="B557">
        <v>3</v>
      </c>
      <c r="C557">
        <v>2</v>
      </c>
      <c r="D557">
        <v>3</v>
      </c>
      <c r="E557">
        <v>4</v>
      </c>
    </row>
    <row r="558" spans="1:5" x14ac:dyDescent="0.4">
      <c r="A558">
        <v>1751</v>
      </c>
      <c r="B558">
        <v>3</v>
      </c>
      <c r="C558">
        <v>4</v>
      </c>
      <c r="D558">
        <v>3</v>
      </c>
      <c r="E558">
        <v>2</v>
      </c>
    </row>
    <row r="559" spans="1:5" x14ac:dyDescent="0.4">
      <c r="A559">
        <v>776</v>
      </c>
      <c r="B559">
        <v>3</v>
      </c>
      <c r="C559">
        <v>1</v>
      </c>
      <c r="D559">
        <v>1</v>
      </c>
      <c r="E559">
        <v>4</v>
      </c>
    </row>
    <row r="560" spans="1:5" x14ac:dyDescent="0.4">
      <c r="A560">
        <v>780</v>
      </c>
      <c r="B560">
        <v>4</v>
      </c>
      <c r="C560">
        <v>4</v>
      </c>
      <c r="D560">
        <v>3</v>
      </c>
      <c r="E560">
        <v>2</v>
      </c>
    </row>
    <row r="561" spans="1:5" x14ac:dyDescent="0.4">
      <c r="A561">
        <v>521</v>
      </c>
      <c r="B561">
        <v>2</v>
      </c>
      <c r="C561">
        <v>3</v>
      </c>
      <c r="D561">
        <v>2</v>
      </c>
      <c r="E561">
        <v>3</v>
      </c>
    </row>
    <row r="562" spans="1:5" x14ac:dyDescent="0.4">
      <c r="A562">
        <v>1829</v>
      </c>
      <c r="B562">
        <v>2</v>
      </c>
      <c r="C562">
        <v>1</v>
      </c>
      <c r="D562">
        <v>2</v>
      </c>
      <c r="E562">
        <v>3</v>
      </c>
    </row>
    <row r="563" spans="1:5" x14ac:dyDescent="0.4">
      <c r="A563">
        <v>529</v>
      </c>
      <c r="B563">
        <v>2</v>
      </c>
      <c r="C563">
        <v>3</v>
      </c>
      <c r="D563">
        <v>1</v>
      </c>
      <c r="E563">
        <v>3</v>
      </c>
    </row>
    <row r="564" spans="1:5" x14ac:dyDescent="0.4">
      <c r="A564">
        <v>250</v>
      </c>
      <c r="B564">
        <v>4</v>
      </c>
      <c r="C564">
        <v>1</v>
      </c>
      <c r="D564">
        <v>3</v>
      </c>
      <c r="E564">
        <v>3</v>
      </c>
    </row>
    <row r="565" spans="1:5" x14ac:dyDescent="0.4">
      <c r="A565">
        <v>783</v>
      </c>
      <c r="B565">
        <v>2</v>
      </c>
      <c r="C565">
        <v>3</v>
      </c>
      <c r="D565">
        <v>1</v>
      </c>
      <c r="E565">
        <v>3</v>
      </c>
    </row>
    <row r="566" spans="1:5" x14ac:dyDescent="0.4">
      <c r="A566">
        <v>486</v>
      </c>
      <c r="B566">
        <v>3</v>
      </c>
      <c r="C566">
        <v>1</v>
      </c>
      <c r="D566">
        <v>2</v>
      </c>
      <c r="E566">
        <v>3</v>
      </c>
    </row>
    <row r="567" spans="1:5" x14ac:dyDescent="0.4">
      <c r="A567">
        <v>995</v>
      </c>
      <c r="B567">
        <v>2</v>
      </c>
      <c r="C567">
        <v>4</v>
      </c>
      <c r="D567">
        <v>1</v>
      </c>
      <c r="E567">
        <v>3</v>
      </c>
    </row>
    <row r="568" spans="1:5" x14ac:dyDescent="0.4">
      <c r="A568">
        <v>784</v>
      </c>
      <c r="B568">
        <v>1</v>
      </c>
      <c r="C568">
        <v>3</v>
      </c>
      <c r="D568">
        <v>4</v>
      </c>
      <c r="E568">
        <v>3</v>
      </c>
    </row>
    <row r="569" spans="1:5" x14ac:dyDescent="0.4">
      <c r="A569">
        <v>786</v>
      </c>
      <c r="B569">
        <v>4</v>
      </c>
      <c r="C569">
        <v>4</v>
      </c>
      <c r="D569">
        <v>3</v>
      </c>
      <c r="E569">
        <v>3</v>
      </c>
    </row>
    <row r="570" spans="1:5" x14ac:dyDescent="0.4">
      <c r="A570">
        <v>787</v>
      </c>
      <c r="B570">
        <v>4</v>
      </c>
      <c r="C570">
        <v>1</v>
      </c>
      <c r="D570">
        <v>4</v>
      </c>
      <c r="E570">
        <v>3</v>
      </c>
    </row>
    <row r="571" spans="1:5" x14ac:dyDescent="0.4">
      <c r="A571">
        <v>789</v>
      </c>
      <c r="B571">
        <v>1</v>
      </c>
      <c r="C571">
        <v>1</v>
      </c>
      <c r="D571">
        <v>2</v>
      </c>
      <c r="E571">
        <v>3</v>
      </c>
    </row>
    <row r="572" spans="1:5" x14ac:dyDescent="0.4">
      <c r="A572">
        <v>1195</v>
      </c>
      <c r="B572">
        <v>1</v>
      </c>
      <c r="C572">
        <v>3</v>
      </c>
      <c r="D572">
        <v>3</v>
      </c>
      <c r="E572">
        <v>2</v>
      </c>
    </row>
    <row r="573" spans="1:5" x14ac:dyDescent="0.4">
      <c r="A573">
        <v>791</v>
      </c>
      <c r="B573">
        <v>4</v>
      </c>
      <c r="C573">
        <v>4</v>
      </c>
      <c r="D573">
        <v>1</v>
      </c>
      <c r="E573">
        <v>3</v>
      </c>
    </row>
    <row r="574" spans="1:5" x14ac:dyDescent="0.4">
      <c r="A574">
        <v>796</v>
      </c>
      <c r="B574">
        <v>4</v>
      </c>
      <c r="C574">
        <v>1</v>
      </c>
      <c r="D574">
        <v>3</v>
      </c>
      <c r="E574">
        <v>2</v>
      </c>
    </row>
    <row r="575" spans="1:5" x14ac:dyDescent="0.4">
      <c r="A575">
        <v>800</v>
      </c>
      <c r="B575">
        <v>3</v>
      </c>
      <c r="C575">
        <v>4</v>
      </c>
      <c r="D575">
        <v>2</v>
      </c>
      <c r="E575">
        <v>3</v>
      </c>
    </row>
    <row r="576" spans="1:5" x14ac:dyDescent="0.4">
      <c r="A576">
        <v>806</v>
      </c>
      <c r="B576">
        <v>4</v>
      </c>
      <c r="C576">
        <v>3</v>
      </c>
      <c r="D576">
        <v>3</v>
      </c>
      <c r="E576">
        <v>3</v>
      </c>
    </row>
    <row r="577" spans="1:5" x14ac:dyDescent="0.4">
      <c r="A577">
        <v>809</v>
      </c>
      <c r="B577">
        <v>2</v>
      </c>
      <c r="C577">
        <v>4</v>
      </c>
      <c r="D577">
        <v>2</v>
      </c>
      <c r="E577">
        <v>2</v>
      </c>
    </row>
    <row r="578" spans="1:5" x14ac:dyDescent="0.4">
      <c r="A578">
        <v>527</v>
      </c>
      <c r="B578">
        <v>2</v>
      </c>
      <c r="C578">
        <v>4</v>
      </c>
      <c r="D578">
        <v>2</v>
      </c>
      <c r="E578">
        <v>3</v>
      </c>
    </row>
    <row r="579" spans="1:5" x14ac:dyDescent="0.4">
      <c r="A579">
        <v>811</v>
      </c>
      <c r="B579">
        <v>3</v>
      </c>
      <c r="C579">
        <v>1</v>
      </c>
      <c r="D579">
        <v>3</v>
      </c>
      <c r="E579">
        <v>3</v>
      </c>
    </row>
    <row r="580" spans="1:5" x14ac:dyDescent="0.4">
      <c r="A580">
        <v>812</v>
      </c>
      <c r="B580">
        <v>3</v>
      </c>
      <c r="C580">
        <v>2</v>
      </c>
      <c r="D580">
        <v>3</v>
      </c>
      <c r="E580">
        <v>3</v>
      </c>
    </row>
    <row r="581" spans="1:5" x14ac:dyDescent="0.4">
      <c r="A581">
        <v>815</v>
      </c>
      <c r="B581">
        <v>3</v>
      </c>
      <c r="C581">
        <v>3</v>
      </c>
      <c r="D581">
        <v>4</v>
      </c>
      <c r="E581">
        <v>3</v>
      </c>
    </row>
    <row r="582" spans="1:5" x14ac:dyDescent="0.4">
      <c r="A582">
        <v>1710</v>
      </c>
      <c r="B582">
        <v>3</v>
      </c>
      <c r="C582">
        <v>4</v>
      </c>
      <c r="D582">
        <v>3</v>
      </c>
      <c r="E582">
        <v>2</v>
      </c>
    </row>
    <row r="583" spans="1:5" x14ac:dyDescent="0.4">
      <c r="A583">
        <v>817</v>
      </c>
      <c r="B583">
        <v>3</v>
      </c>
      <c r="C583">
        <v>3</v>
      </c>
      <c r="D583">
        <v>4</v>
      </c>
      <c r="E583">
        <v>4</v>
      </c>
    </row>
    <row r="584" spans="1:5" x14ac:dyDescent="0.4">
      <c r="A584">
        <v>151</v>
      </c>
      <c r="B584">
        <v>3</v>
      </c>
      <c r="C584">
        <v>2</v>
      </c>
      <c r="D584">
        <v>3</v>
      </c>
      <c r="E584">
        <v>3</v>
      </c>
    </row>
    <row r="585" spans="1:5" x14ac:dyDescent="0.4">
      <c r="A585">
        <v>824</v>
      </c>
      <c r="B585">
        <v>3</v>
      </c>
      <c r="C585">
        <v>3</v>
      </c>
      <c r="D585">
        <v>3</v>
      </c>
      <c r="E585">
        <v>3</v>
      </c>
    </row>
    <row r="586" spans="1:5" x14ac:dyDescent="0.4">
      <c r="A586">
        <v>1757</v>
      </c>
      <c r="B586">
        <v>4</v>
      </c>
      <c r="C586">
        <v>4</v>
      </c>
      <c r="D586">
        <v>3</v>
      </c>
      <c r="E586">
        <v>4</v>
      </c>
    </row>
    <row r="587" spans="1:5" x14ac:dyDescent="0.4">
      <c r="A587">
        <v>1101</v>
      </c>
      <c r="B587">
        <v>1</v>
      </c>
      <c r="C587">
        <v>3</v>
      </c>
      <c r="D587">
        <v>2</v>
      </c>
      <c r="E587">
        <v>3</v>
      </c>
    </row>
    <row r="588" spans="1:5" x14ac:dyDescent="0.4">
      <c r="A588">
        <v>1647</v>
      </c>
      <c r="B588">
        <v>2</v>
      </c>
      <c r="C588">
        <v>3</v>
      </c>
      <c r="D588">
        <v>1</v>
      </c>
      <c r="E588">
        <v>3</v>
      </c>
    </row>
    <row r="589" spans="1:5" x14ac:dyDescent="0.4">
      <c r="A589">
        <v>526</v>
      </c>
      <c r="B589">
        <v>3</v>
      </c>
      <c r="C589">
        <v>3</v>
      </c>
      <c r="D589">
        <v>4</v>
      </c>
      <c r="E589">
        <v>3</v>
      </c>
    </row>
    <row r="590" spans="1:5" x14ac:dyDescent="0.4">
      <c r="A590">
        <v>551</v>
      </c>
      <c r="B590">
        <v>4</v>
      </c>
      <c r="C590">
        <v>4</v>
      </c>
      <c r="D590">
        <v>4</v>
      </c>
      <c r="E590">
        <v>4</v>
      </c>
    </row>
    <row r="591" spans="1:5" x14ac:dyDescent="0.4">
      <c r="A591">
        <v>825</v>
      </c>
      <c r="B591">
        <v>4</v>
      </c>
      <c r="C591">
        <v>2</v>
      </c>
      <c r="D591">
        <v>4</v>
      </c>
      <c r="E591">
        <v>3</v>
      </c>
    </row>
    <row r="592" spans="1:5" x14ac:dyDescent="0.4">
      <c r="A592">
        <v>828</v>
      </c>
      <c r="B592">
        <v>3</v>
      </c>
      <c r="C592">
        <v>3</v>
      </c>
      <c r="D592">
        <v>4</v>
      </c>
      <c r="E592">
        <v>2</v>
      </c>
    </row>
    <row r="593" spans="1:5" x14ac:dyDescent="0.4">
      <c r="A593">
        <v>903</v>
      </c>
      <c r="B593">
        <v>3</v>
      </c>
      <c r="C593">
        <v>4</v>
      </c>
      <c r="D593">
        <v>1</v>
      </c>
      <c r="E593">
        <v>3</v>
      </c>
    </row>
    <row r="594" spans="1:5" x14ac:dyDescent="0.4">
      <c r="A594">
        <v>1281</v>
      </c>
      <c r="B594">
        <v>3</v>
      </c>
      <c r="C594">
        <v>1</v>
      </c>
      <c r="D594">
        <v>4</v>
      </c>
      <c r="E594">
        <v>3</v>
      </c>
    </row>
    <row r="595" spans="1:5" x14ac:dyDescent="0.4">
      <c r="A595">
        <v>829</v>
      </c>
      <c r="B595">
        <v>3</v>
      </c>
      <c r="C595">
        <v>2</v>
      </c>
      <c r="D595">
        <v>2</v>
      </c>
      <c r="E595">
        <v>3</v>
      </c>
    </row>
    <row r="596" spans="1:5" x14ac:dyDescent="0.4">
      <c r="A596">
        <v>1220</v>
      </c>
      <c r="B596">
        <v>2</v>
      </c>
      <c r="C596">
        <v>3</v>
      </c>
      <c r="D596">
        <v>1</v>
      </c>
      <c r="E596">
        <v>2</v>
      </c>
    </row>
    <row r="597" spans="1:5" x14ac:dyDescent="0.4">
      <c r="A597">
        <v>1864</v>
      </c>
      <c r="B597">
        <v>2</v>
      </c>
      <c r="C597">
        <v>3</v>
      </c>
      <c r="D597">
        <v>4</v>
      </c>
      <c r="E597">
        <v>3</v>
      </c>
    </row>
    <row r="598" spans="1:5" x14ac:dyDescent="0.4">
      <c r="A598">
        <v>832</v>
      </c>
      <c r="B598">
        <v>1</v>
      </c>
      <c r="C598">
        <v>3</v>
      </c>
      <c r="D598">
        <v>4</v>
      </c>
      <c r="E598">
        <v>3</v>
      </c>
    </row>
    <row r="599" spans="1:5" x14ac:dyDescent="0.4">
      <c r="A599">
        <v>836</v>
      </c>
      <c r="B599">
        <v>2</v>
      </c>
      <c r="C599">
        <v>2</v>
      </c>
      <c r="D599">
        <v>4</v>
      </c>
      <c r="E599">
        <v>2</v>
      </c>
    </row>
    <row r="600" spans="1:5" x14ac:dyDescent="0.4">
      <c r="A600">
        <v>721</v>
      </c>
      <c r="B600">
        <v>4</v>
      </c>
      <c r="C600">
        <v>3</v>
      </c>
      <c r="D600">
        <v>1</v>
      </c>
      <c r="E600">
        <v>3</v>
      </c>
    </row>
    <row r="601" spans="1:5" x14ac:dyDescent="0.4">
      <c r="A601">
        <v>837</v>
      </c>
      <c r="B601">
        <v>1</v>
      </c>
      <c r="C601">
        <v>1</v>
      </c>
      <c r="D601">
        <v>3</v>
      </c>
      <c r="E601">
        <v>2</v>
      </c>
    </row>
    <row r="602" spans="1:5" x14ac:dyDescent="0.4">
      <c r="A602">
        <v>547</v>
      </c>
      <c r="B602">
        <v>1</v>
      </c>
      <c r="C602">
        <v>3</v>
      </c>
      <c r="D602">
        <v>2</v>
      </c>
      <c r="E602">
        <v>3</v>
      </c>
    </row>
    <row r="603" spans="1:5" x14ac:dyDescent="0.4">
      <c r="A603">
        <v>842</v>
      </c>
      <c r="B603">
        <v>3</v>
      </c>
      <c r="C603">
        <v>4</v>
      </c>
      <c r="D603">
        <v>3</v>
      </c>
      <c r="E603">
        <v>2</v>
      </c>
    </row>
    <row r="604" spans="1:5" x14ac:dyDescent="0.4">
      <c r="A604">
        <v>175</v>
      </c>
      <c r="B604">
        <v>2</v>
      </c>
      <c r="C604">
        <v>3</v>
      </c>
      <c r="D604">
        <v>3</v>
      </c>
      <c r="E604">
        <v>3</v>
      </c>
    </row>
    <row r="605" spans="1:5" x14ac:dyDescent="0.4">
      <c r="A605">
        <v>843</v>
      </c>
      <c r="B605">
        <v>2</v>
      </c>
      <c r="C605">
        <v>1</v>
      </c>
      <c r="D605">
        <v>3</v>
      </c>
      <c r="E605">
        <v>3</v>
      </c>
    </row>
    <row r="606" spans="1:5" x14ac:dyDescent="0.4">
      <c r="A606">
        <v>844</v>
      </c>
      <c r="B606">
        <v>3</v>
      </c>
      <c r="C606">
        <v>4</v>
      </c>
      <c r="D606">
        <v>2</v>
      </c>
      <c r="E606">
        <v>3</v>
      </c>
    </row>
    <row r="607" spans="1:5" x14ac:dyDescent="0.4">
      <c r="A607">
        <v>720</v>
      </c>
      <c r="B607">
        <v>1</v>
      </c>
      <c r="C607">
        <v>3</v>
      </c>
      <c r="D607">
        <v>1</v>
      </c>
      <c r="E607">
        <v>3</v>
      </c>
    </row>
    <row r="608" spans="1:5" x14ac:dyDescent="0.4">
      <c r="A608">
        <v>845</v>
      </c>
      <c r="B608">
        <v>3</v>
      </c>
      <c r="C608">
        <v>3</v>
      </c>
      <c r="D608">
        <v>2</v>
      </c>
      <c r="E608">
        <v>4</v>
      </c>
    </row>
    <row r="609" spans="1:5" x14ac:dyDescent="0.4">
      <c r="A609">
        <v>847</v>
      </c>
      <c r="B609">
        <v>3</v>
      </c>
      <c r="C609">
        <v>4</v>
      </c>
      <c r="D609">
        <v>3</v>
      </c>
      <c r="E609">
        <v>1</v>
      </c>
    </row>
    <row r="610" spans="1:5" x14ac:dyDescent="0.4">
      <c r="A610">
        <v>887</v>
      </c>
      <c r="B610">
        <v>3</v>
      </c>
      <c r="C610">
        <v>1</v>
      </c>
      <c r="D610">
        <v>2</v>
      </c>
      <c r="E610">
        <v>3</v>
      </c>
    </row>
    <row r="611" spans="1:5" x14ac:dyDescent="0.4">
      <c r="A611">
        <v>850</v>
      </c>
      <c r="B611">
        <v>4</v>
      </c>
      <c r="C611">
        <v>4</v>
      </c>
      <c r="D611">
        <v>3</v>
      </c>
      <c r="E611">
        <v>2</v>
      </c>
    </row>
    <row r="612" spans="1:5" x14ac:dyDescent="0.4">
      <c r="A612">
        <v>1834</v>
      </c>
      <c r="B612">
        <v>3</v>
      </c>
      <c r="C612">
        <v>1</v>
      </c>
      <c r="D612">
        <v>3</v>
      </c>
      <c r="E612">
        <v>3</v>
      </c>
    </row>
    <row r="613" spans="1:5" x14ac:dyDescent="0.4">
      <c r="A613">
        <v>1503</v>
      </c>
      <c r="B613">
        <v>3</v>
      </c>
      <c r="C613">
        <v>3</v>
      </c>
      <c r="D613">
        <v>3</v>
      </c>
      <c r="E613">
        <v>2</v>
      </c>
    </row>
    <row r="614" spans="1:5" x14ac:dyDescent="0.4">
      <c r="A614">
        <v>852</v>
      </c>
      <c r="B614">
        <v>4</v>
      </c>
      <c r="C614">
        <v>2</v>
      </c>
      <c r="D614">
        <v>4</v>
      </c>
      <c r="E614">
        <v>2</v>
      </c>
    </row>
    <row r="615" spans="1:5" x14ac:dyDescent="0.4">
      <c r="A615">
        <v>1489</v>
      </c>
      <c r="B615">
        <v>1</v>
      </c>
      <c r="C615">
        <v>2</v>
      </c>
      <c r="D615">
        <v>3</v>
      </c>
      <c r="E615">
        <v>4</v>
      </c>
    </row>
    <row r="616" spans="1:5" x14ac:dyDescent="0.4">
      <c r="A616">
        <v>854</v>
      </c>
      <c r="B616">
        <v>1</v>
      </c>
      <c r="C616">
        <v>1</v>
      </c>
      <c r="D616">
        <v>3</v>
      </c>
      <c r="E616">
        <v>2</v>
      </c>
    </row>
    <row r="617" spans="1:5" x14ac:dyDescent="0.4">
      <c r="A617">
        <v>975</v>
      </c>
      <c r="B617">
        <v>3</v>
      </c>
      <c r="C617">
        <v>3</v>
      </c>
      <c r="D617">
        <v>2</v>
      </c>
      <c r="E617">
        <v>3</v>
      </c>
    </row>
    <row r="618" spans="1:5" x14ac:dyDescent="0.4">
      <c r="A618">
        <v>1380</v>
      </c>
      <c r="B618">
        <v>4</v>
      </c>
      <c r="C618">
        <v>3</v>
      </c>
      <c r="D618">
        <v>3</v>
      </c>
      <c r="E618">
        <v>2</v>
      </c>
    </row>
    <row r="619" spans="1:5" x14ac:dyDescent="0.4">
      <c r="A619">
        <v>1080</v>
      </c>
      <c r="B619">
        <v>4</v>
      </c>
      <c r="C619">
        <v>1</v>
      </c>
      <c r="D619">
        <v>1</v>
      </c>
      <c r="E619">
        <v>3</v>
      </c>
    </row>
    <row r="620" spans="1:5" x14ac:dyDescent="0.4">
      <c r="A620">
        <v>855</v>
      </c>
      <c r="B620">
        <v>1</v>
      </c>
      <c r="C620">
        <v>1</v>
      </c>
      <c r="D620">
        <v>1</v>
      </c>
      <c r="E620">
        <v>3</v>
      </c>
    </row>
    <row r="621" spans="1:5" x14ac:dyDescent="0.4">
      <c r="A621">
        <v>857</v>
      </c>
      <c r="B621">
        <v>2</v>
      </c>
      <c r="C621">
        <v>4</v>
      </c>
      <c r="D621">
        <v>4</v>
      </c>
      <c r="E621">
        <v>2</v>
      </c>
    </row>
    <row r="622" spans="1:5" x14ac:dyDescent="0.4">
      <c r="A622">
        <v>859</v>
      </c>
      <c r="B622">
        <v>2</v>
      </c>
      <c r="C622">
        <v>4</v>
      </c>
      <c r="D622">
        <v>3</v>
      </c>
      <c r="E622">
        <v>2</v>
      </c>
    </row>
    <row r="623" spans="1:5" x14ac:dyDescent="0.4">
      <c r="A623">
        <v>861</v>
      </c>
      <c r="B623">
        <v>2</v>
      </c>
      <c r="C623">
        <v>4</v>
      </c>
      <c r="D623">
        <v>2</v>
      </c>
      <c r="E623">
        <v>2</v>
      </c>
    </row>
    <row r="624" spans="1:5" x14ac:dyDescent="0.4">
      <c r="A624">
        <v>1311</v>
      </c>
      <c r="B624">
        <v>1</v>
      </c>
      <c r="C624">
        <v>4</v>
      </c>
      <c r="D624">
        <v>1</v>
      </c>
      <c r="E624">
        <v>3</v>
      </c>
    </row>
    <row r="625" spans="1:5" x14ac:dyDescent="0.4">
      <c r="A625">
        <v>1411</v>
      </c>
      <c r="B625">
        <v>1</v>
      </c>
      <c r="C625">
        <v>3</v>
      </c>
      <c r="D625">
        <v>1</v>
      </c>
      <c r="E625">
        <v>3</v>
      </c>
    </row>
    <row r="626" spans="1:5" x14ac:dyDescent="0.4">
      <c r="A626">
        <v>864</v>
      </c>
      <c r="B626">
        <v>4</v>
      </c>
      <c r="C626">
        <v>1</v>
      </c>
      <c r="D626">
        <v>3</v>
      </c>
      <c r="E626">
        <v>3</v>
      </c>
    </row>
    <row r="627" spans="1:5" x14ac:dyDescent="0.4">
      <c r="A627">
        <v>1362</v>
      </c>
      <c r="B627">
        <v>1</v>
      </c>
      <c r="C627">
        <v>1</v>
      </c>
      <c r="D627">
        <v>4</v>
      </c>
      <c r="E627">
        <v>2</v>
      </c>
    </row>
    <row r="628" spans="1:5" x14ac:dyDescent="0.4">
      <c r="A628">
        <v>1598</v>
      </c>
      <c r="B628">
        <v>4</v>
      </c>
      <c r="C628">
        <v>1</v>
      </c>
      <c r="D628">
        <v>3</v>
      </c>
      <c r="E628">
        <v>3</v>
      </c>
    </row>
    <row r="629" spans="1:5" x14ac:dyDescent="0.4">
      <c r="A629">
        <v>1458</v>
      </c>
      <c r="B629">
        <v>1</v>
      </c>
      <c r="C629">
        <v>1</v>
      </c>
      <c r="D629">
        <v>2</v>
      </c>
      <c r="E629">
        <v>4</v>
      </c>
    </row>
    <row r="630" spans="1:5" x14ac:dyDescent="0.4">
      <c r="A630">
        <v>714</v>
      </c>
      <c r="B630">
        <v>4</v>
      </c>
      <c r="C630">
        <v>4</v>
      </c>
      <c r="D630">
        <v>2</v>
      </c>
      <c r="E630">
        <v>3</v>
      </c>
    </row>
    <row r="631" spans="1:5" x14ac:dyDescent="0.4">
      <c r="A631">
        <v>868</v>
      </c>
      <c r="B631">
        <v>4</v>
      </c>
      <c r="C631">
        <v>3</v>
      </c>
      <c r="D631">
        <v>4</v>
      </c>
      <c r="E631">
        <v>3</v>
      </c>
    </row>
    <row r="632" spans="1:5" x14ac:dyDescent="0.4">
      <c r="A632">
        <v>869</v>
      </c>
      <c r="B632">
        <v>2</v>
      </c>
      <c r="C632">
        <v>4</v>
      </c>
      <c r="D632">
        <v>4</v>
      </c>
      <c r="E632">
        <v>3</v>
      </c>
    </row>
    <row r="633" spans="1:5" x14ac:dyDescent="0.4">
      <c r="A633">
        <v>1097</v>
      </c>
      <c r="B633">
        <v>3</v>
      </c>
      <c r="C633">
        <v>3</v>
      </c>
      <c r="D633">
        <v>4</v>
      </c>
      <c r="E633">
        <v>4</v>
      </c>
    </row>
    <row r="634" spans="1:5" x14ac:dyDescent="0.4">
      <c r="A634">
        <v>872</v>
      </c>
      <c r="B634">
        <v>4</v>
      </c>
      <c r="C634">
        <v>4</v>
      </c>
      <c r="D634">
        <v>1</v>
      </c>
      <c r="E634">
        <v>1</v>
      </c>
    </row>
    <row r="635" spans="1:5" x14ac:dyDescent="0.4">
      <c r="A635">
        <v>1614</v>
      </c>
      <c r="B635">
        <v>3</v>
      </c>
      <c r="C635">
        <v>3</v>
      </c>
      <c r="D635">
        <v>2</v>
      </c>
      <c r="E635">
        <v>3</v>
      </c>
    </row>
    <row r="636" spans="1:5" x14ac:dyDescent="0.4">
      <c r="A636">
        <v>874</v>
      </c>
      <c r="B636">
        <v>1</v>
      </c>
      <c r="C636">
        <v>4</v>
      </c>
      <c r="D636">
        <v>3</v>
      </c>
      <c r="E636">
        <v>2</v>
      </c>
    </row>
    <row r="637" spans="1:5" x14ac:dyDescent="0.4">
      <c r="A637">
        <v>875</v>
      </c>
      <c r="B637">
        <v>2</v>
      </c>
      <c r="C637">
        <v>4</v>
      </c>
      <c r="D637">
        <v>4</v>
      </c>
      <c r="E637">
        <v>3</v>
      </c>
    </row>
    <row r="638" spans="1:5" x14ac:dyDescent="0.4">
      <c r="A638">
        <v>1480</v>
      </c>
      <c r="B638">
        <v>1</v>
      </c>
      <c r="C638">
        <v>4</v>
      </c>
      <c r="D638">
        <v>3</v>
      </c>
      <c r="E638">
        <v>3</v>
      </c>
    </row>
    <row r="639" spans="1:5" x14ac:dyDescent="0.4">
      <c r="A639">
        <v>878</v>
      </c>
      <c r="B639">
        <v>1</v>
      </c>
      <c r="C639">
        <v>1</v>
      </c>
      <c r="D639">
        <v>3</v>
      </c>
      <c r="E639">
        <v>3</v>
      </c>
    </row>
    <row r="640" spans="1:5" x14ac:dyDescent="0.4">
      <c r="A640">
        <v>879</v>
      </c>
      <c r="B640">
        <v>3</v>
      </c>
      <c r="C640">
        <v>1</v>
      </c>
      <c r="D640">
        <v>4</v>
      </c>
      <c r="E640">
        <v>3</v>
      </c>
    </row>
    <row r="641" spans="1:5" x14ac:dyDescent="0.4">
      <c r="A641">
        <v>882</v>
      </c>
      <c r="B641">
        <v>4</v>
      </c>
      <c r="C641">
        <v>4</v>
      </c>
      <c r="D641">
        <v>2</v>
      </c>
      <c r="E641">
        <v>3</v>
      </c>
    </row>
    <row r="642" spans="1:5" x14ac:dyDescent="0.4">
      <c r="A642">
        <v>885</v>
      </c>
      <c r="B642">
        <v>3</v>
      </c>
      <c r="C642">
        <v>1</v>
      </c>
      <c r="D642">
        <v>1</v>
      </c>
      <c r="E642">
        <v>4</v>
      </c>
    </row>
    <row r="643" spans="1:5" x14ac:dyDescent="0.4">
      <c r="A643">
        <v>888</v>
      </c>
      <c r="B643">
        <v>1</v>
      </c>
      <c r="C643">
        <v>4</v>
      </c>
      <c r="D643">
        <v>4</v>
      </c>
      <c r="E643">
        <v>2</v>
      </c>
    </row>
    <row r="644" spans="1:5" x14ac:dyDescent="0.4">
      <c r="A644">
        <v>889</v>
      </c>
      <c r="B644">
        <v>2</v>
      </c>
      <c r="C644">
        <v>2</v>
      </c>
      <c r="D644">
        <v>4</v>
      </c>
      <c r="E644">
        <v>3</v>
      </c>
    </row>
    <row r="645" spans="1:5" x14ac:dyDescent="0.4">
      <c r="A645">
        <v>893</v>
      </c>
      <c r="B645">
        <v>2</v>
      </c>
      <c r="C645">
        <v>2</v>
      </c>
      <c r="D645">
        <v>4</v>
      </c>
      <c r="E645">
        <v>3</v>
      </c>
    </row>
    <row r="646" spans="1:5" x14ac:dyDescent="0.4">
      <c r="A646">
        <v>895</v>
      </c>
      <c r="B646">
        <v>4</v>
      </c>
      <c r="C646">
        <v>4</v>
      </c>
      <c r="D646">
        <v>2</v>
      </c>
      <c r="E646">
        <v>3</v>
      </c>
    </row>
    <row r="647" spans="1:5" x14ac:dyDescent="0.4">
      <c r="A647">
        <v>897</v>
      </c>
      <c r="B647">
        <v>1</v>
      </c>
      <c r="C647">
        <v>4</v>
      </c>
      <c r="D647">
        <v>3</v>
      </c>
      <c r="E647">
        <v>3</v>
      </c>
    </row>
    <row r="648" spans="1:5" x14ac:dyDescent="0.4">
      <c r="A648">
        <v>1298</v>
      </c>
      <c r="B648">
        <v>3</v>
      </c>
      <c r="C648">
        <v>3</v>
      </c>
      <c r="D648">
        <v>3</v>
      </c>
      <c r="E648">
        <v>3</v>
      </c>
    </row>
    <row r="649" spans="1:5" x14ac:dyDescent="0.4">
      <c r="A649">
        <v>899</v>
      </c>
      <c r="B649">
        <v>4</v>
      </c>
      <c r="C649">
        <v>2</v>
      </c>
      <c r="D649">
        <v>1</v>
      </c>
      <c r="E649">
        <v>3</v>
      </c>
    </row>
    <row r="650" spans="1:5" x14ac:dyDescent="0.4">
      <c r="A650">
        <v>1782</v>
      </c>
      <c r="B650">
        <v>4</v>
      </c>
      <c r="C650">
        <v>3</v>
      </c>
      <c r="D650">
        <v>2</v>
      </c>
      <c r="E650">
        <v>3</v>
      </c>
    </row>
    <row r="651" spans="1:5" x14ac:dyDescent="0.4">
      <c r="A651">
        <v>904</v>
      </c>
      <c r="B651">
        <v>1</v>
      </c>
      <c r="C651">
        <v>2</v>
      </c>
      <c r="D651">
        <v>4</v>
      </c>
      <c r="E651">
        <v>3</v>
      </c>
    </row>
    <row r="652" spans="1:5" x14ac:dyDescent="0.4">
      <c r="A652">
        <v>905</v>
      </c>
      <c r="B652">
        <v>1</v>
      </c>
      <c r="C652">
        <v>1</v>
      </c>
      <c r="D652">
        <v>4</v>
      </c>
      <c r="E652">
        <v>3</v>
      </c>
    </row>
    <row r="653" spans="1:5" x14ac:dyDescent="0.4">
      <c r="A653">
        <v>910</v>
      </c>
      <c r="B653">
        <v>4</v>
      </c>
      <c r="C653">
        <v>2</v>
      </c>
      <c r="D653">
        <v>3</v>
      </c>
      <c r="E653">
        <v>4</v>
      </c>
    </row>
    <row r="654" spans="1:5" x14ac:dyDescent="0.4">
      <c r="A654">
        <v>911</v>
      </c>
      <c r="B654">
        <v>1</v>
      </c>
      <c r="C654">
        <v>4</v>
      </c>
      <c r="D654">
        <v>3</v>
      </c>
      <c r="E654">
        <v>1</v>
      </c>
    </row>
    <row r="655" spans="1:5" x14ac:dyDescent="0.4">
      <c r="A655">
        <v>913</v>
      </c>
      <c r="B655">
        <v>2</v>
      </c>
      <c r="C655">
        <v>1</v>
      </c>
      <c r="D655">
        <v>4</v>
      </c>
      <c r="E655">
        <v>3</v>
      </c>
    </row>
    <row r="656" spans="1:5" x14ac:dyDescent="0.4">
      <c r="A656">
        <v>916</v>
      </c>
      <c r="B656">
        <v>1</v>
      </c>
      <c r="C656">
        <v>4</v>
      </c>
      <c r="D656">
        <v>2</v>
      </c>
      <c r="E656">
        <v>3</v>
      </c>
    </row>
    <row r="657" spans="1:5" x14ac:dyDescent="0.4">
      <c r="A657">
        <v>918</v>
      </c>
      <c r="B657">
        <v>4</v>
      </c>
      <c r="C657">
        <v>4</v>
      </c>
      <c r="D657">
        <v>4</v>
      </c>
      <c r="E657">
        <v>2</v>
      </c>
    </row>
    <row r="658" spans="1:5" x14ac:dyDescent="0.4">
      <c r="A658">
        <v>924</v>
      </c>
      <c r="B658">
        <v>3</v>
      </c>
      <c r="C658">
        <v>4</v>
      </c>
      <c r="D658">
        <v>1</v>
      </c>
      <c r="E658">
        <v>2</v>
      </c>
    </row>
    <row r="659" spans="1:5" x14ac:dyDescent="0.4">
      <c r="A659">
        <v>932</v>
      </c>
      <c r="B659">
        <v>4</v>
      </c>
      <c r="C659">
        <v>1</v>
      </c>
      <c r="D659">
        <v>4</v>
      </c>
      <c r="E659">
        <v>1</v>
      </c>
    </row>
    <row r="660" spans="1:5" x14ac:dyDescent="0.4">
      <c r="A660">
        <v>934</v>
      </c>
      <c r="B660">
        <v>2</v>
      </c>
      <c r="C660">
        <v>2</v>
      </c>
      <c r="D660">
        <v>2</v>
      </c>
      <c r="E660">
        <v>3</v>
      </c>
    </row>
    <row r="661" spans="1:5" x14ac:dyDescent="0.4">
      <c r="A661">
        <v>939</v>
      </c>
      <c r="B661">
        <v>3</v>
      </c>
      <c r="C661">
        <v>1</v>
      </c>
      <c r="D661">
        <v>2</v>
      </c>
      <c r="E661">
        <v>3</v>
      </c>
    </row>
    <row r="662" spans="1:5" x14ac:dyDescent="0.4">
      <c r="A662">
        <v>475</v>
      </c>
      <c r="B662">
        <v>4</v>
      </c>
      <c r="C662">
        <v>3</v>
      </c>
      <c r="D662">
        <v>2</v>
      </c>
      <c r="E662">
        <v>4</v>
      </c>
    </row>
    <row r="663" spans="1:5" x14ac:dyDescent="0.4">
      <c r="A663">
        <v>941</v>
      </c>
      <c r="B663">
        <v>2</v>
      </c>
      <c r="C663">
        <v>3</v>
      </c>
      <c r="D663">
        <v>2</v>
      </c>
      <c r="E663">
        <v>4</v>
      </c>
    </row>
    <row r="664" spans="1:5" x14ac:dyDescent="0.4">
      <c r="A664">
        <v>171</v>
      </c>
      <c r="B664">
        <v>2</v>
      </c>
      <c r="C664">
        <v>3</v>
      </c>
      <c r="D664">
        <v>4</v>
      </c>
      <c r="E664">
        <v>3</v>
      </c>
    </row>
    <row r="665" spans="1:5" x14ac:dyDescent="0.4">
      <c r="A665">
        <v>945</v>
      </c>
      <c r="B665">
        <v>4</v>
      </c>
      <c r="C665">
        <v>3</v>
      </c>
      <c r="D665">
        <v>1</v>
      </c>
      <c r="E665">
        <v>2</v>
      </c>
    </row>
    <row r="666" spans="1:5" x14ac:dyDescent="0.4">
      <c r="A666">
        <v>949</v>
      </c>
      <c r="B666">
        <v>2</v>
      </c>
      <c r="C666">
        <v>4</v>
      </c>
      <c r="D666">
        <v>3</v>
      </c>
      <c r="E666">
        <v>3</v>
      </c>
    </row>
    <row r="667" spans="1:5" x14ac:dyDescent="0.4">
      <c r="A667">
        <v>952</v>
      </c>
      <c r="B667">
        <v>3</v>
      </c>
      <c r="C667">
        <v>2</v>
      </c>
      <c r="D667">
        <v>3</v>
      </c>
      <c r="E667">
        <v>3</v>
      </c>
    </row>
    <row r="668" spans="1:5" x14ac:dyDescent="0.4">
      <c r="A668">
        <v>602</v>
      </c>
      <c r="B668">
        <v>3</v>
      </c>
      <c r="C668">
        <v>3</v>
      </c>
      <c r="D668">
        <v>1</v>
      </c>
      <c r="E668">
        <v>3</v>
      </c>
    </row>
    <row r="669" spans="1:5" x14ac:dyDescent="0.4">
      <c r="A669">
        <v>954</v>
      </c>
      <c r="B669">
        <v>1</v>
      </c>
      <c r="C669">
        <v>2</v>
      </c>
      <c r="D669">
        <v>2</v>
      </c>
      <c r="E669">
        <v>2</v>
      </c>
    </row>
    <row r="670" spans="1:5" x14ac:dyDescent="0.4">
      <c r="A670">
        <v>1249</v>
      </c>
      <c r="B670">
        <v>1</v>
      </c>
      <c r="C670">
        <v>4</v>
      </c>
      <c r="D670">
        <v>1</v>
      </c>
      <c r="E670">
        <v>3</v>
      </c>
    </row>
    <row r="671" spans="1:5" x14ac:dyDescent="0.4">
      <c r="A671">
        <v>1646</v>
      </c>
      <c r="B671">
        <v>1</v>
      </c>
      <c r="C671">
        <v>4</v>
      </c>
      <c r="D671">
        <v>3</v>
      </c>
      <c r="E671">
        <v>3</v>
      </c>
    </row>
    <row r="672" spans="1:5" x14ac:dyDescent="0.4">
      <c r="A672">
        <v>956</v>
      </c>
      <c r="B672">
        <v>3</v>
      </c>
      <c r="C672">
        <v>1</v>
      </c>
      <c r="D672">
        <v>2</v>
      </c>
      <c r="E672">
        <v>3</v>
      </c>
    </row>
    <row r="673" spans="1:5" x14ac:dyDescent="0.4">
      <c r="A673">
        <v>920</v>
      </c>
      <c r="B673">
        <v>1</v>
      </c>
      <c r="C673">
        <v>2</v>
      </c>
      <c r="D673">
        <v>3</v>
      </c>
      <c r="E673">
        <v>4</v>
      </c>
    </row>
    <row r="674" spans="1:5" x14ac:dyDescent="0.4">
      <c r="A674">
        <v>957</v>
      </c>
      <c r="B674">
        <v>4</v>
      </c>
      <c r="C674">
        <v>1</v>
      </c>
      <c r="D674">
        <v>3</v>
      </c>
      <c r="E674">
        <v>3</v>
      </c>
    </row>
    <row r="675" spans="1:5" x14ac:dyDescent="0.4">
      <c r="A675">
        <v>1481</v>
      </c>
      <c r="B675">
        <v>1</v>
      </c>
      <c r="C675">
        <v>3</v>
      </c>
      <c r="D675">
        <v>3</v>
      </c>
      <c r="E675">
        <v>2</v>
      </c>
    </row>
    <row r="676" spans="1:5" x14ac:dyDescent="0.4">
      <c r="A676">
        <v>958</v>
      </c>
      <c r="B676">
        <v>3</v>
      </c>
      <c r="C676">
        <v>3</v>
      </c>
      <c r="D676">
        <v>3</v>
      </c>
      <c r="E676">
        <v>3</v>
      </c>
    </row>
    <row r="677" spans="1:5" x14ac:dyDescent="0.4">
      <c r="A677">
        <v>1870</v>
      </c>
      <c r="B677">
        <v>4</v>
      </c>
      <c r="C677">
        <v>1</v>
      </c>
      <c r="D677">
        <v>4</v>
      </c>
      <c r="E677">
        <v>2</v>
      </c>
    </row>
    <row r="678" spans="1:5" x14ac:dyDescent="0.4">
      <c r="A678">
        <v>959</v>
      </c>
      <c r="B678">
        <v>4</v>
      </c>
      <c r="C678">
        <v>2</v>
      </c>
      <c r="D678">
        <v>2</v>
      </c>
      <c r="E678">
        <v>4</v>
      </c>
    </row>
    <row r="679" spans="1:5" x14ac:dyDescent="0.4">
      <c r="A679">
        <v>1033</v>
      </c>
      <c r="B679">
        <v>1</v>
      </c>
      <c r="C679">
        <v>2</v>
      </c>
      <c r="D679">
        <v>1</v>
      </c>
      <c r="E679">
        <v>1</v>
      </c>
    </row>
    <row r="680" spans="1:5" x14ac:dyDescent="0.4">
      <c r="A680">
        <v>846</v>
      </c>
      <c r="B680">
        <v>2</v>
      </c>
      <c r="C680">
        <v>2</v>
      </c>
      <c r="D680">
        <v>1</v>
      </c>
      <c r="E680">
        <v>3</v>
      </c>
    </row>
    <row r="681" spans="1:5" x14ac:dyDescent="0.4">
      <c r="A681">
        <v>1428</v>
      </c>
      <c r="B681">
        <v>4</v>
      </c>
      <c r="C681">
        <v>1</v>
      </c>
      <c r="D681">
        <v>2</v>
      </c>
      <c r="E681">
        <v>3</v>
      </c>
    </row>
    <row r="682" spans="1:5" x14ac:dyDescent="0.4">
      <c r="A682">
        <v>578</v>
      </c>
      <c r="B682">
        <v>3</v>
      </c>
      <c r="C682">
        <v>3</v>
      </c>
      <c r="D682">
        <v>3</v>
      </c>
      <c r="E682">
        <v>3</v>
      </c>
    </row>
    <row r="683" spans="1:5" x14ac:dyDescent="0.4">
      <c r="A683">
        <v>2054</v>
      </c>
      <c r="B683">
        <v>4</v>
      </c>
      <c r="C683">
        <v>1</v>
      </c>
      <c r="D683">
        <v>2</v>
      </c>
      <c r="E683">
        <v>1</v>
      </c>
    </row>
    <row r="684" spans="1:5" x14ac:dyDescent="0.4">
      <c r="A684">
        <v>960</v>
      </c>
      <c r="B684">
        <v>1</v>
      </c>
      <c r="C684">
        <v>1</v>
      </c>
      <c r="D684">
        <v>2</v>
      </c>
      <c r="E684">
        <v>3</v>
      </c>
    </row>
    <row r="685" spans="1:5" x14ac:dyDescent="0.4">
      <c r="A685">
        <v>1886</v>
      </c>
      <c r="B685">
        <v>4</v>
      </c>
      <c r="C685">
        <v>2</v>
      </c>
      <c r="D685">
        <v>4</v>
      </c>
      <c r="E685">
        <v>3</v>
      </c>
    </row>
    <row r="686" spans="1:5" x14ac:dyDescent="0.4">
      <c r="A686">
        <v>1509</v>
      </c>
      <c r="B686">
        <v>3</v>
      </c>
      <c r="C686">
        <v>1</v>
      </c>
      <c r="D686">
        <v>1</v>
      </c>
      <c r="E686">
        <v>3</v>
      </c>
    </row>
    <row r="687" spans="1:5" x14ac:dyDescent="0.4">
      <c r="A687">
        <v>964</v>
      </c>
      <c r="B687">
        <v>4</v>
      </c>
      <c r="C687">
        <v>2</v>
      </c>
      <c r="D687">
        <v>4</v>
      </c>
      <c r="E687">
        <v>3</v>
      </c>
    </row>
    <row r="688" spans="1:5" x14ac:dyDescent="0.4">
      <c r="A688">
        <v>138</v>
      </c>
      <c r="B688">
        <v>1</v>
      </c>
      <c r="C688">
        <v>3</v>
      </c>
      <c r="D688">
        <v>3</v>
      </c>
      <c r="E688">
        <v>3</v>
      </c>
    </row>
    <row r="689" spans="1:5" x14ac:dyDescent="0.4">
      <c r="A689">
        <v>550</v>
      </c>
      <c r="B689">
        <v>3</v>
      </c>
      <c r="C689">
        <v>3</v>
      </c>
      <c r="D689">
        <v>3</v>
      </c>
      <c r="E689">
        <v>2</v>
      </c>
    </row>
    <row r="690" spans="1:5" x14ac:dyDescent="0.4">
      <c r="A690">
        <v>967</v>
      </c>
      <c r="B690">
        <v>3</v>
      </c>
      <c r="C690">
        <v>4</v>
      </c>
      <c r="D690">
        <v>1</v>
      </c>
      <c r="E690">
        <v>3</v>
      </c>
    </row>
    <row r="691" spans="1:5" x14ac:dyDescent="0.4">
      <c r="A691">
        <v>970</v>
      </c>
      <c r="B691">
        <v>1</v>
      </c>
      <c r="C691">
        <v>3</v>
      </c>
      <c r="D691">
        <v>3</v>
      </c>
      <c r="E691">
        <v>1</v>
      </c>
    </row>
    <row r="692" spans="1:5" x14ac:dyDescent="0.4">
      <c r="A692">
        <v>972</v>
      </c>
      <c r="B692">
        <v>3</v>
      </c>
      <c r="C692">
        <v>2</v>
      </c>
      <c r="D692">
        <v>2</v>
      </c>
      <c r="E692">
        <v>2</v>
      </c>
    </row>
    <row r="693" spans="1:5" x14ac:dyDescent="0.4">
      <c r="A693">
        <v>976</v>
      </c>
      <c r="B693">
        <v>4</v>
      </c>
      <c r="C693">
        <v>4</v>
      </c>
      <c r="D693">
        <v>2</v>
      </c>
      <c r="E693">
        <v>2</v>
      </c>
    </row>
    <row r="694" spans="1:5" x14ac:dyDescent="0.4">
      <c r="A694">
        <v>977</v>
      </c>
      <c r="B694">
        <v>4</v>
      </c>
      <c r="C694">
        <v>3</v>
      </c>
      <c r="D694">
        <v>1</v>
      </c>
      <c r="E694">
        <v>3</v>
      </c>
    </row>
    <row r="695" spans="1:5" x14ac:dyDescent="0.4">
      <c r="A695">
        <v>981</v>
      </c>
      <c r="B695">
        <v>3</v>
      </c>
      <c r="C695">
        <v>3</v>
      </c>
      <c r="D695">
        <v>3</v>
      </c>
      <c r="E695">
        <v>4</v>
      </c>
    </row>
    <row r="696" spans="1:5" x14ac:dyDescent="0.4">
      <c r="A696">
        <v>1502</v>
      </c>
      <c r="B696">
        <v>1</v>
      </c>
      <c r="C696">
        <v>2</v>
      </c>
      <c r="D696">
        <v>4</v>
      </c>
      <c r="E696">
        <v>3</v>
      </c>
    </row>
    <row r="697" spans="1:5" x14ac:dyDescent="0.4">
      <c r="A697">
        <v>982</v>
      </c>
      <c r="B697">
        <v>3</v>
      </c>
      <c r="C697">
        <v>3</v>
      </c>
      <c r="D697">
        <v>1</v>
      </c>
      <c r="E697">
        <v>4</v>
      </c>
    </row>
    <row r="698" spans="1:5" x14ac:dyDescent="0.4">
      <c r="A698">
        <v>2046</v>
      </c>
      <c r="B698">
        <v>4</v>
      </c>
      <c r="C698">
        <v>3</v>
      </c>
      <c r="D698">
        <v>3</v>
      </c>
      <c r="E698">
        <v>3</v>
      </c>
    </row>
    <row r="699" spans="1:5" x14ac:dyDescent="0.4">
      <c r="A699">
        <v>984</v>
      </c>
      <c r="B699">
        <v>4</v>
      </c>
      <c r="C699">
        <v>4</v>
      </c>
      <c r="D699">
        <v>2</v>
      </c>
      <c r="E699">
        <v>3</v>
      </c>
    </row>
    <row r="700" spans="1:5" x14ac:dyDescent="0.4">
      <c r="A700">
        <v>985</v>
      </c>
      <c r="B700">
        <v>1</v>
      </c>
      <c r="C700">
        <v>3</v>
      </c>
      <c r="D700">
        <v>4</v>
      </c>
      <c r="E700">
        <v>3</v>
      </c>
    </row>
    <row r="701" spans="1:5" x14ac:dyDescent="0.4">
      <c r="A701">
        <v>620</v>
      </c>
      <c r="B701">
        <v>1</v>
      </c>
      <c r="C701">
        <v>3</v>
      </c>
      <c r="D701">
        <v>4</v>
      </c>
      <c r="E701">
        <v>3</v>
      </c>
    </row>
    <row r="702" spans="1:5" x14ac:dyDescent="0.4">
      <c r="A702">
        <v>987</v>
      </c>
      <c r="B702">
        <v>3</v>
      </c>
      <c r="C702">
        <v>3</v>
      </c>
      <c r="D702">
        <v>3</v>
      </c>
      <c r="E702">
        <v>4</v>
      </c>
    </row>
    <row r="703" spans="1:5" x14ac:dyDescent="0.4">
      <c r="A703">
        <v>450</v>
      </c>
      <c r="B703">
        <v>4</v>
      </c>
      <c r="C703">
        <v>3</v>
      </c>
      <c r="D703">
        <v>4</v>
      </c>
      <c r="E703">
        <v>2</v>
      </c>
    </row>
    <row r="704" spans="1:5" x14ac:dyDescent="0.4">
      <c r="A704">
        <v>990</v>
      </c>
      <c r="B704">
        <v>1</v>
      </c>
      <c r="C704">
        <v>4</v>
      </c>
      <c r="D704">
        <v>4</v>
      </c>
      <c r="E704">
        <v>3</v>
      </c>
    </row>
    <row r="705" spans="1:5" x14ac:dyDescent="0.4">
      <c r="A705">
        <v>991</v>
      </c>
      <c r="B705">
        <v>3</v>
      </c>
      <c r="C705">
        <v>1</v>
      </c>
      <c r="D705">
        <v>1</v>
      </c>
      <c r="E705">
        <v>3</v>
      </c>
    </row>
    <row r="706" spans="1:5" x14ac:dyDescent="0.4">
      <c r="A706">
        <v>992</v>
      </c>
      <c r="B706">
        <v>4</v>
      </c>
      <c r="C706">
        <v>3</v>
      </c>
      <c r="D706">
        <v>4</v>
      </c>
      <c r="E706">
        <v>3</v>
      </c>
    </row>
    <row r="707" spans="1:5" x14ac:dyDescent="0.4">
      <c r="A707">
        <v>1622</v>
      </c>
      <c r="B707">
        <v>2</v>
      </c>
      <c r="C707">
        <v>1</v>
      </c>
      <c r="D707">
        <v>2</v>
      </c>
      <c r="E707">
        <v>2</v>
      </c>
    </row>
    <row r="708" spans="1:5" x14ac:dyDescent="0.4">
      <c r="A708">
        <v>2009</v>
      </c>
      <c r="B708">
        <v>2</v>
      </c>
      <c r="C708">
        <v>4</v>
      </c>
      <c r="D708">
        <v>1</v>
      </c>
      <c r="E708">
        <v>3</v>
      </c>
    </row>
    <row r="709" spans="1:5" x14ac:dyDescent="0.4">
      <c r="A709">
        <v>997</v>
      </c>
      <c r="B709">
        <v>4</v>
      </c>
      <c r="C709">
        <v>4</v>
      </c>
      <c r="D709">
        <v>3</v>
      </c>
      <c r="E709">
        <v>2</v>
      </c>
    </row>
    <row r="710" spans="1:5" x14ac:dyDescent="0.4">
      <c r="A710">
        <v>999</v>
      </c>
      <c r="B710">
        <v>1</v>
      </c>
      <c r="C710">
        <v>3</v>
      </c>
      <c r="D710">
        <v>2</v>
      </c>
      <c r="E710">
        <v>4</v>
      </c>
    </row>
    <row r="711" spans="1:5" x14ac:dyDescent="0.4">
      <c r="A711">
        <v>1002</v>
      </c>
      <c r="B711">
        <v>4</v>
      </c>
      <c r="C711">
        <v>1</v>
      </c>
      <c r="D711">
        <v>3</v>
      </c>
      <c r="E711">
        <v>3</v>
      </c>
    </row>
    <row r="712" spans="1:5" x14ac:dyDescent="0.4">
      <c r="A712">
        <v>350</v>
      </c>
      <c r="B712">
        <v>1</v>
      </c>
      <c r="C712">
        <v>3</v>
      </c>
      <c r="D712">
        <v>4</v>
      </c>
      <c r="E712">
        <v>3</v>
      </c>
    </row>
    <row r="713" spans="1:5" x14ac:dyDescent="0.4">
      <c r="A713">
        <v>1005</v>
      </c>
      <c r="B713">
        <v>4</v>
      </c>
      <c r="C713">
        <v>3</v>
      </c>
      <c r="D713">
        <v>4</v>
      </c>
      <c r="E713">
        <v>3</v>
      </c>
    </row>
    <row r="714" spans="1:5" x14ac:dyDescent="0.4">
      <c r="A714">
        <v>1006</v>
      </c>
      <c r="B714">
        <v>3</v>
      </c>
      <c r="C714">
        <v>3</v>
      </c>
      <c r="D714">
        <v>2</v>
      </c>
      <c r="E714">
        <v>2</v>
      </c>
    </row>
    <row r="715" spans="1:5" x14ac:dyDescent="0.4">
      <c r="A715">
        <v>1007</v>
      </c>
      <c r="B715">
        <v>4</v>
      </c>
      <c r="C715">
        <v>3</v>
      </c>
      <c r="D715">
        <v>2</v>
      </c>
      <c r="E715">
        <v>3</v>
      </c>
    </row>
    <row r="716" spans="1:5" x14ac:dyDescent="0.4">
      <c r="A716">
        <v>1010</v>
      </c>
      <c r="B716">
        <v>3</v>
      </c>
      <c r="C716">
        <v>2</v>
      </c>
      <c r="D716">
        <v>4</v>
      </c>
      <c r="E716">
        <v>1</v>
      </c>
    </row>
    <row r="717" spans="1:5" x14ac:dyDescent="0.4">
      <c r="A717">
        <v>1018</v>
      </c>
      <c r="B717">
        <v>4</v>
      </c>
      <c r="C717">
        <v>4</v>
      </c>
      <c r="D717">
        <v>2</v>
      </c>
      <c r="E717">
        <v>3</v>
      </c>
    </row>
    <row r="718" spans="1:5" x14ac:dyDescent="0.4">
      <c r="A718">
        <v>1019</v>
      </c>
      <c r="B718">
        <v>2</v>
      </c>
      <c r="C718">
        <v>1</v>
      </c>
      <c r="D718">
        <v>1</v>
      </c>
      <c r="E718">
        <v>2</v>
      </c>
    </row>
    <row r="719" spans="1:5" x14ac:dyDescent="0.4">
      <c r="A719">
        <v>1022</v>
      </c>
      <c r="B719">
        <v>1</v>
      </c>
      <c r="C719">
        <v>3</v>
      </c>
      <c r="D719">
        <v>4</v>
      </c>
      <c r="E719">
        <v>3</v>
      </c>
    </row>
    <row r="720" spans="1:5" x14ac:dyDescent="0.4">
      <c r="A720">
        <v>2018</v>
      </c>
      <c r="B720">
        <v>1</v>
      </c>
      <c r="C720">
        <v>3</v>
      </c>
      <c r="D720">
        <v>2</v>
      </c>
      <c r="E720">
        <v>2</v>
      </c>
    </row>
    <row r="721" spans="1:5" x14ac:dyDescent="0.4">
      <c r="A721">
        <v>1024</v>
      </c>
      <c r="B721">
        <v>3</v>
      </c>
      <c r="C721">
        <v>3</v>
      </c>
      <c r="D721">
        <v>2</v>
      </c>
      <c r="E721">
        <v>3</v>
      </c>
    </row>
    <row r="722" spans="1:5" x14ac:dyDescent="0.4">
      <c r="A722">
        <v>1028</v>
      </c>
      <c r="B722">
        <v>2</v>
      </c>
      <c r="C722">
        <v>4</v>
      </c>
      <c r="D722">
        <v>1</v>
      </c>
      <c r="E722">
        <v>2</v>
      </c>
    </row>
    <row r="723" spans="1:5" x14ac:dyDescent="0.4">
      <c r="A723">
        <v>33</v>
      </c>
      <c r="B723">
        <v>2</v>
      </c>
      <c r="C723">
        <v>1</v>
      </c>
      <c r="D723">
        <v>2</v>
      </c>
      <c r="E723">
        <v>3</v>
      </c>
    </row>
    <row r="724" spans="1:5" x14ac:dyDescent="0.4">
      <c r="A724">
        <v>340</v>
      </c>
      <c r="B724">
        <v>3</v>
      </c>
      <c r="C724">
        <v>1</v>
      </c>
      <c r="D724">
        <v>1</v>
      </c>
      <c r="E724">
        <v>2</v>
      </c>
    </row>
    <row r="725" spans="1:5" x14ac:dyDescent="0.4">
      <c r="A725">
        <v>246</v>
      </c>
      <c r="B725">
        <v>3</v>
      </c>
      <c r="C725">
        <v>4</v>
      </c>
      <c r="D725">
        <v>3</v>
      </c>
      <c r="E725">
        <v>3</v>
      </c>
    </row>
    <row r="726" spans="1:5" x14ac:dyDescent="0.4">
      <c r="A726">
        <v>1029</v>
      </c>
      <c r="B726">
        <v>4</v>
      </c>
      <c r="C726">
        <v>3</v>
      </c>
      <c r="D726">
        <v>2</v>
      </c>
      <c r="E726">
        <v>4</v>
      </c>
    </row>
    <row r="727" spans="1:5" x14ac:dyDescent="0.4">
      <c r="A727">
        <v>330</v>
      </c>
      <c r="B727">
        <v>3</v>
      </c>
      <c r="C727">
        <v>2</v>
      </c>
      <c r="D727">
        <v>1</v>
      </c>
      <c r="E727">
        <v>3</v>
      </c>
    </row>
    <row r="728" spans="1:5" x14ac:dyDescent="0.4">
      <c r="A728">
        <v>1640</v>
      </c>
      <c r="B728">
        <v>2</v>
      </c>
      <c r="C728">
        <v>2</v>
      </c>
      <c r="D728">
        <v>1</v>
      </c>
      <c r="E728">
        <v>1</v>
      </c>
    </row>
    <row r="729" spans="1:5" x14ac:dyDescent="0.4">
      <c r="A729">
        <v>500</v>
      </c>
      <c r="B729">
        <v>3</v>
      </c>
      <c r="C729">
        <v>4</v>
      </c>
      <c r="D729">
        <v>3</v>
      </c>
      <c r="E729">
        <v>2</v>
      </c>
    </row>
    <row r="730" spans="1:5" x14ac:dyDescent="0.4">
      <c r="A730">
        <v>1030</v>
      </c>
      <c r="B730">
        <v>1</v>
      </c>
      <c r="C730">
        <v>4</v>
      </c>
      <c r="D730">
        <v>2</v>
      </c>
      <c r="E730">
        <v>3</v>
      </c>
    </row>
    <row r="731" spans="1:5" x14ac:dyDescent="0.4">
      <c r="A731">
        <v>1034</v>
      </c>
      <c r="B731">
        <v>3</v>
      </c>
      <c r="C731">
        <v>2</v>
      </c>
      <c r="D731">
        <v>4</v>
      </c>
      <c r="E731">
        <v>3</v>
      </c>
    </row>
    <row r="732" spans="1:5" x14ac:dyDescent="0.4">
      <c r="A732">
        <v>1036</v>
      </c>
      <c r="B732">
        <v>2</v>
      </c>
      <c r="C732">
        <v>4</v>
      </c>
      <c r="D732">
        <v>3</v>
      </c>
      <c r="E732">
        <v>3</v>
      </c>
    </row>
    <row r="733" spans="1:5" x14ac:dyDescent="0.4">
      <c r="A733">
        <v>1037</v>
      </c>
      <c r="B733">
        <v>2</v>
      </c>
      <c r="C733">
        <v>1</v>
      </c>
      <c r="D733">
        <v>4</v>
      </c>
      <c r="E733">
        <v>3</v>
      </c>
    </row>
    <row r="734" spans="1:5" x14ac:dyDescent="0.4">
      <c r="A734">
        <v>1047</v>
      </c>
      <c r="B734">
        <v>2</v>
      </c>
      <c r="C734">
        <v>4</v>
      </c>
      <c r="D734">
        <v>4</v>
      </c>
      <c r="E734">
        <v>2</v>
      </c>
    </row>
    <row r="735" spans="1:5" x14ac:dyDescent="0.4">
      <c r="A735">
        <v>1048</v>
      </c>
      <c r="B735">
        <v>2</v>
      </c>
      <c r="C735">
        <v>4</v>
      </c>
      <c r="D735">
        <v>3</v>
      </c>
      <c r="E735">
        <v>1</v>
      </c>
    </row>
    <row r="736" spans="1:5" x14ac:dyDescent="0.4">
      <c r="A736">
        <v>1049</v>
      </c>
      <c r="B736">
        <v>2</v>
      </c>
      <c r="C736">
        <v>2</v>
      </c>
      <c r="D736">
        <v>1</v>
      </c>
      <c r="E736">
        <v>3</v>
      </c>
    </row>
    <row r="737" spans="1:5" x14ac:dyDescent="0.4">
      <c r="A737">
        <v>161</v>
      </c>
      <c r="B737">
        <v>2</v>
      </c>
      <c r="C737">
        <v>2</v>
      </c>
      <c r="D737">
        <v>1</v>
      </c>
      <c r="E737">
        <v>3</v>
      </c>
    </row>
    <row r="738" spans="1:5" x14ac:dyDescent="0.4">
      <c r="A738">
        <v>1052</v>
      </c>
      <c r="B738">
        <v>1</v>
      </c>
      <c r="C738">
        <v>3</v>
      </c>
      <c r="D738">
        <v>2</v>
      </c>
      <c r="E738">
        <v>2</v>
      </c>
    </row>
    <row r="739" spans="1:5" x14ac:dyDescent="0.4">
      <c r="A739">
        <v>1053</v>
      </c>
      <c r="B739">
        <v>1</v>
      </c>
      <c r="C739">
        <v>1</v>
      </c>
      <c r="D739">
        <v>2</v>
      </c>
      <c r="E739">
        <v>3</v>
      </c>
    </row>
    <row r="740" spans="1:5" x14ac:dyDescent="0.4">
      <c r="A740">
        <v>1745</v>
      </c>
      <c r="B740">
        <v>4</v>
      </c>
      <c r="C740">
        <v>1</v>
      </c>
      <c r="D740">
        <v>4</v>
      </c>
      <c r="E740">
        <v>3</v>
      </c>
    </row>
    <row r="741" spans="1:5" x14ac:dyDescent="0.4">
      <c r="A741">
        <v>1060</v>
      </c>
      <c r="B741">
        <v>3</v>
      </c>
      <c r="C741">
        <v>3</v>
      </c>
      <c r="D741">
        <v>1</v>
      </c>
      <c r="E741">
        <v>3</v>
      </c>
    </row>
    <row r="742" spans="1:5" x14ac:dyDescent="0.4">
      <c r="A742">
        <v>1061</v>
      </c>
      <c r="B742">
        <v>2</v>
      </c>
      <c r="C742">
        <v>3</v>
      </c>
      <c r="D742">
        <v>4</v>
      </c>
      <c r="E742">
        <v>2</v>
      </c>
    </row>
    <row r="743" spans="1:5" x14ac:dyDescent="0.4">
      <c r="A743">
        <v>1066</v>
      </c>
      <c r="B743">
        <v>3</v>
      </c>
      <c r="C743">
        <v>1</v>
      </c>
      <c r="D743">
        <v>2</v>
      </c>
      <c r="E743">
        <v>2</v>
      </c>
    </row>
    <row r="744" spans="1:5" x14ac:dyDescent="0.4">
      <c r="A744">
        <v>1916</v>
      </c>
      <c r="B744">
        <v>1</v>
      </c>
      <c r="C744">
        <v>3</v>
      </c>
      <c r="D744">
        <v>2</v>
      </c>
      <c r="E744">
        <v>2</v>
      </c>
    </row>
    <row r="745" spans="1:5" x14ac:dyDescent="0.4">
      <c r="A745">
        <v>1069</v>
      </c>
      <c r="B745">
        <v>4</v>
      </c>
      <c r="C745">
        <v>4</v>
      </c>
      <c r="D745">
        <v>4</v>
      </c>
      <c r="E745">
        <v>3</v>
      </c>
    </row>
    <row r="746" spans="1:5" x14ac:dyDescent="0.4">
      <c r="A746">
        <v>1074</v>
      </c>
      <c r="B746">
        <v>3</v>
      </c>
      <c r="C746">
        <v>1</v>
      </c>
      <c r="D746">
        <v>2</v>
      </c>
      <c r="E746">
        <v>4</v>
      </c>
    </row>
    <row r="747" spans="1:5" x14ac:dyDescent="0.4">
      <c r="A747">
        <v>1076</v>
      </c>
      <c r="B747">
        <v>3</v>
      </c>
      <c r="C747">
        <v>4</v>
      </c>
      <c r="D747">
        <v>3</v>
      </c>
      <c r="E747">
        <v>3</v>
      </c>
    </row>
    <row r="748" spans="1:5" x14ac:dyDescent="0.4">
      <c r="A748">
        <v>1081</v>
      </c>
      <c r="B748">
        <v>1</v>
      </c>
      <c r="C748">
        <v>3</v>
      </c>
      <c r="D748">
        <v>3</v>
      </c>
      <c r="E748">
        <v>4</v>
      </c>
    </row>
    <row r="749" spans="1:5" x14ac:dyDescent="0.4">
      <c r="A749">
        <v>1235</v>
      </c>
      <c r="B749">
        <v>4</v>
      </c>
      <c r="C749">
        <v>3</v>
      </c>
      <c r="D749">
        <v>4</v>
      </c>
      <c r="E749">
        <v>3</v>
      </c>
    </row>
    <row r="750" spans="1:5" x14ac:dyDescent="0.4">
      <c r="A750">
        <v>128</v>
      </c>
      <c r="B750">
        <v>1</v>
      </c>
      <c r="C750">
        <v>3</v>
      </c>
      <c r="D750">
        <v>1</v>
      </c>
      <c r="E750">
        <v>2</v>
      </c>
    </row>
    <row r="751" spans="1:5" x14ac:dyDescent="0.4">
      <c r="A751">
        <v>1025</v>
      </c>
      <c r="B751">
        <v>4</v>
      </c>
      <c r="C751">
        <v>3</v>
      </c>
      <c r="D751">
        <v>2</v>
      </c>
      <c r="E751">
        <v>3</v>
      </c>
    </row>
    <row r="752" spans="1:5" x14ac:dyDescent="0.4">
      <c r="A752">
        <v>1082</v>
      </c>
      <c r="B752">
        <v>2</v>
      </c>
      <c r="C752">
        <v>1</v>
      </c>
      <c r="D752">
        <v>1</v>
      </c>
      <c r="E752">
        <v>2</v>
      </c>
    </row>
    <row r="753" spans="1:5" x14ac:dyDescent="0.4">
      <c r="A753">
        <v>240</v>
      </c>
      <c r="B753">
        <v>3</v>
      </c>
      <c r="C753">
        <v>1</v>
      </c>
      <c r="D753">
        <v>1</v>
      </c>
      <c r="E753">
        <v>4</v>
      </c>
    </row>
    <row r="754" spans="1:5" x14ac:dyDescent="0.4">
      <c r="A754">
        <v>1083</v>
      </c>
      <c r="B754">
        <v>1</v>
      </c>
      <c r="C754">
        <v>1</v>
      </c>
      <c r="D754">
        <v>1</v>
      </c>
      <c r="E754">
        <v>3</v>
      </c>
    </row>
    <row r="755" spans="1:5" x14ac:dyDescent="0.4">
      <c r="A755">
        <v>1084</v>
      </c>
      <c r="B755">
        <v>3</v>
      </c>
      <c r="C755">
        <v>1</v>
      </c>
      <c r="D755">
        <v>3</v>
      </c>
      <c r="E755">
        <v>2</v>
      </c>
    </row>
    <row r="756" spans="1:5" x14ac:dyDescent="0.4">
      <c r="A756">
        <v>1092</v>
      </c>
      <c r="B756">
        <v>1</v>
      </c>
      <c r="C756">
        <v>4</v>
      </c>
      <c r="D756">
        <v>4</v>
      </c>
      <c r="E756">
        <v>3</v>
      </c>
    </row>
    <row r="757" spans="1:5" x14ac:dyDescent="0.4">
      <c r="A757">
        <v>1633</v>
      </c>
      <c r="B757">
        <v>1</v>
      </c>
      <c r="C757">
        <v>3</v>
      </c>
      <c r="D757">
        <v>4</v>
      </c>
      <c r="E757">
        <v>1</v>
      </c>
    </row>
    <row r="758" spans="1:5" x14ac:dyDescent="0.4">
      <c r="A758">
        <v>439</v>
      </c>
      <c r="B758">
        <v>1</v>
      </c>
      <c r="C758">
        <v>4</v>
      </c>
      <c r="D758">
        <v>3</v>
      </c>
      <c r="E758">
        <v>2</v>
      </c>
    </row>
    <row r="759" spans="1:5" x14ac:dyDescent="0.4">
      <c r="A759">
        <v>1094</v>
      </c>
      <c r="B759">
        <v>1</v>
      </c>
      <c r="C759">
        <v>3</v>
      </c>
      <c r="D759">
        <v>4</v>
      </c>
      <c r="E759">
        <v>3</v>
      </c>
    </row>
    <row r="760" spans="1:5" x14ac:dyDescent="0.4">
      <c r="A760">
        <v>1096</v>
      </c>
      <c r="B760">
        <v>4</v>
      </c>
      <c r="C760">
        <v>2</v>
      </c>
      <c r="D760">
        <v>2</v>
      </c>
      <c r="E760">
        <v>3</v>
      </c>
    </row>
    <row r="761" spans="1:5" x14ac:dyDescent="0.4">
      <c r="A761">
        <v>1098</v>
      </c>
      <c r="B761">
        <v>2</v>
      </c>
      <c r="C761">
        <v>1</v>
      </c>
      <c r="D761">
        <v>4</v>
      </c>
      <c r="E761">
        <v>3</v>
      </c>
    </row>
    <row r="762" spans="1:5" x14ac:dyDescent="0.4">
      <c r="A762">
        <v>574</v>
      </c>
      <c r="B762">
        <v>1</v>
      </c>
      <c r="C762">
        <v>4</v>
      </c>
      <c r="D762">
        <v>3</v>
      </c>
      <c r="E762">
        <v>3</v>
      </c>
    </row>
    <row r="763" spans="1:5" x14ac:dyDescent="0.4">
      <c r="A763">
        <v>1099</v>
      </c>
      <c r="B763">
        <v>4</v>
      </c>
      <c r="C763">
        <v>4</v>
      </c>
      <c r="D763">
        <v>3</v>
      </c>
      <c r="E763">
        <v>3</v>
      </c>
    </row>
    <row r="764" spans="1:5" x14ac:dyDescent="0.4">
      <c r="A764">
        <v>1100</v>
      </c>
      <c r="B764">
        <v>4</v>
      </c>
      <c r="C764">
        <v>1</v>
      </c>
      <c r="D764">
        <v>1</v>
      </c>
      <c r="E764">
        <v>3</v>
      </c>
    </row>
    <row r="765" spans="1:5" x14ac:dyDescent="0.4">
      <c r="A765">
        <v>1102</v>
      </c>
      <c r="B765">
        <v>1</v>
      </c>
      <c r="C765">
        <v>3</v>
      </c>
      <c r="D765">
        <v>4</v>
      </c>
      <c r="E765">
        <v>2</v>
      </c>
    </row>
    <row r="766" spans="1:5" x14ac:dyDescent="0.4">
      <c r="A766">
        <v>771</v>
      </c>
      <c r="B766">
        <v>4</v>
      </c>
      <c r="C766">
        <v>1</v>
      </c>
      <c r="D766">
        <v>1</v>
      </c>
      <c r="E766">
        <v>4</v>
      </c>
    </row>
    <row r="767" spans="1:5" x14ac:dyDescent="0.4">
      <c r="A767">
        <v>1103</v>
      </c>
      <c r="B767">
        <v>1</v>
      </c>
      <c r="C767">
        <v>4</v>
      </c>
      <c r="D767">
        <v>3</v>
      </c>
      <c r="E767">
        <v>2</v>
      </c>
    </row>
    <row r="768" spans="1:5" x14ac:dyDescent="0.4">
      <c r="A768">
        <v>1106</v>
      </c>
      <c r="B768">
        <v>4</v>
      </c>
      <c r="C768">
        <v>4</v>
      </c>
      <c r="D768">
        <v>2</v>
      </c>
      <c r="E768">
        <v>4</v>
      </c>
    </row>
    <row r="769" spans="1:5" x14ac:dyDescent="0.4">
      <c r="A769">
        <v>775</v>
      </c>
      <c r="B769">
        <v>2</v>
      </c>
      <c r="C769">
        <v>1</v>
      </c>
      <c r="D769">
        <v>3</v>
      </c>
      <c r="E769">
        <v>3</v>
      </c>
    </row>
    <row r="770" spans="1:5" x14ac:dyDescent="0.4">
      <c r="A770">
        <v>1107</v>
      </c>
      <c r="B770">
        <v>1</v>
      </c>
      <c r="C770">
        <v>3</v>
      </c>
      <c r="D770">
        <v>3</v>
      </c>
      <c r="E770">
        <v>2</v>
      </c>
    </row>
    <row r="771" spans="1:5" x14ac:dyDescent="0.4">
      <c r="A771">
        <v>1108</v>
      </c>
      <c r="B771">
        <v>1</v>
      </c>
      <c r="C771">
        <v>2</v>
      </c>
      <c r="D771">
        <v>2</v>
      </c>
      <c r="E771">
        <v>3</v>
      </c>
    </row>
    <row r="772" spans="1:5" x14ac:dyDescent="0.4">
      <c r="A772">
        <v>2025</v>
      </c>
      <c r="B772">
        <v>4</v>
      </c>
      <c r="C772">
        <v>2</v>
      </c>
      <c r="D772">
        <v>2</v>
      </c>
      <c r="E772">
        <v>3</v>
      </c>
    </row>
    <row r="773" spans="1:5" x14ac:dyDescent="0.4">
      <c r="A773">
        <v>1756</v>
      </c>
      <c r="B773">
        <v>4</v>
      </c>
      <c r="C773">
        <v>2</v>
      </c>
      <c r="D773">
        <v>4</v>
      </c>
      <c r="E773">
        <v>2</v>
      </c>
    </row>
    <row r="774" spans="1:5" x14ac:dyDescent="0.4">
      <c r="A774">
        <v>1109</v>
      </c>
      <c r="B774">
        <v>4</v>
      </c>
      <c r="C774">
        <v>1</v>
      </c>
      <c r="D774">
        <v>4</v>
      </c>
      <c r="E774">
        <v>3</v>
      </c>
    </row>
    <row r="775" spans="1:5" x14ac:dyDescent="0.4">
      <c r="A775">
        <v>1845</v>
      </c>
      <c r="B775">
        <v>3</v>
      </c>
      <c r="C775">
        <v>3</v>
      </c>
      <c r="D775">
        <v>2</v>
      </c>
      <c r="E775">
        <v>4</v>
      </c>
    </row>
    <row r="776" spans="1:5" x14ac:dyDescent="0.4">
      <c r="A776">
        <v>1111</v>
      </c>
      <c r="B776">
        <v>1</v>
      </c>
      <c r="C776">
        <v>2</v>
      </c>
      <c r="D776">
        <v>1</v>
      </c>
      <c r="E776">
        <v>3</v>
      </c>
    </row>
    <row r="777" spans="1:5" x14ac:dyDescent="0.4">
      <c r="A777">
        <v>1113</v>
      </c>
      <c r="B777">
        <v>4</v>
      </c>
      <c r="C777">
        <v>3</v>
      </c>
      <c r="D777">
        <v>4</v>
      </c>
      <c r="E777">
        <v>3</v>
      </c>
    </row>
    <row r="778" spans="1:5" x14ac:dyDescent="0.4">
      <c r="A778">
        <v>1115</v>
      </c>
      <c r="B778">
        <v>3</v>
      </c>
      <c r="C778">
        <v>4</v>
      </c>
      <c r="D778">
        <v>4</v>
      </c>
      <c r="E778">
        <v>3</v>
      </c>
    </row>
    <row r="779" spans="1:5" x14ac:dyDescent="0.4">
      <c r="A779">
        <v>1254</v>
      </c>
      <c r="B779">
        <v>3</v>
      </c>
      <c r="C779">
        <v>4</v>
      </c>
      <c r="D779">
        <v>4</v>
      </c>
      <c r="E779">
        <v>3</v>
      </c>
    </row>
    <row r="780" spans="1:5" x14ac:dyDescent="0.4">
      <c r="A780">
        <v>865</v>
      </c>
      <c r="B780">
        <v>3</v>
      </c>
      <c r="C780">
        <v>3</v>
      </c>
      <c r="D780">
        <v>3</v>
      </c>
      <c r="E780">
        <v>2</v>
      </c>
    </row>
    <row r="781" spans="1:5" x14ac:dyDescent="0.4">
      <c r="A781">
        <v>909</v>
      </c>
      <c r="B781">
        <v>4</v>
      </c>
      <c r="C781">
        <v>4</v>
      </c>
      <c r="D781">
        <v>3</v>
      </c>
      <c r="E781">
        <v>3</v>
      </c>
    </row>
    <row r="782" spans="1:5" x14ac:dyDescent="0.4">
      <c r="A782">
        <v>1962</v>
      </c>
      <c r="B782">
        <v>3</v>
      </c>
      <c r="C782">
        <v>4</v>
      </c>
      <c r="D782">
        <v>4</v>
      </c>
      <c r="E782">
        <v>3</v>
      </c>
    </row>
    <row r="783" spans="1:5" x14ac:dyDescent="0.4">
      <c r="A783">
        <v>1116</v>
      </c>
      <c r="B783">
        <v>1</v>
      </c>
      <c r="C783">
        <v>4</v>
      </c>
      <c r="D783">
        <v>3</v>
      </c>
      <c r="E783">
        <v>2</v>
      </c>
    </row>
    <row r="784" spans="1:5" x14ac:dyDescent="0.4">
      <c r="A784">
        <v>1118</v>
      </c>
      <c r="B784">
        <v>2</v>
      </c>
      <c r="C784">
        <v>2</v>
      </c>
      <c r="D784">
        <v>4</v>
      </c>
      <c r="E784">
        <v>3</v>
      </c>
    </row>
    <row r="785" spans="1:5" x14ac:dyDescent="0.4">
      <c r="A785">
        <v>1119</v>
      </c>
      <c r="B785">
        <v>3</v>
      </c>
      <c r="C785">
        <v>3</v>
      </c>
      <c r="D785">
        <v>2</v>
      </c>
      <c r="E785">
        <v>3</v>
      </c>
    </row>
    <row r="786" spans="1:5" x14ac:dyDescent="0.4">
      <c r="A786">
        <v>121</v>
      </c>
      <c r="B786">
        <v>3</v>
      </c>
      <c r="C786">
        <v>2</v>
      </c>
      <c r="D786">
        <v>2</v>
      </c>
      <c r="E786">
        <v>2</v>
      </c>
    </row>
    <row r="787" spans="1:5" x14ac:dyDescent="0.4">
      <c r="A787">
        <v>1124</v>
      </c>
      <c r="B787">
        <v>1</v>
      </c>
      <c r="C787">
        <v>3</v>
      </c>
      <c r="D787">
        <v>4</v>
      </c>
      <c r="E787">
        <v>3</v>
      </c>
    </row>
    <row r="788" spans="1:5" x14ac:dyDescent="0.4">
      <c r="A788">
        <v>1125</v>
      </c>
      <c r="B788">
        <v>4</v>
      </c>
      <c r="C788">
        <v>2</v>
      </c>
      <c r="D788">
        <v>3</v>
      </c>
      <c r="E788">
        <v>3</v>
      </c>
    </row>
    <row r="789" spans="1:5" x14ac:dyDescent="0.4">
      <c r="A789">
        <v>436</v>
      </c>
      <c r="B789">
        <v>3</v>
      </c>
      <c r="C789">
        <v>2</v>
      </c>
      <c r="D789">
        <v>4</v>
      </c>
      <c r="E789">
        <v>3</v>
      </c>
    </row>
    <row r="790" spans="1:5" x14ac:dyDescent="0.4">
      <c r="A790">
        <v>823</v>
      </c>
      <c r="B790">
        <v>3</v>
      </c>
      <c r="C790">
        <v>2</v>
      </c>
      <c r="D790">
        <v>1</v>
      </c>
      <c r="E790">
        <v>3</v>
      </c>
    </row>
    <row r="791" spans="1:5" x14ac:dyDescent="0.4">
      <c r="A791">
        <v>894</v>
      </c>
      <c r="B791">
        <v>3</v>
      </c>
      <c r="C791">
        <v>4</v>
      </c>
      <c r="D791">
        <v>2</v>
      </c>
      <c r="E791">
        <v>2</v>
      </c>
    </row>
    <row r="792" spans="1:5" x14ac:dyDescent="0.4">
      <c r="A792">
        <v>1127</v>
      </c>
      <c r="B792">
        <v>1</v>
      </c>
      <c r="C792">
        <v>4</v>
      </c>
      <c r="D792">
        <v>4</v>
      </c>
      <c r="E792">
        <v>3</v>
      </c>
    </row>
    <row r="793" spans="1:5" x14ac:dyDescent="0.4">
      <c r="A793">
        <v>445</v>
      </c>
      <c r="B793">
        <v>4</v>
      </c>
      <c r="C793">
        <v>3</v>
      </c>
      <c r="D793">
        <v>1</v>
      </c>
      <c r="E793">
        <v>2</v>
      </c>
    </row>
    <row r="794" spans="1:5" x14ac:dyDescent="0.4">
      <c r="A794">
        <v>1736</v>
      </c>
      <c r="B794">
        <v>4</v>
      </c>
      <c r="C794">
        <v>4</v>
      </c>
      <c r="D794">
        <v>4</v>
      </c>
      <c r="E794">
        <v>2</v>
      </c>
    </row>
    <row r="795" spans="1:5" x14ac:dyDescent="0.4">
      <c r="A795">
        <v>1128</v>
      </c>
      <c r="B795">
        <v>3</v>
      </c>
      <c r="C795">
        <v>3</v>
      </c>
      <c r="D795">
        <v>1</v>
      </c>
      <c r="E795">
        <v>4</v>
      </c>
    </row>
    <row r="796" spans="1:5" x14ac:dyDescent="0.4">
      <c r="A796">
        <v>1132</v>
      </c>
      <c r="B796">
        <v>3</v>
      </c>
      <c r="C796">
        <v>2</v>
      </c>
      <c r="D796">
        <v>3</v>
      </c>
      <c r="E796">
        <v>2</v>
      </c>
    </row>
    <row r="797" spans="1:5" x14ac:dyDescent="0.4">
      <c r="A797">
        <v>448</v>
      </c>
      <c r="B797">
        <v>3</v>
      </c>
      <c r="C797">
        <v>3</v>
      </c>
      <c r="D797">
        <v>2</v>
      </c>
      <c r="E797">
        <v>4</v>
      </c>
    </row>
    <row r="798" spans="1:5" x14ac:dyDescent="0.4">
      <c r="A798">
        <v>487</v>
      </c>
      <c r="B798">
        <v>3</v>
      </c>
      <c r="C798">
        <v>3</v>
      </c>
      <c r="D798">
        <v>3</v>
      </c>
      <c r="E798">
        <v>4</v>
      </c>
    </row>
    <row r="799" spans="1:5" x14ac:dyDescent="0.4">
      <c r="A799">
        <v>270</v>
      </c>
      <c r="B799">
        <v>3</v>
      </c>
      <c r="C799">
        <v>3</v>
      </c>
      <c r="D799">
        <v>2</v>
      </c>
      <c r="E799">
        <v>3</v>
      </c>
    </row>
    <row r="800" spans="1:5" x14ac:dyDescent="0.4">
      <c r="A800">
        <v>1133</v>
      </c>
      <c r="B800">
        <v>1</v>
      </c>
      <c r="C800">
        <v>4</v>
      </c>
      <c r="D800">
        <v>1</v>
      </c>
      <c r="E800">
        <v>3</v>
      </c>
    </row>
    <row r="801" spans="1:5" x14ac:dyDescent="0.4">
      <c r="A801">
        <v>1135</v>
      </c>
      <c r="B801">
        <v>3</v>
      </c>
      <c r="C801">
        <v>4</v>
      </c>
      <c r="D801">
        <v>1</v>
      </c>
      <c r="E801">
        <v>3</v>
      </c>
    </row>
    <row r="802" spans="1:5" x14ac:dyDescent="0.4">
      <c r="A802">
        <v>1136</v>
      </c>
      <c r="B802">
        <v>1</v>
      </c>
      <c r="C802">
        <v>2</v>
      </c>
      <c r="D802">
        <v>1</v>
      </c>
      <c r="E802">
        <v>1</v>
      </c>
    </row>
    <row r="803" spans="1:5" x14ac:dyDescent="0.4">
      <c r="A803">
        <v>1137</v>
      </c>
      <c r="B803">
        <v>4</v>
      </c>
      <c r="C803">
        <v>4</v>
      </c>
      <c r="D803">
        <v>4</v>
      </c>
      <c r="E803">
        <v>3</v>
      </c>
    </row>
    <row r="804" spans="1:5" x14ac:dyDescent="0.4">
      <c r="A804">
        <v>1138</v>
      </c>
      <c r="B804">
        <v>4</v>
      </c>
      <c r="C804">
        <v>2</v>
      </c>
      <c r="D804">
        <v>2</v>
      </c>
      <c r="E804">
        <v>3</v>
      </c>
    </row>
    <row r="805" spans="1:5" x14ac:dyDescent="0.4">
      <c r="A805">
        <v>1140</v>
      </c>
      <c r="B805">
        <v>4</v>
      </c>
      <c r="C805">
        <v>3</v>
      </c>
      <c r="D805">
        <v>4</v>
      </c>
      <c r="E805">
        <v>2</v>
      </c>
    </row>
    <row r="806" spans="1:5" x14ac:dyDescent="0.4">
      <c r="A806">
        <v>1148</v>
      </c>
      <c r="B806">
        <v>2</v>
      </c>
      <c r="C806">
        <v>4</v>
      </c>
      <c r="D806">
        <v>1</v>
      </c>
      <c r="E806">
        <v>3</v>
      </c>
    </row>
    <row r="807" spans="1:5" x14ac:dyDescent="0.4">
      <c r="A807">
        <v>1150</v>
      </c>
      <c r="B807">
        <v>2</v>
      </c>
      <c r="C807">
        <v>4</v>
      </c>
      <c r="D807">
        <v>3</v>
      </c>
      <c r="E807">
        <v>2</v>
      </c>
    </row>
    <row r="808" spans="1:5" x14ac:dyDescent="0.4">
      <c r="A808">
        <v>819</v>
      </c>
      <c r="B808">
        <v>1</v>
      </c>
      <c r="C808">
        <v>1</v>
      </c>
      <c r="D808">
        <v>3</v>
      </c>
      <c r="E808">
        <v>3</v>
      </c>
    </row>
    <row r="809" spans="1:5" x14ac:dyDescent="0.4">
      <c r="A809">
        <v>1152</v>
      </c>
      <c r="B809">
        <v>3</v>
      </c>
      <c r="C809">
        <v>3</v>
      </c>
      <c r="D809">
        <v>4</v>
      </c>
      <c r="E809">
        <v>4</v>
      </c>
    </row>
    <row r="810" spans="1:5" x14ac:dyDescent="0.4">
      <c r="A810">
        <v>107</v>
      </c>
      <c r="B810">
        <v>2</v>
      </c>
      <c r="C810">
        <v>4</v>
      </c>
      <c r="D810">
        <v>4</v>
      </c>
      <c r="E810">
        <v>3</v>
      </c>
    </row>
    <row r="811" spans="1:5" x14ac:dyDescent="0.4">
      <c r="A811">
        <v>1154</v>
      </c>
      <c r="B811">
        <v>3</v>
      </c>
      <c r="C811">
        <v>3</v>
      </c>
      <c r="D811">
        <v>4</v>
      </c>
      <c r="E811">
        <v>3</v>
      </c>
    </row>
    <row r="812" spans="1:5" x14ac:dyDescent="0.4">
      <c r="A812">
        <v>1156</v>
      </c>
      <c r="B812">
        <v>3</v>
      </c>
      <c r="C812">
        <v>3</v>
      </c>
      <c r="D812">
        <v>4</v>
      </c>
      <c r="E812">
        <v>3</v>
      </c>
    </row>
    <row r="813" spans="1:5" x14ac:dyDescent="0.4">
      <c r="A813">
        <v>1158</v>
      </c>
      <c r="B813">
        <v>2</v>
      </c>
      <c r="C813">
        <v>4</v>
      </c>
      <c r="D813">
        <v>1</v>
      </c>
      <c r="E813">
        <v>3</v>
      </c>
    </row>
    <row r="814" spans="1:5" x14ac:dyDescent="0.4">
      <c r="A814">
        <v>2041</v>
      </c>
      <c r="B814">
        <v>1</v>
      </c>
      <c r="C814">
        <v>4</v>
      </c>
      <c r="D814">
        <v>3</v>
      </c>
      <c r="E814">
        <v>3</v>
      </c>
    </row>
    <row r="815" spans="1:5" x14ac:dyDescent="0.4">
      <c r="A815">
        <v>1188</v>
      </c>
      <c r="B815">
        <v>1</v>
      </c>
      <c r="C815">
        <v>3</v>
      </c>
      <c r="D815">
        <v>2</v>
      </c>
      <c r="E815">
        <v>2</v>
      </c>
    </row>
    <row r="816" spans="1:5" x14ac:dyDescent="0.4">
      <c r="A816">
        <v>1160</v>
      </c>
      <c r="B816">
        <v>3</v>
      </c>
      <c r="C816">
        <v>3</v>
      </c>
      <c r="D816">
        <v>3</v>
      </c>
      <c r="E816">
        <v>2</v>
      </c>
    </row>
    <row r="817" spans="1:5" x14ac:dyDescent="0.4">
      <c r="A817">
        <v>1162</v>
      </c>
      <c r="B817">
        <v>4</v>
      </c>
      <c r="C817">
        <v>3</v>
      </c>
      <c r="D817">
        <v>3</v>
      </c>
      <c r="E817">
        <v>3</v>
      </c>
    </row>
    <row r="818" spans="1:5" x14ac:dyDescent="0.4">
      <c r="A818">
        <v>1369</v>
      </c>
      <c r="B818">
        <v>4</v>
      </c>
      <c r="C818">
        <v>4</v>
      </c>
      <c r="D818">
        <v>2</v>
      </c>
      <c r="E818">
        <v>3</v>
      </c>
    </row>
    <row r="819" spans="1:5" x14ac:dyDescent="0.4">
      <c r="A819">
        <v>1681</v>
      </c>
      <c r="B819">
        <v>3</v>
      </c>
      <c r="C819">
        <v>4</v>
      </c>
      <c r="D819">
        <v>3</v>
      </c>
      <c r="E819">
        <v>3</v>
      </c>
    </row>
    <row r="820" spans="1:5" x14ac:dyDescent="0.4">
      <c r="A820">
        <v>1164</v>
      </c>
      <c r="B820">
        <v>3</v>
      </c>
      <c r="C820">
        <v>3</v>
      </c>
      <c r="D820">
        <v>2</v>
      </c>
      <c r="E820">
        <v>1</v>
      </c>
    </row>
    <row r="821" spans="1:5" x14ac:dyDescent="0.4">
      <c r="A821">
        <v>52</v>
      </c>
      <c r="B821">
        <v>3</v>
      </c>
      <c r="C821">
        <v>1</v>
      </c>
      <c r="D821">
        <v>1</v>
      </c>
      <c r="E821">
        <v>3</v>
      </c>
    </row>
    <row r="822" spans="1:5" x14ac:dyDescent="0.4">
      <c r="A822">
        <v>1167</v>
      </c>
      <c r="B822">
        <v>3</v>
      </c>
      <c r="C822">
        <v>1</v>
      </c>
      <c r="D822">
        <v>2</v>
      </c>
      <c r="E822">
        <v>2</v>
      </c>
    </row>
    <row r="823" spans="1:5" x14ac:dyDescent="0.4">
      <c r="A823">
        <v>1935</v>
      </c>
      <c r="B823">
        <v>4</v>
      </c>
      <c r="C823">
        <v>1</v>
      </c>
      <c r="D823">
        <v>3</v>
      </c>
      <c r="E823">
        <v>3</v>
      </c>
    </row>
    <row r="824" spans="1:5" x14ac:dyDescent="0.4">
      <c r="A824">
        <v>1171</v>
      </c>
      <c r="B824">
        <v>2</v>
      </c>
      <c r="C824">
        <v>1</v>
      </c>
      <c r="D824">
        <v>4</v>
      </c>
      <c r="E824">
        <v>4</v>
      </c>
    </row>
    <row r="825" spans="1:5" x14ac:dyDescent="0.4">
      <c r="A825">
        <v>1172</v>
      </c>
      <c r="B825">
        <v>4</v>
      </c>
      <c r="C825">
        <v>3</v>
      </c>
      <c r="D825">
        <v>2</v>
      </c>
      <c r="E825">
        <v>3</v>
      </c>
    </row>
    <row r="826" spans="1:5" x14ac:dyDescent="0.4">
      <c r="A826">
        <v>1173</v>
      </c>
      <c r="B826">
        <v>4</v>
      </c>
      <c r="C826">
        <v>2</v>
      </c>
      <c r="D826">
        <v>4</v>
      </c>
      <c r="E826">
        <v>3</v>
      </c>
    </row>
    <row r="827" spans="1:5" x14ac:dyDescent="0.4">
      <c r="A827">
        <v>1177</v>
      </c>
      <c r="B827">
        <v>1</v>
      </c>
      <c r="C827">
        <v>4</v>
      </c>
      <c r="D827">
        <v>2</v>
      </c>
      <c r="E827">
        <v>3</v>
      </c>
    </row>
    <row r="828" spans="1:5" x14ac:dyDescent="0.4">
      <c r="A828">
        <v>1179</v>
      </c>
      <c r="B828">
        <v>3</v>
      </c>
      <c r="C828">
        <v>3</v>
      </c>
      <c r="D828">
        <v>1</v>
      </c>
      <c r="E828">
        <v>3</v>
      </c>
    </row>
    <row r="829" spans="1:5" x14ac:dyDescent="0.4">
      <c r="A829">
        <v>1835</v>
      </c>
      <c r="B829">
        <v>2</v>
      </c>
      <c r="C829">
        <v>4</v>
      </c>
      <c r="D829">
        <v>1</v>
      </c>
      <c r="E829">
        <v>2</v>
      </c>
    </row>
    <row r="830" spans="1:5" x14ac:dyDescent="0.4">
      <c r="A830">
        <v>1182</v>
      </c>
      <c r="B830">
        <v>3</v>
      </c>
      <c r="C830">
        <v>2</v>
      </c>
      <c r="D830">
        <v>2</v>
      </c>
      <c r="E830">
        <v>4</v>
      </c>
    </row>
    <row r="831" spans="1:5" x14ac:dyDescent="0.4">
      <c r="A831">
        <v>1294</v>
      </c>
      <c r="B831">
        <v>3</v>
      </c>
      <c r="C831">
        <v>2</v>
      </c>
      <c r="D831">
        <v>4</v>
      </c>
      <c r="E831">
        <v>3</v>
      </c>
    </row>
    <row r="832" spans="1:5" x14ac:dyDescent="0.4">
      <c r="A832">
        <v>1184</v>
      </c>
      <c r="B832">
        <v>4</v>
      </c>
      <c r="C832">
        <v>1</v>
      </c>
      <c r="D832">
        <v>3</v>
      </c>
      <c r="E832">
        <v>3</v>
      </c>
    </row>
    <row r="833" spans="1:5" x14ac:dyDescent="0.4">
      <c r="A833">
        <v>1185</v>
      </c>
      <c r="B833">
        <v>4</v>
      </c>
      <c r="C833">
        <v>4</v>
      </c>
      <c r="D833">
        <v>2</v>
      </c>
      <c r="E833">
        <v>4</v>
      </c>
    </row>
    <row r="834" spans="1:5" x14ac:dyDescent="0.4">
      <c r="A834">
        <v>1193</v>
      </c>
      <c r="B834">
        <v>3</v>
      </c>
      <c r="C834">
        <v>1</v>
      </c>
      <c r="D834">
        <v>3</v>
      </c>
      <c r="E834">
        <v>3</v>
      </c>
    </row>
    <row r="835" spans="1:5" x14ac:dyDescent="0.4">
      <c r="A835">
        <v>1658</v>
      </c>
      <c r="B835">
        <v>4</v>
      </c>
      <c r="C835">
        <v>2</v>
      </c>
      <c r="D835">
        <v>3</v>
      </c>
      <c r="E835">
        <v>3</v>
      </c>
    </row>
    <row r="836" spans="1:5" x14ac:dyDescent="0.4">
      <c r="A836">
        <v>1198</v>
      </c>
      <c r="B836">
        <v>1</v>
      </c>
      <c r="C836">
        <v>3</v>
      </c>
      <c r="D836">
        <v>1</v>
      </c>
      <c r="E836">
        <v>2</v>
      </c>
    </row>
    <row r="837" spans="1:5" x14ac:dyDescent="0.4">
      <c r="A837">
        <v>1200</v>
      </c>
      <c r="B837">
        <v>3</v>
      </c>
      <c r="C837">
        <v>3</v>
      </c>
      <c r="D837">
        <v>3</v>
      </c>
      <c r="E837">
        <v>3</v>
      </c>
    </row>
    <row r="838" spans="1:5" x14ac:dyDescent="0.4">
      <c r="A838">
        <v>68</v>
      </c>
      <c r="B838">
        <v>2</v>
      </c>
      <c r="C838">
        <v>1</v>
      </c>
      <c r="D838">
        <v>3</v>
      </c>
      <c r="E838">
        <v>2</v>
      </c>
    </row>
    <row r="839" spans="1:5" x14ac:dyDescent="0.4">
      <c r="A839">
        <v>1203</v>
      </c>
      <c r="B839">
        <v>3</v>
      </c>
      <c r="C839">
        <v>4</v>
      </c>
      <c r="D839">
        <v>2</v>
      </c>
      <c r="E839">
        <v>3</v>
      </c>
    </row>
    <row r="840" spans="1:5" x14ac:dyDescent="0.4">
      <c r="A840">
        <v>1392</v>
      </c>
      <c r="B840">
        <v>4</v>
      </c>
      <c r="C840">
        <v>4</v>
      </c>
      <c r="D840">
        <v>1</v>
      </c>
      <c r="E840">
        <v>2</v>
      </c>
    </row>
    <row r="841" spans="1:5" x14ac:dyDescent="0.4">
      <c r="A841">
        <v>1206</v>
      </c>
      <c r="B841">
        <v>4</v>
      </c>
      <c r="C841">
        <v>3</v>
      </c>
      <c r="D841">
        <v>4</v>
      </c>
      <c r="E841">
        <v>3</v>
      </c>
    </row>
    <row r="842" spans="1:5" x14ac:dyDescent="0.4">
      <c r="A842">
        <v>1784</v>
      </c>
      <c r="B842">
        <v>1</v>
      </c>
      <c r="C842">
        <v>4</v>
      </c>
      <c r="D842">
        <v>1</v>
      </c>
      <c r="E842">
        <v>3</v>
      </c>
    </row>
    <row r="843" spans="1:5" x14ac:dyDescent="0.4">
      <c r="A843">
        <v>1207</v>
      </c>
      <c r="B843">
        <v>2</v>
      </c>
      <c r="C843">
        <v>3</v>
      </c>
      <c r="D843">
        <v>4</v>
      </c>
      <c r="E843">
        <v>3</v>
      </c>
    </row>
    <row r="844" spans="1:5" x14ac:dyDescent="0.4">
      <c r="A844">
        <v>1210</v>
      </c>
      <c r="B844">
        <v>1</v>
      </c>
      <c r="C844">
        <v>1</v>
      </c>
      <c r="D844">
        <v>1</v>
      </c>
      <c r="E844">
        <v>1</v>
      </c>
    </row>
    <row r="845" spans="1:5" x14ac:dyDescent="0.4">
      <c r="A845">
        <v>91</v>
      </c>
      <c r="B845">
        <v>1</v>
      </c>
      <c r="C845">
        <v>3</v>
      </c>
      <c r="D845">
        <v>4</v>
      </c>
      <c r="E845">
        <v>2</v>
      </c>
    </row>
    <row r="846" spans="1:5" x14ac:dyDescent="0.4">
      <c r="A846">
        <v>1211</v>
      </c>
      <c r="B846">
        <v>3</v>
      </c>
      <c r="C846">
        <v>1</v>
      </c>
      <c r="D846">
        <v>3</v>
      </c>
      <c r="E846">
        <v>3</v>
      </c>
    </row>
    <row r="847" spans="1:5" x14ac:dyDescent="0.4">
      <c r="A847">
        <v>1673</v>
      </c>
      <c r="B847">
        <v>1</v>
      </c>
      <c r="C847">
        <v>4</v>
      </c>
      <c r="D847">
        <v>1</v>
      </c>
      <c r="E847">
        <v>3</v>
      </c>
    </row>
    <row r="848" spans="1:5" x14ac:dyDescent="0.4">
      <c r="A848">
        <v>1212</v>
      </c>
      <c r="B848">
        <v>2</v>
      </c>
      <c r="C848">
        <v>2</v>
      </c>
      <c r="D848">
        <v>4</v>
      </c>
      <c r="E848">
        <v>3</v>
      </c>
    </row>
    <row r="849" spans="1:5" x14ac:dyDescent="0.4">
      <c r="A849">
        <v>1216</v>
      </c>
      <c r="B849">
        <v>4</v>
      </c>
      <c r="C849">
        <v>1</v>
      </c>
      <c r="D849">
        <v>3</v>
      </c>
      <c r="E849">
        <v>3</v>
      </c>
    </row>
    <row r="850" spans="1:5" x14ac:dyDescent="0.4">
      <c r="A850">
        <v>1217</v>
      </c>
      <c r="B850">
        <v>4</v>
      </c>
      <c r="C850">
        <v>2</v>
      </c>
      <c r="D850">
        <v>1</v>
      </c>
      <c r="E850">
        <v>3</v>
      </c>
    </row>
    <row r="851" spans="1:5" x14ac:dyDescent="0.4">
      <c r="A851">
        <v>799</v>
      </c>
      <c r="B851">
        <v>4</v>
      </c>
      <c r="C851">
        <v>1</v>
      </c>
      <c r="D851">
        <v>2</v>
      </c>
      <c r="E851">
        <v>3</v>
      </c>
    </row>
    <row r="852" spans="1:5" x14ac:dyDescent="0.4">
      <c r="A852">
        <v>1218</v>
      </c>
      <c r="B852">
        <v>3</v>
      </c>
      <c r="C852">
        <v>1</v>
      </c>
      <c r="D852">
        <v>4</v>
      </c>
      <c r="E852">
        <v>3</v>
      </c>
    </row>
    <row r="853" spans="1:5" x14ac:dyDescent="0.4">
      <c r="A853">
        <v>1221</v>
      </c>
      <c r="B853">
        <v>3</v>
      </c>
      <c r="C853">
        <v>3</v>
      </c>
      <c r="D853">
        <v>3</v>
      </c>
      <c r="E853">
        <v>3</v>
      </c>
    </row>
    <row r="854" spans="1:5" x14ac:dyDescent="0.4">
      <c r="A854">
        <v>998</v>
      </c>
      <c r="B854">
        <v>3</v>
      </c>
      <c r="C854">
        <v>2</v>
      </c>
      <c r="D854">
        <v>1</v>
      </c>
      <c r="E854">
        <v>3</v>
      </c>
    </row>
    <row r="855" spans="1:5" x14ac:dyDescent="0.4">
      <c r="A855">
        <v>1224</v>
      </c>
      <c r="B855">
        <v>3</v>
      </c>
      <c r="C855">
        <v>3</v>
      </c>
      <c r="D855">
        <v>1</v>
      </c>
      <c r="E855">
        <v>2</v>
      </c>
    </row>
    <row r="856" spans="1:5" x14ac:dyDescent="0.4">
      <c r="A856">
        <v>1225</v>
      </c>
      <c r="B856">
        <v>4</v>
      </c>
      <c r="C856">
        <v>4</v>
      </c>
      <c r="D856">
        <v>2</v>
      </c>
      <c r="E856">
        <v>3</v>
      </c>
    </row>
    <row r="857" spans="1:5" x14ac:dyDescent="0.4">
      <c r="A857">
        <v>1226</v>
      </c>
      <c r="B857">
        <v>3</v>
      </c>
      <c r="C857">
        <v>4</v>
      </c>
      <c r="D857">
        <v>4</v>
      </c>
      <c r="E857">
        <v>3</v>
      </c>
    </row>
    <row r="858" spans="1:5" x14ac:dyDescent="0.4">
      <c r="A858">
        <v>690</v>
      </c>
      <c r="B858">
        <v>2</v>
      </c>
      <c r="C858">
        <v>3</v>
      </c>
      <c r="D858">
        <v>1</v>
      </c>
      <c r="E858">
        <v>2</v>
      </c>
    </row>
    <row r="859" spans="1:5" x14ac:dyDescent="0.4">
      <c r="A859">
        <v>1228</v>
      </c>
      <c r="B859">
        <v>4</v>
      </c>
      <c r="C859">
        <v>4</v>
      </c>
      <c r="D859">
        <v>3</v>
      </c>
      <c r="E859">
        <v>2</v>
      </c>
    </row>
    <row r="860" spans="1:5" x14ac:dyDescent="0.4">
      <c r="A860">
        <v>902</v>
      </c>
      <c r="B860">
        <v>4</v>
      </c>
      <c r="C860">
        <v>4</v>
      </c>
      <c r="D860">
        <v>2</v>
      </c>
      <c r="E860">
        <v>2</v>
      </c>
    </row>
    <row r="861" spans="1:5" x14ac:dyDescent="0.4">
      <c r="A861">
        <v>1231</v>
      </c>
      <c r="B861">
        <v>4</v>
      </c>
      <c r="C861">
        <v>1</v>
      </c>
      <c r="D861">
        <v>1</v>
      </c>
      <c r="E861">
        <v>4</v>
      </c>
    </row>
    <row r="862" spans="1:5" x14ac:dyDescent="0.4">
      <c r="A862">
        <v>1233</v>
      </c>
      <c r="B862">
        <v>2</v>
      </c>
      <c r="C862">
        <v>4</v>
      </c>
      <c r="D862">
        <v>2</v>
      </c>
      <c r="E862">
        <v>3</v>
      </c>
    </row>
    <row r="863" spans="1:5" x14ac:dyDescent="0.4">
      <c r="A863">
        <v>1238</v>
      </c>
      <c r="B863">
        <v>1</v>
      </c>
      <c r="C863">
        <v>4</v>
      </c>
      <c r="D863">
        <v>2</v>
      </c>
      <c r="E863">
        <v>3</v>
      </c>
    </row>
    <row r="864" spans="1:5" x14ac:dyDescent="0.4">
      <c r="A864">
        <v>1240</v>
      </c>
      <c r="B864">
        <v>3</v>
      </c>
      <c r="C864">
        <v>4</v>
      </c>
      <c r="D864">
        <v>2</v>
      </c>
      <c r="E864">
        <v>3</v>
      </c>
    </row>
    <row r="865" spans="1:5" x14ac:dyDescent="0.4">
      <c r="A865">
        <v>1117</v>
      </c>
      <c r="B865">
        <v>2</v>
      </c>
      <c r="C865">
        <v>3</v>
      </c>
      <c r="D865">
        <v>4</v>
      </c>
      <c r="E865">
        <v>3</v>
      </c>
    </row>
    <row r="866" spans="1:5" x14ac:dyDescent="0.4">
      <c r="A866">
        <v>202</v>
      </c>
      <c r="B866">
        <v>2</v>
      </c>
      <c r="C866">
        <v>2</v>
      </c>
      <c r="D866">
        <v>1</v>
      </c>
      <c r="E866">
        <v>3</v>
      </c>
    </row>
    <row r="867" spans="1:5" x14ac:dyDescent="0.4">
      <c r="A867">
        <v>382</v>
      </c>
      <c r="B867">
        <v>1</v>
      </c>
      <c r="C867">
        <v>1</v>
      </c>
      <c r="D867">
        <v>3</v>
      </c>
      <c r="E867">
        <v>3</v>
      </c>
    </row>
    <row r="868" spans="1:5" x14ac:dyDescent="0.4">
      <c r="A868">
        <v>1241</v>
      </c>
      <c r="B868">
        <v>4</v>
      </c>
      <c r="C868">
        <v>2</v>
      </c>
      <c r="D868">
        <v>1</v>
      </c>
      <c r="E868">
        <v>3</v>
      </c>
    </row>
    <row r="869" spans="1:5" x14ac:dyDescent="0.4">
      <c r="A869">
        <v>1436</v>
      </c>
      <c r="B869">
        <v>3</v>
      </c>
      <c r="C869">
        <v>1</v>
      </c>
      <c r="D869">
        <v>1</v>
      </c>
      <c r="E869">
        <v>2</v>
      </c>
    </row>
    <row r="870" spans="1:5" x14ac:dyDescent="0.4">
      <c r="A870">
        <v>1244</v>
      </c>
      <c r="B870">
        <v>1</v>
      </c>
      <c r="C870">
        <v>1</v>
      </c>
      <c r="D870">
        <v>4</v>
      </c>
      <c r="E870">
        <v>2</v>
      </c>
    </row>
    <row r="871" spans="1:5" x14ac:dyDescent="0.4">
      <c r="A871">
        <v>1250</v>
      </c>
      <c r="B871">
        <v>4</v>
      </c>
      <c r="C871">
        <v>4</v>
      </c>
      <c r="D871">
        <v>1</v>
      </c>
      <c r="E871">
        <v>3</v>
      </c>
    </row>
    <row r="872" spans="1:5" x14ac:dyDescent="0.4">
      <c r="A872">
        <v>983</v>
      </c>
      <c r="B872">
        <v>3</v>
      </c>
      <c r="C872">
        <v>4</v>
      </c>
      <c r="D872">
        <v>2</v>
      </c>
      <c r="E872">
        <v>3</v>
      </c>
    </row>
    <row r="873" spans="1:5" x14ac:dyDescent="0.4">
      <c r="A873">
        <v>1880</v>
      </c>
      <c r="B873">
        <v>2</v>
      </c>
      <c r="C873">
        <v>3</v>
      </c>
      <c r="D873">
        <v>1</v>
      </c>
      <c r="E873">
        <v>3</v>
      </c>
    </row>
    <row r="874" spans="1:5" x14ac:dyDescent="0.4">
      <c r="A874">
        <v>419</v>
      </c>
      <c r="B874">
        <v>2</v>
      </c>
      <c r="C874">
        <v>2</v>
      </c>
      <c r="D874">
        <v>3</v>
      </c>
      <c r="E874">
        <v>3</v>
      </c>
    </row>
    <row r="875" spans="1:5" x14ac:dyDescent="0.4">
      <c r="A875">
        <v>1251</v>
      </c>
      <c r="B875">
        <v>3</v>
      </c>
      <c r="C875">
        <v>1</v>
      </c>
      <c r="D875">
        <v>4</v>
      </c>
      <c r="E875">
        <v>2</v>
      </c>
    </row>
    <row r="876" spans="1:5" x14ac:dyDescent="0.4">
      <c r="A876">
        <v>1986</v>
      </c>
      <c r="B876">
        <v>2</v>
      </c>
      <c r="C876">
        <v>2</v>
      </c>
      <c r="D876">
        <v>3</v>
      </c>
      <c r="E876">
        <v>3</v>
      </c>
    </row>
    <row r="877" spans="1:5" x14ac:dyDescent="0.4">
      <c r="A877">
        <v>1255</v>
      </c>
      <c r="B877">
        <v>3</v>
      </c>
      <c r="C877">
        <v>4</v>
      </c>
      <c r="D877">
        <v>2</v>
      </c>
      <c r="E877">
        <v>3</v>
      </c>
    </row>
    <row r="878" spans="1:5" x14ac:dyDescent="0.4">
      <c r="A878">
        <v>1256</v>
      </c>
      <c r="B878">
        <v>1</v>
      </c>
      <c r="C878">
        <v>3</v>
      </c>
      <c r="D878">
        <v>3</v>
      </c>
      <c r="E878">
        <v>4</v>
      </c>
    </row>
    <row r="879" spans="1:5" x14ac:dyDescent="0.4">
      <c r="A879">
        <v>1163</v>
      </c>
      <c r="B879">
        <v>2</v>
      </c>
      <c r="C879">
        <v>3</v>
      </c>
      <c r="D879">
        <v>1</v>
      </c>
      <c r="E879">
        <v>2</v>
      </c>
    </row>
    <row r="880" spans="1:5" x14ac:dyDescent="0.4">
      <c r="A880">
        <v>516</v>
      </c>
      <c r="B880">
        <v>4</v>
      </c>
      <c r="C880">
        <v>2</v>
      </c>
      <c r="D880">
        <v>3</v>
      </c>
      <c r="E880">
        <v>3</v>
      </c>
    </row>
    <row r="881" spans="1:5" x14ac:dyDescent="0.4">
      <c r="A881">
        <v>1161</v>
      </c>
      <c r="B881">
        <v>3</v>
      </c>
      <c r="C881">
        <v>4</v>
      </c>
      <c r="D881">
        <v>3</v>
      </c>
      <c r="E881">
        <v>3</v>
      </c>
    </row>
    <row r="882" spans="1:5" x14ac:dyDescent="0.4">
      <c r="A882">
        <v>1929</v>
      </c>
      <c r="B882">
        <v>1</v>
      </c>
      <c r="C882">
        <v>3</v>
      </c>
      <c r="D882">
        <v>3</v>
      </c>
      <c r="E882">
        <v>3</v>
      </c>
    </row>
    <row r="883" spans="1:5" x14ac:dyDescent="0.4">
      <c r="A883">
        <v>1257</v>
      </c>
      <c r="B883">
        <v>3</v>
      </c>
      <c r="C883">
        <v>2</v>
      </c>
      <c r="D883">
        <v>3</v>
      </c>
      <c r="E883">
        <v>2</v>
      </c>
    </row>
    <row r="884" spans="1:5" x14ac:dyDescent="0.4">
      <c r="A884">
        <v>1258</v>
      </c>
      <c r="B884">
        <v>4</v>
      </c>
      <c r="C884">
        <v>2</v>
      </c>
      <c r="D884">
        <v>3</v>
      </c>
      <c r="E884">
        <v>2</v>
      </c>
    </row>
    <row r="885" spans="1:5" x14ac:dyDescent="0.4">
      <c r="A885">
        <v>1259</v>
      </c>
      <c r="B885">
        <v>1</v>
      </c>
      <c r="C885">
        <v>3</v>
      </c>
      <c r="D885">
        <v>2</v>
      </c>
      <c r="E885">
        <v>3</v>
      </c>
    </row>
    <row r="886" spans="1:5" x14ac:dyDescent="0.4">
      <c r="A886">
        <v>1260</v>
      </c>
      <c r="B886">
        <v>3</v>
      </c>
      <c r="C886">
        <v>4</v>
      </c>
      <c r="D886">
        <v>2</v>
      </c>
      <c r="E886">
        <v>3</v>
      </c>
    </row>
    <row r="887" spans="1:5" x14ac:dyDescent="0.4">
      <c r="A887">
        <v>1263</v>
      </c>
      <c r="B887">
        <v>4</v>
      </c>
      <c r="C887">
        <v>4</v>
      </c>
      <c r="D887">
        <v>3</v>
      </c>
      <c r="E887">
        <v>4</v>
      </c>
    </row>
    <row r="888" spans="1:5" x14ac:dyDescent="0.4">
      <c r="A888">
        <v>1487</v>
      </c>
      <c r="B888">
        <v>1</v>
      </c>
      <c r="C888">
        <v>2</v>
      </c>
      <c r="D888">
        <v>1</v>
      </c>
      <c r="E888">
        <v>1</v>
      </c>
    </row>
    <row r="889" spans="1:5" x14ac:dyDescent="0.4">
      <c r="A889">
        <v>1267</v>
      </c>
      <c r="B889">
        <v>2</v>
      </c>
      <c r="C889">
        <v>2</v>
      </c>
      <c r="D889">
        <v>3</v>
      </c>
      <c r="E889">
        <v>3</v>
      </c>
    </row>
    <row r="890" spans="1:5" x14ac:dyDescent="0.4">
      <c r="A890">
        <v>1403</v>
      </c>
      <c r="B890">
        <v>4</v>
      </c>
      <c r="C890">
        <v>4</v>
      </c>
      <c r="D890">
        <v>4</v>
      </c>
      <c r="E890">
        <v>3</v>
      </c>
    </row>
    <row r="891" spans="1:5" x14ac:dyDescent="0.4">
      <c r="A891">
        <v>1611</v>
      </c>
      <c r="B891">
        <v>3</v>
      </c>
      <c r="C891">
        <v>1</v>
      </c>
      <c r="D891">
        <v>1</v>
      </c>
      <c r="E891">
        <v>3</v>
      </c>
    </row>
    <row r="892" spans="1:5" x14ac:dyDescent="0.4">
      <c r="A892">
        <v>1635</v>
      </c>
      <c r="B892">
        <v>4</v>
      </c>
      <c r="C892">
        <v>4</v>
      </c>
      <c r="D892">
        <v>1</v>
      </c>
      <c r="E892">
        <v>3</v>
      </c>
    </row>
    <row r="893" spans="1:5" x14ac:dyDescent="0.4">
      <c r="A893">
        <v>1268</v>
      </c>
      <c r="B893">
        <v>4</v>
      </c>
      <c r="C893">
        <v>3</v>
      </c>
      <c r="D893">
        <v>4</v>
      </c>
      <c r="E893">
        <v>3</v>
      </c>
    </row>
    <row r="894" spans="1:5" x14ac:dyDescent="0.4">
      <c r="A894">
        <v>441</v>
      </c>
      <c r="B894">
        <v>4</v>
      </c>
      <c r="C894">
        <v>4</v>
      </c>
      <c r="D894">
        <v>4</v>
      </c>
      <c r="E894">
        <v>3</v>
      </c>
    </row>
    <row r="895" spans="1:5" x14ac:dyDescent="0.4">
      <c r="A895">
        <v>1275</v>
      </c>
      <c r="B895">
        <v>3</v>
      </c>
      <c r="C895">
        <v>4</v>
      </c>
      <c r="D895">
        <v>2</v>
      </c>
      <c r="E895">
        <v>2</v>
      </c>
    </row>
    <row r="896" spans="1:5" x14ac:dyDescent="0.4">
      <c r="A896">
        <v>1278</v>
      </c>
      <c r="B896">
        <v>4</v>
      </c>
      <c r="C896">
        <v>2</v>
      </c>
      <c r="D896">
        <v>4</v>
      </c>
      <c r="E896">
        <v>3</v>
      </c>
    </row>
    <row r="897" spans="1:5" x14ac:dyDescent="0.4">
      <c r="A897">
        <v>1282</v>
      </c>
      <c r="B897">
        <v>4</v>
      </c>
      <c r="C897">
        <v>2</v>
      </c>
      <c r="D897">
        <v>1</v>
      </c>
      <c r="E897">
        <v>2</v>
      </c>
    </row>
    <row r="898" spans="1:5" x14ac:dyDescent="0.4">
      <c r="A898">
        <v>1283</v>
      </c>
      <c r="B898">
        <v>4</v>
      </c>
      <c r="C898">
        <v>4</v>
      </c>
      <c r="D898">
        <v>4</v>
      </c>
      <c r="E898">
        <v>2</v>
      </c>
    </row>
    <row r="899" spans="1:5" x14ac:dyDescent="0.4">
      <c r="A899">
        <v>961</v>
      </c>
      <c r="B899">
        <v>4</v>
      </c>
      <c r="C899">
        <v>4</v>
      </c>
      <c r="D899">
        <v>3</v>
      </c>
      <c r="E899">
        <v>1</v>
      </c>
    </row>
    <row r="900" spans="1:5" x14ac:dyDescent="0.4">
      <c r="A900">
        <v>1286</v>
      </c>
      <c r="B900">
        <v>4</v>
      </c>
      <c r="C900">
        <v>3</v>
      </c>
      <c r="D900">
        <v>3</v>
      </c>
      <c r="E900">
        <v>2</v>
      </c>
    </row>
    <row r="901" spans="1:5" x14ac:dyDescent="0.4">
      <c r="A901">
        <v>1555</v>
      </c>
      <c r="B901">
        <v>4</v>
      </c>
      <c r="C901">
        <v>2</v>
      </c>
      <c r="D901">
        <v>1</v>
      </c>
      <c r="E901">
        <v>3</v>
      </c>
    </row>
    <row r="902" spans="1:5" x14ac:dyDescent="0.4">
      <c r="A902">
        <v>182</v>
      </c>
      <c r="B902">
        <v>4</v>
      </c>
      <c r="C902">
        <v>3</v>
      </c>
      <c r="D902">
        <v>3</v>
      </c>
      <c r="E902">
        <v>4</v>
      </c>
    </row>
    <row r="903" spans="1:5" x14ac:dyDescent="0.4">
      <c r="A903">
        <v>1888</v>
      </c>
      <c r="B903">
        <v>2</v>
      </c>
      <c r="C903">
        <v>4</v>
      </c>
      <c r="D903">
        <v>4</v>
      </c>
      <c r="E903">
        <v>2</v>
      </c>
    </row>
    <row r="904" spans="1:5" x14ac:dyDescent="0.4">
      <c r="A904">
        <v>1288</v>
      </c>
      <c r="B904">
        <v>3</v>
      </c>
      <c r="C904">
        <v>1</v>
      </c>
      <c r="D904">
        <v>4</v>
      </c>
      <c r="E904">
        <v>2</v>
      </c>
    </row>
    <row r="905" spans="1:5" x14ac:dyDescent="0.4">
      <c r="A905">
        <v>1289</v>
      </c>
      <c r="B905">
        <v>3</v>
      </c>
      <c r="C905">
        <v>2</v>
      </c>
      <c r="D905">
        <v>4</v>
      </c>
      <c r="E905">
        <v>4</v>
      </c>
    </row>
    <row r="906" spans="1:5" x14ac:dyDescent="0.4">
      <c r="A906">
        <v>1291</v>
      </c>
      <c r="B906">
        <v>3</v>
      </c>
      <c r="C906">
        <v>3</v>
      </c>
      <c r="D906">
        <v>4</v>
      </c>
      <c r="E906">
        <v>3</v>
      </c>
    </row>
    <row r="907" spans="1:5" x14ac:dyDescent="0.4">
      <c r="A907">
        <v>1296</v>
      </c>
      <c r="B907">
        <v>4</v>
      </c>
      <c r="C907">
        <v>4</v>
      </c>
      <c r="D907">
        <v>2</v>
      </c>
      <c r="E907">
        <v>3</v>
      </c>
    </row>
    <row r="908" spans="1:5" x14ac:dyDescent="0.4">
      <c r="A908">
        <v>303</v>
      </c>
      <c r="B908">
        <v>4</v>
      </c>
      <c r="C908">
        <v>1</v>
      </c>
      <c r="D908">
        <v>4</v>
      </c>
      <c r="E908">
        <v>3</v>
      </c>
    </row>
    <row r="909" spans="1:5" x14ac:dyDescent="0.4">
      <c r="A909">
        <v>1301</v>
      </c>
      <c r="B909">
        <v>4</v>
      </c>
      <c r="C909">
        <v>1</v>
      </c>
      <c r="D909">
        <v>2</v>
      </c>
      <c r="E909">
        <v>2</v>
      </c>
    </row>
    <row r="910" spans="1:5" x14ac:dyDescent="0.4">
      <c r="A910">
        <v>1304</v>
      </c>
      <c r="B910">
        <v>3</v>
      </c>
      <c r="C910">
        <v>4</v>
      </c>
      <c r="D910">
        <v>3</v>
      </c>
      <c r="E910">
        <v>4</v>
      </c>
    </row>
    <row r="911" spans="1:5" x14ac:dyDescent="0.4">
      <c r="A911">
        <v>1308</v>
      </c>
      <c r="B911">
        <v>1</v>
      </c>
      <c r="C911">
        <v>3</v>
      </c>
      <c r="D911">
        <v>4</v>
      </c>
      <c r="E911">
        <v>3</v>
      </c>
    </row>
    <row r="912" spans="1:5" x14ac:dyDescent="0.4">
      <c r="A912">
        <v>803</v>
      </c>
      <c r="B912">
        <v>1</v>
      </c>
      <c r="C912">
        <v>1</v>
      </c>
      <c r="D912">
        <v>4</v>
      </c>
      <c r="E912">
        <v>3</v>
      </c>
    </row>
    <row r="913" spans="1:5" x14ac:dyDescent="0.4">
      <c r="A913">
        <v>665</v>
      </c>
      <c r="B913">
        <v>1</v>
      </c>
      <c r="C913">
        <v>3</v>
      </c>
      <c r="D913">
        <v>2</v>
      </c>
      <c r="E913">
        <v>4</v>
      </c>
    </row>
    <row r="914" spans="1:5" x14ac:dyDescent="0.4">
      <c r="A914">
        <v>1</v>
      </c>
      <c r="B914">
        <v>2</v>
      </c>
      <c r="C914">
        <v>4</v>
      </c>
      <c r="D914">
        <v>1</v>
      </c>
      <c r="E914">
        <v>1</v>
      </c>
    </row>
    <row r="915" spans="1:5" x14ac:dyDescent="0.4">
      <c r="A915">
        <v>1309</v>
      </c>
      <c r="B915">
        <v>4</v>
      </c>
      <c r="C915">
        <v>3</v>
      </c>
      <c r="D915">
        <v>1</v>
      </c>
      <c r="E915">
        <v>3</v>
      </c>
    </row>
    <row r="916" spans="1:5" x14ac:dyDescent="0.4">
      <c r="A916">
        <v>1779</v>
      </c>
      <c r="B916">
        <v>4</v>
      </c>
      <c r="C916">
        <v>4</v>
      </c>
      <c r="D916">
        <v>1</v>
      </c>
      <c r="E916">
        <v>3</v>
      </c>
    </row>
    <row r="917" spans="1:5" x14ac:dyDescent="0.4">
      <c r="A917">
        <v>1310</v>
      </c>
      <c r="B917">
        <v>3</v>
      </c>
      <c r="C917">
        <v>1</v>
      </c>
      <c r="D917">
        <v>1</v>
      </c>
      <c r="E917">
        <v>3</v>
      </c>
    </row>
    <row r="918" spans="1:5" x14ac:dyDescent="0.4">
      <c r="A918">
        <v>827</v>
      </c>
      <c r="B918">
        <v>4</v>
      </c>
      <c r="C918">
        <v>4</v>
      </c>
      <c r="D918">
        <v>4</v>
      </c>
      <c r="E918">
        <v>3</v>
      </c>
    </row>
    <row r="919" spans="1:5" x14ac:dyDescent="0.4">
      <c r="A919">
        <v>1318</v>
      </c>
      <c r="B919">
        <v>4</v>
      </c>
      <c r="C919">
        <v>2</v>
      </c>
      <c r="D919">
        <v>3</v>
      </c>
      <c r="E919">
        <v>3</v>
      </c>
    </row>
    <row r="920" spans="1:5" x14ac:dyDescent="0.4">
      <c r="A920">
        <v>1319</v>
      </c>
      <c r="B920">
        <v>2</v>
      </c>
      <c r="C920">
        <v>2</v>
      </c>
      <c r="D920">
        <v>3</v>
      </c>
      <c r="E920">
        <v>2</v>
      </c>
    </row>
    <row r="921" spans="1:5" x14ac:dyDescent="0.4">
      <c r="A921">
        <v>548</v>
      </c>
      <c r="B921">
        <v>3</v>
      </c>
      <c r="C921">
        <v>4</v>
      </c>
      <c r="D921">
        <v>3</v>
      </c>
      <c r="E921">
        <v>3</v>
      </c>
    </row>
    <row r="922" spans="1:5" x14ac:dyDescent="0.4">
      <c r="A922">
        <v>456</v>
      </c>
      <c r="B922">
        <v>4</v>
      </c>
      <c r="C922">
        <v>3</v>
      </c>
      <c r="D922">
        <v>3</v>
      </c>
      <c r="E922">
        <v>3</v>
      </c>
    </row>
    <row r="923" spans="1:5" x14ac:dyDescent="0.4">
      <c r="A923">
        <v>1322</v>
      </c>
      <c r="B923">
        <v>1</v>
      </c>
      <c r="C923">
        <v>3</v>
      </c>
      <c r="D923">
        <v>1</v>
      </c>
      <c r="E923">
        <v>3</v>
      </c>
    </row>
    <row r="924" spans="1:5" x14ac:dyDescent="0.4">
      <c r="A924">
        <v>1356</v>
      </c>
      <c r="B924">
        <v>3</v>
      </c>
      <c r="C924">
        <v>1</v>
      </c>
      <c r="D924">
        <v>4</v>
      </c>
      <c r="E924">
        <v>4</v>
      </c>
    </row>
    <row r="925" spans="1:5" x14ac:dyDescent="0.4">
      <c r="A925">
        <v>1329</v>
      </c>
      <c r="B925">
        <v>3</v>
      </c>
      <c r="C925">
        <v>2</v>
      </c>
      <c r="D925">
        <v>1</v>
      </c>
      <c r="E925">
        <v>3</v>
      </c>
    </row>
    <row r="926" spans="1:5" x14ac:dyDescent="0.4">
      <c r="A926">
        <v>1333</v>
      </c>
      <c r="B926">
        <v>1</v>
      </c>
      <c r="C926">
        <v>1</v>
      </c>
      <c r="D926">
        <v>3</v>
      </c>
      <c r="E926">
        <v>4</v>
      </c>
    </row>
    <row r="927" spans="1:5" x14ac:dyDescent="0.4">
      <c r="A927">
        <v>757</v>
      </c>
      <c r="B927">
        <v>2</v>
      </c>
      <c r="C927">
        <v>3</v>
      </c>
      <c r="D927">
        <v>4</v>
      </c>
      <c r="E927">
        <v>3</v>
      </c>
    </row>
    <row r="928" spans="1:5" x14ac:dyDescent="0.4">
      <c r="A928">
        <v>1587</v>
      </c>
      <c r="B928">
        <v>1</v>
      </c>
      <c r="C928">
        <v>3</v>
      </c>
      <c r="D928">
        <v>3</v>
      </c>
      <c r="E928">
        <v>3</v>
      </c>
    </row>
    <row r="929" spans="1:5" x14ac:dyDescent="0.4">
      <c r="A929">
        <v>1334</v>
      </c>
      <c r="B929">
        <v>3</v>
      </c>
      <c r="C929">
        <v>3</v>
      </c>
      <c r="D929">
        <v>4</v>
      </c>
      <c r="E929">
        <v>2</v>
      </c>
    </row>
    <row r="930" spans="1:5" x14ac:dyDescent="0.4">
      <c r="A930">
        <v>1338</v>
      </c>
      <c r="B930">
        <v>4</v>
      </c>
      <c r="C930">
        <v>2</v>
      </c>
      <c r="D930">
        <v>1</v>
      </c>
      <c r="E930">
        <v>3</v>
      </c>
    </row>
    <row r="931" spans="1:5" x14ac:dyDescent="0.4">
      <c r="A931">
        <v>1340</v>
      </c>
      <c r="B931">
        <v>3</v>
      </c>
      <c r="C931">
        <v>3</v>
      </c>
      <c r="D931">
        <v>2</v>
      </c>
      <c r="E931">
        <v>3</v>
      </c>
    </row>
    <row r="932" spans="1:5" x14ac:dyDescent="0.4">
      <c r="A932">
        <v>1344</v>
      </c>
      <c r="B932">
        <v>4</v>
      </c>
      <c r="C932">
        <v>4</v>
      </c>
      <c r="D932">
        <v>4</v>
      </c>
      <c r="E932">
        <v>2</v>
      </c>
    </row>
    <row r="933" spans="1:5" x14ac:dyDescent="0.4">
      <c r="A933">
        <v>830</v>
      </c>
      <c r="B933">
        <v>3</v>
      </c>
      <c r="C933">
        <v>3</v>
      </c>
      <c r="D933">
        <v>3</v>
      </c>
      <c r="E933">
        <v>3</v>
      </c>
    </row>
    <row r="934" spans="1:5" x14ac:dyDescent="0.4">
      <c r="A934">
        <v>1346</v>
      </c>
      <c r="B934">
        <v>3</v>
      </c>
      <c r="C934">
        <v>4</v>
      </c>
      <c r="D934">
        <v>3</v>
      </c>
      <c r="E934">
        <v>3</v>
      </c>
    </row>
    <row r="935" spans="1:5" x14ac:dyDescent="0.4">
      <c r="A935">
        <v>1350</v>
      </c>
      <c r="B935">
        <v>3</v>
      </c>
      <c r="C935">
        <v>3</v>
      </c>
      <c r="D935">
        <v>2</v>
      </c>
      <c r="E935">
        <v>3</v>
      </c>
    </row>
    <row r="936" spans="1:5" x14ac:dyDescent="0.4">
      <c r="A936">
        <v>781</v>
      </c>
      <c r="B936">
        <v>3</v>
      </c>
      <c r="C936">
        <v>4</v>
      </c>
      <c r="D936">
        <v>2</v>
      </c>
      <c r="E936">
        <v>2</v>
      </c>
    </row>
    <row r="937" spans="1:5" x14ac:dyDescent="0.4">
      <c r="A937">
        <v>1352</v>
      </c>
      <c r="B937">
        <v>3</v>
      </c>
      <c r="C937">
        <v>2</v>
      </c>
      <c r="D937">
        <v>2</v>
      </c>
      <c r="E937">
        <v>3</v>
      </c>
    </row>
    <row r="938" spans="1:5" x14ac:dyDescent="0.4">
      <c r="A938">
        <v>1358</v>
      </c>
      <c r="B938">
        <v>4</v>
      </c>
      <c r="C938">
        <v>4</v>
      </c>
      <c r="D938">
        <v>3</v>
      </c>
      <c r="E938">
        <v>2</v>
      </c>
    </row>
    <row r="939" spans="1:5" x14ac:dyDescent="0.4">
      <c r="A939">
        <v>458</v>
      </c>
      <c r="B939">
        <v>2</v>
      </c>
      <c r="C939">
        <v>2</v>
      </c>
      <c r="D939">
        <v>1</v>
      </c>
      <c r="E939">
        <v>3</v>
      </c>
    </row>
    <row r="940" spans="1:5" x14ac:dyDescent="0.4">
      <c r="A940">
        <v>1361</v>
      </c>
      <c r="B940">
        <v>2</v>
      </c>
      <c r="C940">
        <v>2</v>
      </c>
      <c r="D940">
        <v>3</v>
      </c>
      <c r="E940">
        <v>3</v>
      </c>
    </row>
    <row r="941" spans="1:5" x14ac:dyDescent="0.4">
      <c r="A941">
        <v>1363</v>
      </c>
      <c r="B941">
        <v>4</v>
      </c>
      <c r="C941">
        <v>4</v>
      </c>
      <c r="D941">
        <v>3</v>
      </c>
      <c r="E941">
        <v>3</v>
      </c>
    </row>
    <row r="942" spans="1:5" x14ac:dyDescent="0.4">
      <c r="A942">
        <v>1371</v>
      </c>
      <c r="B942">
        <v>4</v>
      </c>
      <c r="C942">
        <v>4</v>
      </c>
      <c r="D942">
        <v>2</v>
      </c>
      <c r="E942">
        <v>3</v>
      </c>
    </row>
    <row r="943" spans="1:5" x14ac:dyDescent="0.4">
      <c r="A943">
        <v>936</v>
      </c>
      <c r="B943">
        <v>3</v>
      </c>
      <c r="C943">
        <v>3</v>
      </c>
      <c r="D943">
        <v>1</v>
      </c>
      <c r="E943">
        <v>3</v>
      </c>
    </row>
    <row r="944" spans="1:5" x14ac:dyDescent="0.4">
      <c r="A944">
        <v>1372</v>
      </c>
      <c r="B944">
        <v>1</v>
      </c>
      <c r="C944">
        <v>3</v>
      </c>
      <c r="D944">
        <v>3</v>
      </c>
      <c r="E944">
        <v>2</v>
      </c>
    </row>
    <row r="945" spans="1:5" x14ac:dyDescent="0.4">
      <c r="A945">
        <v>1373</v>
      </c>
      <c r="B945">
        <v>4</v>
      </c>
      <c r="C945">
        <v>2</v>
      </c>
      <c r="D945">
        <v>1</v>
      </c>
      <c r="E945">
        <v>3</v>
      </c>
    </row>
    <row r="946" spans="1:5" x14ac:dyDescent="0.4">
      <c r="A946">
        <v>1377</v>
      </c>
      <c r="B946">
        <v>2</v>
      </c>
      <c r="C946">
        <v>3</v>
      </c>
      <c r="D946">
        <v>1</v>
      </c>
      <c r="E946">
        <v>3</v>
      </c>
    </row>
    <row r="947" spans="1:5" x14ac:dyDescent="0.4">
      <c r="A947">
        <v>1382</v>
      </c>
      <c r="B947">
        <v>4</v>
      </c>
      <c r="C947">
        <v>3</v>
      </c>
      <c r="D947">
        <v>4</v>
      </c>
      <c r="E947">
        <v>3</v>
      </c>
    </row>
    <row r="948" spans="1:5" x14ac:dyDescent="0.4">
      <c r="A948">
        <v>1387</v>
      </c>
      <c r="B948">
        <v>3</v>
      </c>
      <c r="C948">
        <v>1</v>
      </c>
      <c r="D948">
        <v>3</v>
      </c>
      <c r="E948">
        <v>3</v>
      </c>
    </row>
    <row r="949" spans="1:5" x14ac:dyDescent="0.4">
      <c r="A949">
        <v>1389</v>
      </c>
      <c r="B949">
        <v>4</v>
      </c>
      <c r="C949">
        <v>3</v>
      </c>
      <c r="D949">
        <v>4</v>
      </c>
      <c r="E949">
        <v>2</v>
      </c>
    </row>
    <row r="950" spans="1:5" x14ac:dyDescent="0.4">
      <c r="A950">
        <v>1390</v>
      </c>
      <c r="B950">
        <v>1</v>
      </c>
      <c r="C950">
        <v>4</v>
      </c>
      <c r="D950">
        <v>4</v>
      </c>
      <c r="E950">
        <v>4</v>
      </c>
    </row>
    <row r="951" spans="1:5" x14ac:dyDescent="0.4">
      <c r="A951">
        <v>679</v>
      </c>
      <c r="B951">
        <v>1</v>
      </c>
      <c r="C951">
        <v>4</v>
      </c>
      <c r="D951">
        <v>4</v>
      </c>
      <c r="E951">
        <v>2</v>
      </c>
    </row>
    <row r="952" spans="1:5" x14ac:dyDescent="0.4">
      <c r="A952">
        <v>1985</v>
      </c>
      <c r="B952">
        <v>4</v>
      </c>
      <c r="C952">
        <v>3</v>
      </c>
      <c r="D952">
        <v>1</v>
      </c>
      <c r="E952">
        <v>4</v>
      </c>
    </row>
    <row r="953" spans="1:5" x14ac:dyDescent="0.4">
      <c r="A953">
        <v>1391</v>
      </c>
      <c r="B953">
        <v>2</v>
      </c>
      <c r="C953">
        <v>2</v>
      </c>
      <c r="D953">
        <v>2</v>
      </c>
      <c r="E953">
        <v>3</v>
      </c>
    </row>
    <row r="954" spans="1:5" x14ac:dyDescent="0.4">
      <c r="A954">
        <v>1394</v>
      </c>
      <c r="B954">
        <v>3</v>
      </c>
      <c r="C954">
        <v>3</v>
      </c>
      <c r="D954">
        <v>4</v>
      </c>
      <c r="E954">
        <v>3</v>
      </c>
    </row>
    <row r="955" spans="1:5" x14ac:dyDescent="0.4">
      <c r="A955">
        <v>1395</v>
      </c>
      <c r="B955">
        <v>2</v>
      </c>
      <c r="C955">
        <v>4</v>
      </c>
      <c r="D955">
        <v>1</v>
      </c>
      <c r="E955">
        <v>4</v>
      </c>
    </row>
    <row r="956" spans="1:5" x14ac:dyDescent="0.4">
      <c r="A956">
        <v>1040</v>
      </c>
      <c r="B956">
        <v>4</v>
      </c>
      <c r="C956">
        <v>3</v>
      </c>
      <c r="D956">
        <v>1</v>
      </c>
      <c r="E956">
        <v>3</v>
      </c>
    </row>
    <row r="957" spans="1:5" x14ac:dyDescent="0.4">
      <c r="A957">
        <v>1396</v>
      </c>
      <c r="B957">
        <v>3</v>
      </c>
      <c r="C957">
        <v>2</v>
      </c>
      <c r="D957">
        <v>1</v>
      </c>
      <c r="E957">
        <v>2</v>
      </c>
    </row>
    <row r="958" spans="1:5" x14ac:dyDescent="0.4">
      <c r="A958">
        <v>1375</v>
      </c>
      <c r="B958">
        <v>2</v>
      </c>
      <c r="C958">
        <v>3</v>
      </c>
      <c r="D958">
        <v>2</v>
      </c>
      <c r="E958">
        <v>3</v>
      </c>
    </row>
    <row r="959" spans="1:5" x14ac:dyDescent="0.4">
      <c r="A959">
        <v>1397</v>
      </c>
      <c r="B959">
        <v>3</v>
      </c>
      <c r="C959">
        <v>3</v>
      </c>
      <c r="D959">
        <v>2</v>
      </c>
      <c r="E959">
        <v>3</v>
      </c>
    </row>
    <row r="960" spans="1:5" x14ac:dyDescent="0.4">
      <c r="A960">
        <v>1399</v>
      </c>
      <c r="B960">
        <v>1</v>
      </c>
      <c r="C960">
        <v>3</v>
      </c>
      <c r="D960">
        <v>2</v>
      </c>
      <c r="E960">
        <v>2</v>
      </c>
    </row>
    <row r="961" spans="1:5" x14ac:dyDescent="0.4">
      <c r="A961">
        <v>1407</v>
      </c>
      <c r="B961">
        <v>1</v>
      </c>
      <c r="C961">
        <v>4</v>
      </c>
      <c r="D961">
        <v>4</v>
      </c>
      <c r="E961">
        <v>3</v>
      </c>
    </row>
    <row r="962" spans="1:5" x14ac:dyDescent="0.4">
      <c r="A962">
        <v>1412</v>
      </c>
      <c r="B962">
        <v>3</v>
      </c>
      <c r="C962">
        <v>4</v>
      </c>
      <c r="D962">
        <v>3</v>
      </c>
      <c r="E962">
        <v>3</v>
      </c>
    </row>
    <row r="963" spans="1:5" x14ac:dyDescent="0.4">
      <c r="A963">
        <v>760</v>
      </c>
      <c r="B963">
        <v>3</v>
      </c>
      <c r="C963">
        <v>2</v>
      </c>
      <c r="D963">
        <v>3</v>
      </c>
      <c r="E963">
        <v>1</v>
      </c>
    </row>
    <row r="964" spans="1:5" x14ac:dyDescent="0.4">
      <c r="A964">
        <v>1415</v>
      </c>
      <c r="B964">
        <v>1</v>
      </c>
      <c r="C964">
        <v>4</v>
      </c>
      <c r="D964">
        <v>2</v>
      </c>
      <c r="E964">
        <v>2</v>
      </c>
    </row>
    <row r="965" spans="1:5" x14ac:dyDescent="0.4">
      <c r="A965">
        <v>384</v>
      </c>
      <c r="B965">
        <v>3</v>
      </c>
      <c r="C965">
        <v>2</v>
      </c>
      <c r="D965">
        <v>1</v>
      </c>
      <c r="E965">
        <v>1</v>
      </c>
    </row>
    <row r="966" spans="1:5" x14ac:dyDescent="0.4">
      <c r="A966">
        <v>785</v>
      </c>
      <c r="B966">
        <v>2</v>
      </c>
      <c r="C966">
        <v>3</v>
      </c>
      <c r="D966">
        <v>4</v>
      </c>
      <c r="E966">
        <v>3</v>
      </c>
    </row>
    <row r="967" spans="1:5" x14ac:dyDescent="0.4">
      <c r="A967">
        <v>1417</v>
      </c>
      <c r="B967">
        <v>3</v>
      </c>
      <c r="C967">
        <v>1</v>
      </c>
      <c r="D967">
        <v>4</v>
      </c>
      <c r="E967">
        <v>3</v>
      </c>
    </row>
    <row r="968" spans="1:5" x14ac:dyDescent="0.4">
      <c r="A968">
        <v>1419</v>
      </c>
      <c r="B968">
        <v>2</v>
      </c>
      <c r="C968">
        <v>1</v>
      </c>
      <c r="D968">
        <v>1</v>
      </c>
      <c r="E968">
        <v>2</v>
      </c>
    </row>
    <row r="969" spans="1:5" x14ac:dyDescent="0.4">
      <c r="A969">
        <v>1420</v>
      </c>
      <c r="B969">
        <v>1</v>
      </c>
      <c r="C969">
        <v>1</v>
      </c>
      <c r="D969">
        <v>1</v>
      </c>
      <c r="E969">
        <v>3</v>
      </c>
    </row>
    <row r="970" spans="1:5" x14ac:dyDescent="0.4">
      <c r="A970">
        <v>1557</v>
      </c>
      <c r="B970">
        <v>3</v>
      </c>
      <c r="C970">
        <v>3</v>
      </c>
      <c r="D970">
        <v>3</v>
      </c>
      <c r="E970">
        <v>3</v>
      </c>
    </row>
    <row r="971" spans="1:5" x14ac:dyDescent="0.4">
      <c r="A971">
        <v>635</v>
      </c>
      <c r="B971">
        <v>2</v>
      </c>
      <c r="C971">
        <v>2</v>
      </c>
      <c r="D971">
        <v>2</v>
      </c>
      <c r="E971">
        <v>2</v>
      </c>
    </row>
    <row r="972" spans="1:5" x14ac:dyDescent="0.4">
      <c r="A972">
        <v>1424</v>
      </c>
      <c r="B972">
        <v>2</v>
      </c>
      <c r="C972">
        <v>4</v>
      </c>
      <c r="D972">
        <v>4</v>
      </c>
      <c r="E972">
        <v>4</v>
      </c>
    </row>
    <row r="973" spans="1:5" x14ac:dyDescent="0.4">
      <c r="A973">
        <v>1431</v>
      </c>
      <c r="B973">
        <v>4</v>
      </c>
      <c r="C973">
        <v>1</v>
      </c>
      <c r="D973">
        <v>3</v>
      </c>
      <c r="E973">
        <v>3</v>
      </c>
    </row>
    <row r="974" spans="1:5" x14ac:dyDescent="0.4">
      <c r="A974">
        <v>1196</v>
      </c>
      <c r="B974">
        <v>4</v>
      </c>
      <c r="C974">
        <v>4</v>
      </c>
      <c r="D974">
        <v>2</v>
      </c>
      <c r="E974">
        <v>2</v>
      </c>
    </row>
    <row r="975" spans="1:5" x14ac:dyDescent="0.4">
      <c r="A975">
        <v>1434</v>
      </c>
      <c r="B975">
        <v>2</v>
      </c>
      <c r="C975">
        <v>1</v>
      </c>
      <c r="D975">
        <v>2</v>
      </c>
      <c r="E975">
        <v>4</v>
      </c>
    </row>
    <row r="976" spans="1:5" x14ac:dyDescent="0.4">
      <c r="A976">
        <v>808</v>
      </c>
      <c r="B976">
        <v>3</v>
      </c>
      <c r="C976">
        <v>1</v>
      </c>
      <c r="D976">
        <v>2</v>
      </c>
      <c r="E976">
        <v>3</v>
      </c>
    </row>
    <row r="977" spans="1:5" x14ac:dyDescent="0.4">
      <c r="A977">
        <v>1898</v>
      </c>
      <c r="B977">
        <v>1</v>
      </c>
      <c r="C977">
        <v>3</v>
      </c>
      <c r="D977">
        <v>2</v>
      </c>
      <c r="E977">
        <v>2</v>
      </c>
    </row>
    <row r="978" spans="1:5" x14ac:dyDescent="0.4">
      <c r="A978">
        <v>1435</v>
      </c>
      <c r="B978">
        <v>1</v>
      </c>
      <c r="C978">
        <v>4</v>
      </c>
      <c r="D978">
        <v>3</v>
      </c>
      <c r="E978">
        <v>2</v>
      </c>
    </row>
    <row r="979" spans="1:5" x14ac:dyDescent="0.4">
      <c r="A979">
        <v>1822</v>
      </c>
      <c r="B979">
        <v>3</v>
      </c>
      <c r="C979">
        <v>4</v>
      </c>
      <c r="D979">
        <v>4</v>
      </c>
      <c r="E979">
        <v>3</v>
      </c>
    </row>
    <row r="980" spans="1:5" x14ac:dyDescent="0.4">
      <c r="A980">
        <v>1724</v>
      </c>
      <c r="B980">
        <v>2</v>
      </c>
      <c r="C980">
        <v>1</v>
      </c>
      <c r="D980">
        <v>2</v>
      </c>
      <c r="E980">
        <v>3</v>
      </c>
    </row>
    <row r="981" spans="1:5" x14ac:dyDescent="0.4">
      <c r="A981">
        <v>1438</v>
      </c>
      <c r="B981">
        <v>1</v>
      </c>
      <c r="C981">
        <v>4</v>
      </c>
      <c r="D981">
        <v>3</v>
      </c>
      <c r="E981">
        <v>2</v>
      </c>
    </row>
    <row r="982" spans="1:5" x14ac:dyDescent="0.4">
      <c r="A982">
        <v>523</v>
      </c>
      <c r="B982">
        <v>3</v>
      </c>
      <c r="C982">
        <v>3</v>
      </c>
      <c r="D982">
        <v>1</v>
      </c>
      <c r="E982">
        <v>3</v>
      </c>
    </row>
    <row r="983" spans="1:5" x14ac:dyDescent="0.4">
      <c r="A983">
        <v>1439</v>
      </c>
      <c r="B983">
        <v>1</v>
      </c>
      <c r="C983">
        <v>1</v>
      </c>
      <c r="D983">
        <v>1</v>
      </c>
      <c r="E983">
        <v>3</v>
      </c>
    </row>
    <row r="984" spans="1:5" x14ac:dyDescent="0.4">
      <c r="A984">
        <v>347</v>
      </c>
      <c r="B984">
        <v>4</v>
      </c>
      <c r="C984">
        <v>1</v>
      </c>
      <c r="D984">
        <v>3</v>
      </c>
      <c r="E984">
        <v>3</v>
      </c>
    </row>
    <row r="985" spans="1:5" x14ac:dyDescent="0.4">
      <c r="A985">
        <v>1440</v>
      </c>
      <c r="B985">
        <v>3</v>
      </c>
      <c r="C985">
        <v>3</v>
      </c>
      <c r="D985">
        <v>1</v>
      </c>
      <c r="E985">
        <v>1</v>
      </c>
    </row>
    <row r="986" spans="1:5" x14ac:dyDescent="0.4">
      <c r="A986">
        <v>1446</v>
      </c>
      <c r="B986">
        <v>4</v>
      </c>
      <c r="C986">
        <v>4</v>
      </c>
      <c r="D986">
        <v>3</v>
      </c>
      <c r="E986">
        <v>2</v>
      </c>
    </row>
    <row r="987" spans="1:5" x14ac:dyDescent="0.4">
      <c r="A987">
        <v>170</v>
      </c>
      <c r="B987">
        <v>3</v>
      </c>
      <c r="C987">
        <v>1</v>
      </c>
      <c r="D987">
        <v>3</v>
      </c>
      <c r="E987">
        <v>2</v>
      </c>
    </row>
    <row r="988" spans="1:5" x14ac:dyDescent="0.4">
      <c r="A988">
        <v>533</v>
      </c>
      <c r="B988">
        <v>2</v>
      </c>
      <c r="C988">
        <v>3</v>
      </c>
      <c r="D988">
        <v>2</v>
      </c>
      <c r="E988">
        <v>3</v>
      </c>
    </row>
    <row r="989" spans="1:5" x14ac:dyDescent="0.4">
      <c r="A989">
        <v>1448</v>
      </c>
      <c r="B989">
        <v>2</v>
      </c>
      <c r="C989">
        <v>3</v>
      </c>
      <c r="D989">
        <v>1</v>
      </c>
      <c r="E989">
        <v>2</v>
      </c>
    </row>
    <row r="990" spans="1:5" x14ac:dyDescent="0.4">
      <c r="A990">
        <v>1449</v>
      </c>
      <c r="B990">
        <v>3</v>
      </c>
      <c r="C990">
        <v>3</v>
      </c>
      <c r="D990">
        <v>3</v>
      </c>
      <c r="E990">
        <v>4</v>
      </c>
    </row>
    <row r="991" spans="1:5" x14ac:dyDescent="0.4">
      <c r="A991">
        <v>1912</v>
      </c>
      <c r="B991">
        <v>3</v>
      </c>
      <c r="C991">
        <v>4</v>
      </c>
      <c r="D991">
        <v>4</v>
      </c>
      <c r="E991">
        <v>3</v>
      </c>
    </row>
    <row r="992" spans="1:5" x14ac:dyDescent="0.4">
      <c r="A992">
        <v>1453</v>
      </c>
      <c r="B992">
        <v>1</v>
      </c>
      <c r="C992">
        <v>4</v>
      </c>
      <c r="D992">
        <v>1</v>
      </c>
      <c r="E992">
        <v>3</v>
      </c>
    </row>
    <row r="993" spans="1:5" x14ac:dyDescent="0.4">
      <c r="A993">
        <v>1457</v>
      </c>
      <c r="B993">
        <v>1</v>
      </c>
      <c r="C993">
        <v>4</v>
      </c>
      <c r="D993">
        <v>1</v>
      </c>
      <c r="E993">
        <v>4</v>
      </c>
    </row>
    <row r="994" spans="1:5" x14ac:dyDescent="0.4">
      <c r="A994">
        <v>1460</v>
      </c>
      <c r="B994">
        <v>2</v>
      </c>
      <c r="C994">
        <v>1</v>
      </c>
      <c r="D994">
        <v>2</v>
      </c>
      <c r="E994">
        <v>3</v>
      </c>
    </row>
    <row r="995" spans="1:5" x14ac:dyDescent="0.4">
      <c r="A995">
        <v>1464</v>
      </c>
      <c r="B995">
        <v>2</v>
      </c>
      <c r="C995">
        <v>4</v>
      </c>
      <c r="D995">
        <v>3</v>
      </c>
      <c r="E995">
        <v>1</v>
      </c>
    </row>
    <row r="996" spans="1:5" x14ac:dyDescent="0.4">
      <c r="A996">
        <v>1465</v>
      </c>
      <c r="B996">
        <v>2</v>
      </c>
      <c r="C996">
        <v>4</v>
      </c>
      <c r="D996">
        <v>4</v>
      </c>
      <c r="E996">
        <v>4</v>
      </c>
    </row>
    <row r="997" spans="1:5" x14ac:dyDescent="0.4">
      <c r="A997">
        <v>1466</v>
      </c>
      <c r="B997">
        <v>3</v>
      </c>
      <c r="C997">
        <v>1</v>
      </c>
      <c r="D997">
        <v>1</v>
      </c>
      <c r="E997">
        <v>3</v>
      </c>
    </row>
    <row r="998" spans="1:5" x14ac:dyDescent="0.4">
      <c r="A998">
        <v>2045</v>
      </c>
      <c r="B998">
        <v>2</v>
      </c>
      <c r="C998">
        <v>4</v>
      </c>
      <c r="D998">
        <v>1</v>
      </c>
      <c r="E998">
        <v>2</v>
      </c>
    </row>
    <row r="999" spans="1:5" x14ac:dyDescent="0.4">
      <c r="A999">
        <v>479</v>
      </c>
      <c r="B999">
        <v>4</v>
      </c>
      <c r="C999">
        <v>4</v>
      </c>
      <c r="D999">
        <v>2</v>
      </c>
      <c r="E999">
        <v>3</v>
      </c>
    </row>
    <row r="1000" spans="1:5" x14ac:dyDescent="0.4">
      <c r="A1000">
        <v>1955</v>
      </c>
      <c r="B1000">
        <v>3</v>
      </c>
      <c r="C1000">
        <v>4</v>
      </c>
      <c r="D1000">
        <v>2</v>
      </c>
      <c r="E1000">
        <v>3</v>
      </c>
    </row>
    <row r="1001" spans="1:5" x14ac:dyDescent="0.4">
      <c r="A1001">
        <v>1468</v>
      </c>
      <c r="B1001">
        <v>4</v>
      </c>
      <c r="C1001">
        <v>2</v>
      </c>
      <c r="D1001">
        <v>3</v>
      </c>
      <c r="E1001">
        <v>3</v>
      </c>
    </row>
    <row r="1002" spans="1:5" x14ac:dyDescent="0.4">
      <c r="A1002">
        <v>1315</v>
      </c>
      <c r="B1002">
        <v>3</v>
      </c>
      <c r="C1002">
        <v>4</v>
      </c>
      <c r="D1002">
        <v>1</v>
      </c>
      <c r="E1002">
        <v>3</v>
      </c>
    </row>
    <row r="1003" spans="1:5" x14ac:dyDescent="0.4">
      <c r="A1003">
        <v>1383</v>
      </c>
      <c r="B1003">
        <v>3</v>
      </c>
      <c r="C1003">
        <v>4</v>
      </c>
      <c r="D1003">
        <v>4</v>
      </c>
      <c r="E1003">
        <v>4</v>
      </c>
    </row>
    <row r="1004" spans="1:5" x14ac:dyDescent="0.4">
      <c r="A1004">
        <v>1105</v>
      </c>
      <c r="B1004">
        <v>4</v>
      </c>
      <c r="C1004">
        <v>4</v>
      </c>
      <c r="D1004">
        <v>3</v>
      </c>
      <c r="E1004">
        <v>3</v>
      </c>
    </row>
    <row r="1005" spans="1:5" x14ac:dyDescent="0.4">
      <c r="A1005">
        <v>299</v>
      </c>
      <c r="B1005">
        <v>3</v>
      </c>
      <c r="C1005">
        <v>1</v>
      </c>
      <c r="D1005">
        <v>3</v>
      </c>
      <c r="E1005">
        <v>2</v>
      </c>
    </row>
    <row r="1006" spans="1:5" x14ac:dyDescent="0.4">
      <c r="A1006">
        <v>2035</v>
      </c>
      <c r="B1006">
        <v>4</v>
      </c>
      <c r="C1006">
        <v>3</v>
      </c>
      <c r="D1006">
        <v>4</v>
      </c>
      <c r="E1006">
        <v>3</v>
      </c>
    </row>
    <row r="1007" spans="1:5" x14ac:dyDescent="0.4">
      <c r="A1007">
        <v>966</v>
      </c>
      <c r="B1007">
        <v>3</v>
      </c>
      <c r="C1007">
        <v>1</v>
      </c>
      <c r="D1007">
        <v>3</v>
      </c>
      <c r="E1007">
        <v>4</v>
      </c>
    </row>
    <row r="1008" spans="1:5" x14ac:dyDescent="0.4">
      <c r="A1008">
        <v>1469</v>
      </c>
      <c r="B1008">
        <v>4</v>
      </c>
      <c r="C1008">
        <v>1</v>
      </c>
      <c r="D1008">
        <v>4</v>
      </c>
      <c r="E1008">
        <v>3</v>
      </c>
    </row>
    <row r="1009" spans="1:5" x14ac:dyDescent="0.4">
      <c r="A1009">
        <v>1471</v>
      </c>
      <c r="B1009">
        <v>3</v>
      </c>
      <c r="C1009">
        <v>3</v>
      </c>
      <c r="D1009">
        <v>4</v>
      </c>
      <c r="E1009">
        <v>3</v>
      </c>
    </row>
    <row r="1010" spans="1:5" x14ac:dyDescent="0.4">
      <c r="A1010">
        <v>1472</v>
      </c>
      <c r="B1010">
        <v>4</v>
      </c>
      <c r="C1010">
        <v>2</v>
      </c>
      <c r="D1010">
        <v>2</v>
      </c>
      <c r="E1010">
        <v>2</v>
      </c>
    </row>
    <row r="1011" spans="1:5" x14ac:dyDescent="0.4">
      <c r="A1011">
        <v>1473</v>
      </c>
      <c r="B1011">
        <v>1</v>
      </c>
      <c r="C1011">
        <v>3</v>
      </c>
      <c r="D1011">
        <v>2</v>
      </c>
      <c r="E1011">
        <v>2</v>
      </c>
    </row>
    <row r="1012" spans="1:5" x14ac:dyDescent="0.4">
      <c r="A1012">
        <v>1474</v>
      </c>
      <c r="B1012">
        <v>3</v>
      </c>
      <c r="C1012">
        <v>3</v>
      </c>
      <c r="D1012">
        <v>3</v>
      </c>
      <c r="E1012">
        <v>4</v>
      </c>
    </row>
    <row r="1013" spans="1:5" x14ac:dyDescent="0.4">
      <c r="A1013">
        <v>1475</v>
      </c>
      <c r="B1013">
        <v>4</v>
      </c>
      <c r="C1013">
        <v>2</v>
      </c>
      <c r="D1013">
        <v>3</v>
      </c>
      <c r="E1013">
        <v>2</v>
      </c>
    </row>
    <row r="1014" spans="1:5" x14ac:dyDescent="0.4">
      <c r="A1014">
        <v>1477</v>
      </c>
      <c r="B1014">
        <v>4</v>
      </c>
      <c r="C1014">
        <v>1</v>
      </c>
      <c r="D1014">
        <v>1</v>
      </c>
      <c r="E1014">
        <v>3</v>
      </c>
    </row>
    <row r="1015" spans="1:5" x14ac:dyDescent="0.4">
      <c r="A1015">
        <v>1478</v>
      </c>
      <c r="B1015">
        <v>4</v>
      </c>
      <c r="C1015">
        <v>1</v>
      </c>
      <c r="D1015">
        <v>4</v>
      </c>
      <c r="E1015">
        <v>3</v>
      </c>
    </row>
    <row r="1016" spans="1:5" x14ac:dyDescent="0.4">
      <c r="A1016">
        <v>1479</v>
      </c>
      <c r="B1016">
        <v>4</v>
      </c>
      <c r="C1016">
        <v>3</v>
      </c>
      <c r="D1016">
        <v>3</v>
      </c>
      <c r="E1016">
        <v>2</v>
      </c>
    </row>
    <row r="1017" spans="1:5" x14ac:dyDescent="0.4">
      <c r="A1017">
        <v>616</v>
      </c>
      <c r="B1017">
        <v>1</v>
      </c>
      <c r="C1017">
        <v>3</v>
      </c>
      <c r="D1017">
        <v>1</v>
      </c>
      <c r="E1017">
        <v>3</v>
      </c>
    </row>
    <row r="1018" spans="1:5" x14ac:dyDescent="0.4">
      <c r="A1018">
        <v>764</v>
      </c>
      <c r="B1018">
        <v>4</v>
      </c>
      <c r="C1018">
        <v>1</v>
      </c>
      <c r="D1018">
        <v>1</v>
      </c>
      <c r="E1018">
        <v>1</v>
      </c>
    </row>
    <row r="1019" spans="1:5" x14ac:dyDescent="0.4">
      <c r="A1019">
        <v>1252</v>
      </c>
      <c r="B1019">
        <v>3</v>
      </c>
      <c r="C1019">
        <v>1</v>
      </c>
      <c r="D1019">
        <v>2</v>
      </c>
      <c r="E1019">
        <v>3</v>
      </c>
    </row>
    <row r="1020" spans="1:5" x14ac:dyDescent="0.4">
      <c r="A1020">
        <v>1585</v>
      </c>
      <c r="B1020">
        <v>2</v>
      </c>
      <c r="C1020">
        <v>3</v>
      </c>
      <c r="D1020">
        <v>1</v>
      </c>
      <c r="E1020">
        <v>3</v>
      </c>
    </row>
    <row r="1021" spans="1:5" x14ac:dyDescent="0.4">
      <c r="A1021">
        <v>1483</v>
      </c>
      <c r="B1021">
        <v>2</v>
      </c>
      <c r="C1021">
        <v>3</v>
      </c>
      <c r="D1021">
        <v>1</v>
      </c>
      <c r="E1021">
        <v>2</v>
      </c>
    </row>
    <row r="1022" spans="1:5" x14ac:dyDescent="0.4">
      <c r="A1022">
        <v>1484</v>
      </c>
      <c r="B1022">
        <v>3</v>
      </c>
      <c r="C1022">
        <v>2</v>
      </c>
      <c r="D1022">
        <v>2</v>
      </c>
      <c r="E1022">
        <v>3</v>
      </c>
    </row>
    <row r="1023" spans="1:5" x14ac:dyDescent="0.4">
      <c r="A1023">
        <v>1485</v>
      </c>
      <c r="B1023">
        <v>2</v>
      </c>
      <c r="C1023">
        <v>1</v>
      </c>
      <c r="D1023">
        <v>4</v>
      </c>
      <c r="E1023">
        <v>2</v>
      </c>
    </row>
    <row r="1024" spans="1:5" x14ac:dyDescent="0.4">
      <c r="A1024">
        <v>1486</v>
      </c>
      <c r="B1024">
        <v>1</v>
      </c>
      <c r="C1024">
        <v>3</v>
      </c>
      <c r="D1024">
        <v>4</v>
      </c>
      <c r="E1024">
        <v>4</v>
      </c>
    </row>
    <row r="1025" spans="1:5" x14ac:dyDescent="0.4">
      <c r="A1025">
        <v>1239</v>
      </c>
      <c r="B1025">
        <v>2</v>
      </c>
      <c r="C1025">
        <v>2</v>
      </c>
      <c r="D1025">
        <v>2</v>
      </c>
      <c r="E1025">
        <v>4</v>
      </c>
    </row>
    <row r="1026" spans="1:5" x14ac:dyDescent="0.4">
      <c r="A1026">
        <v>1830</v>
      </c>
      <c r="B1026">
        <v>4</v>
      </c>
      <c r="C1026">
        <v>4</v>
      </c>
      <c r="D1026">
        <v>2</v>
      </c>
      <c r="E1026">
        <v>2</v>
      </c>
    </row>
    <row r="1027" spans="1:5" x14ac:dyDescent="0.4">
      <c r="A1027">
        <v>1492</v>
      </c>
      <c r="B1027">
        <v>4</v>
      </c>
      <c r="C1027">
        <v>3</v>
      </c>
      <c r="D1027">
        <v>1</v>
      </c>
      <c r="E1027">
        <v>3</v>
      </c>
    </row>
    <row r="1028" spans="1:5" x14ac:dyDescent="0.4">
      <c r="A1028">
        <v>1494</v>
      </c>
      <c r="B1028">
        <v>2</v>
      </c>
      <c r="C1028">
        <v>1</v>
      </c>
      <c r="D1028">
        <v>3</v>
      </c>
      <c r="E1028">
        <v>2</v>
      </c>
    </row>
    <row r="1029" spans="1:5" x14ac:dyDescent="0.4">
      <c r="A1029">
        <v>833</v>
      </c>
      <c r="B1029">
        <v>3</v>
      </c>
      <c r="C1029">
        <v>4</v>
      </c>
      <c r="D1029">
        <v>2</v>
      </c>
      <c r="E1029">
        <v>2</v>
      </c>
    </row>
    <row r="1030" spans="1:5" x14ac:dyDescent="0.4">
      <c r="A1030">
        <v>1496</v>
      </c>
      <c r="B1030">
        <v>2</v>
      </c>
      <c r="C1030">
        <v>3</v>
      </c>
      <c r="D1030">
        <v>2</v>
      </c>
      <c r="E1030">
        <v>2</v>
      </c>
    </row>
    <row r="1031" spans="1:5" x14ac:dyDescent="0.4">
      <c r="A1031">
        <v>1355</v>
      </c>
      <c r="B1031">
        <v>2</v>
      </c>
      <c r="C1031">
        <v>1</v>
      </c>
      <c r="D1031">
        <v>4</v>
      </c>
      <c r="E1031">
        <v>3</v>
      </c>
    </row>
    <row r="1032" spans="1:5" x14ac:dyDescent="0.4">
      <c r="A1032">
        <v>1497</v>
      </c>
      <c r="B1032">
        <v>3</v>
      </c>
      <c r="C1032">
        <v>3</v>
      </c>
      <c r="D1032">
        <v>3</v>
      </c>
      <c r="E1032">
        <v>3</v>
      </c>
    </row>
    <row r="1033" spans="1:5" x14ac:dyDescent="0.4">
      <c r="A1033">
        <v>1499</v>
      </c>
      <c r="B1033">
        <v>3</v>
      </c>
      <c r="C1033">
        <v>3</v>
      </c>
      <c r="D1033">
        <v>1</v>
      </c>
      <c r="E1033">
        <v>4</v>
      </c>
    </row>
    <row r="1034" spans="1:5" x14ac:dyDescent="0.4">
      <c r="A1034">
        <v>947</v>
      </c>
      <c r="B1034">
        <v>4</v>
      </c>
      <c r="C1034">
        <v>3</v>
      </c>
      <c r="D1034">
        <v>4</v>
      </c>
      <c r="E1034">
        <v>2</v>
      </c>
    </row>
    <row r="1035" spans="1:5" x14ac:dyDescent="0.4">
      <c r="A1035">
        <v>969</v>
      </c>
      <c r="B1035">
        <v>2</v>
      </c>
      <c r="C1035">
        <v>4</v>
      </c>
      <c r="D1035">
        <v>1</v>
      </c>
      <c r="E1035">
        <v>3</v>
      </c>
    </row>
    <row r="1036" spans="1:5" x14ac:dyDescent="0.4">
      <c r="A1036">
        <v>1847</v>
      </c>
      <c r="B1036">
        <v>4</v>
      </c>
      <c r="C1036">
        <v>2</v>
      </c>
      <c r="D1036">
        <v>4</v>
      </c>
      <c r="E1036">
        <v>3</v>
      </c>
    </row>
    <row r="1037" spans="1:5" x14ac:dyDescent="0.4">
      <c r="A1037">
        <v>1501</v>
      </c>
      <c r="B1037">
        <v>4</v>
      </c>
      <c r="C1037">
        <v>3</v>
      </c>
      <c r="D1037">
        <v>2</v>
      </c>
      <c r="E1037">
        <v>3</v>
      </c>
    </row>
    <row r="1038" spans="1:5" x14ac:dyDescent="0.4">
      <c r="A1038">
        <v>1504</v>
      </c>
      <c r="B1038">
        <v>3</v>
      </c>
      <c r="C1038">
        <v>1</v>
      </c>
      <c r="D1038">
        <v>3</v>
      </c>
      <c r="E1038">
        <v>2</v>
      </c>
    </row>
    <row r="1039" spans="1:5" x14ac:dyDescent="0.4">
      <c r="A1039">
        <v>1506</v>
      </c>
      <c r="B1039">
        <v>1</v>
      </c>
      <c r="C1039">
        <v>3</v>
      </c>
      <c r="D1039">
        <v>4</v>
      </c>
      <c r="E1039">
        <v>1</v>
      </c>
    </row>
    <row r="1040" spans="1:5" x14ac:dyDescent="0.4">
      <c r="A1040">
        <v>1312</v>
      </c>
      <c r="B1040">
        <v>4</v>
      </c>
      <c r="C1040">
        <v>3</v>
      </c>
      <c r="D1040">
        <v>1</v>
      </c>
      <c r="E1040">
        <v>3</v>
      </c>
    </row>
    <row r="1041" spans="1:5" x14ac:dyDescent="0.4">
      <c r="A1041">
        <v>1507</v>
      </c>
      <c r="B1041">
        <v>3</v>
      </c>
      <c r="C1041">
        <v>1</v>
      </c>
      <c r="D1041">
        <v>4</v>
      </c>
      <c r="E1041">
        <v>3</v>
      </c>
    </row>
    <row r="1042" spans="1:5" x14ac:dyDescent="0.4">
      <c r="A1042">
        <v>1514</v>
      </c>
      <c r="B1042">
        <v>3</v>
      </c>
      <c r="C1042">
        <v>2</v>
      </c>
      <c r="D1042">
        <v>2</v>
      </c>
      <c r="E1042">
        <v>2</v>
      </c>
    </row>
    <row r="1043" spans="1:5" x14ac:dyDescent="0.4">
      <c r="A1043">
        <v>1515</v>
      </c>
      <c r="B1043">
        <v>4</v>
      </c>
      <c r="C1043">
        <v>3</v>
      </c>
      <c r="D1043">
        <v>1</v>
      </c>
      <c r="E1043">
        <v>3</v>
      </c>
    </row>
    <row r="1044" spans="1:5" x14ac:dyDescent="0.4">
      <c r="A1044">
        <v>462</v>
      </c>
      <c r="B1044">
        <v>3</v>
      </c>
      <c r="C1044">
        <v>4</v>
      </c>
      <c r="D1044">
        <v>3</v>
      </c>
      <c r="E1044">
        <v>2</v>
      </c>
    </row>
    <row r="1045" spans="1:5" x14ac:dyDescent="0.4">
      <c r="A1045">
        <v>1516</v>
      </c>
      <c r="B1045">
        <v>3</v>
      </c>
      <c r="C1045">
        <v>4</v>
      </c>
      <c r="D1045">
        <v>2</v>
      </c>
      <c r="E1045">
        <v>4</v>
      </c>
    </row>
    <row r="1046" spans="1:5" x14ac:dyDescent="0.4">
      <c r="A1046">
        <v>1522</v>
      </c>
      <c r="B1046">
        <v>1</v>
      </c>
      <c r="C1046">
        <v>1</v>
      </c>
      <c r="D1046">
        <v>3</v>
      </c>
      <c r="E1046">
        <v>1</v>
      </c>
    </row>
    <row r="1047" spans="1:5" x14ac:dyDescent="0.4">
      <c r="A1047">
        <v>1523</v>
      </c>
      <c r="B1047">
        <v>4</v>
      </c>
      <c r="C1047">
        <v>1</v>
      </c>
      <c r="D1047">
        <v>3</v>
      </c>
      <c r="E1047">
        <v>4</v>
      </c>
    </row>
    <row r="1048" spans="1:5" x14ac:dyDescent="0.4">
      <c r="A1048">
        <v>1869</v>
      </c>
      <c r="B1048">
        <v>3</v>
      </c>
      <c r="C1048">
        <v>2</v>
      </c>
      <c r="D1048">
        <v>3</v>
      </c>
      <c r="E1048">
        <v>3</v>
      </c>
    </row>
    <row r="1049" spans="1:5" x14ac:dyDescent="0.4">
      <c r="A1049">
        <v>1165</v>
      </c>
      <c r="B1049">
        <v>4</v>
      </c>
      <c r="C1049">
        <v>1</v>
      </c>
      <c r="D1049">
        <v>1</v>
      </c>
      <c r="E1049">
        <v>1</v>
      </c>
    </row>
    <row r="1050" spans="1:5" x14ac:dyDescent="0.4">
      <c r="A1050">
        <v>1533</v>
      </c>
      <c r="B1050">
        <v>1</v>
      </c>
      <c r="C1050">
        <v>3</v>
      </c>
      <c r="D1050">
        <v>2</v>
      </c>
      <c r="E1050">
        <v>3</v>
      </c>
    </row>
    <row r="1051" spans="1:5" x14ac:dyDescent="0.4">
      <c r="A1051">
        <v>1534</v>
      </c>
      <c r="B1051">
        <v>4</v>
      </c>
      <c r="C1051">
        <v>1</v>
      </c>
      <c r="D1051">
        <v>2</v>
      </c>
      <c r="E1051">
        <v>1</v>
      </c>
    </row>
    <row r="1052" spans="1:5" x14ac:dyDescent="0.4">
      <c r="A1052">
        <v>944</v>
      </c>
      <c r="B1052">
        <v>1</v>
      </c>
      <c r="C1052">
        <v>2</v>
      </c>
      <c r="D1052">
        <v>3</v>
      </c>
      <c r="E1052">
        <v>2</v>
      </c>
    </row>
    <row r="1053" spans="1:5" x14ac:dyDescent="0.4">
      <c r="A1053">
        <v>1535</v>
      </c>
      <c r="B1053">
        <v>4</v>
      </c>
      <c r="C1053">
        <v>3</v>
      </c>
      <c r="D1053">
        <v>4</v>
      </c>
      <c r="E1053">
        <v>3</v>
      </c>
    </row>
    <row r="1054" spans="1:5" x14ac:dyDescent="0.4">
      <c r="A1054">
        <v>725</v>
      </c>
      <c r="B1054">
        <v>3</v>
      </c>
      <c r="C1054">
        <v>1</v>
      </c>
      <c r="D1054">
        <v>4</v>
      </c>
      <c r="E1054">
        <v>3</v>
      </c>
    </row>
    <row r="1055" spans="1:5" x14ac:dyDescent="0.4">
      <c r="A1055">
        <v>1539</v>
      </c>
      <c r="B1055">
        <v>3</v>
      </c>
      <c r="C1055">
        <v>4</v>
      </c>
      <c r="D1055">
        <v>4</v>
      </c>
      <c r="E1055">
        <v>3</v>
      </c>
    </row>
    <row r="1056" spans="1:5" x14ac:dyDescent="0.4">
      <c r="A1056">
        <v>1541</v>
      </c>
      <c r="B1056">
        <v>2</v>
      </c>
      <c r="C1056">
        <v>3</v>
      </c>
      <c r="D1056">
        <v>2</v>
      </c>
      <c r="E1056">
        <v>3</v>
      </c>
    </row>
    <row r="1057" spans="1:5" x14ac:dyDescent="0.4">
      <c r="A1057">
        <v>1459</v>
      </c>
      <c r="B1057">
        <v>3</v>
      </c>
      <c r="C1057">
        <v>2</v>
      </c>
      <c r="D1057">
        <v>1</v>
      </c>
      <c r="E1057">
        <v>3</v>
      </c>
    </row>
    <row r="1058" spans="1:5" x14ac:dyDescent="0.4">
      <c r="A1058">
        <v>1542</v>
      </c>
      <c r="B1058">
        <v>3</v>
      </c>
      <c r="C1058">
        <v>2</v>
      </c>
      <c r="D1058">
        <v>2</v>
      </c>
      <c r="E1058">
        <v>3</v>
      </c>
    </row>
    <row r="1059" spans="1:5" x14ac:dyDescent="0.4">
      <c r="A1059">
        <v>145</v>
      </c>
      <c r="B1059">
        <v>1</v>
      </c>
      <c r="C1059">
        <v>1</v>
      </c>
      <c r="D1059">
        <v>3</v>
      </c>
      <c r="E1059">
        <v>2</v>
      </c>
    </row>
    <row r="1060" spans="1:5" x14ac:dyDescent="0.4">
      <c r="A1060">
        <v>623</v>
      </c>
      <c r="B1060">
        <v>2</v>
      </c>
      <c r="C1060">
        <v>4</v>
      </c>
      <c r="D1060">
        <v>4</v>
      </c>
      <c r="E1060">
        <v>4</v>
      </c>
    </row>
    <row r="1061" spans="1:5" x14ac:dyDescent="0.4">
      <c r="A1061">
        <v>1543</v>
      </c>
      <c r="B1061">
        <v>1</v>
      </c>
      <c r="C1061">
        <v>4</v>
      </c>
      <c r="D1061">
        <v>1</v>
      </c>
      <c r="E1061">
        <v>3</v>
      </c>
    </row>
    <row r="1062" spans="1:5" x14ac:dyDescent="0.4">
      <c r="A1062">
        <v>1050</v>
      </c>
      <c r="B1062">
        <v>3</v>
      </c>
      <c r="C1062">
        <v>2</v>
      </c>
      <c r="D1062">
        <v>1</v>
      </c>
      <c r="E1062">
        <v>3</v>
      </c>
    </row>
    <row r="1063" spans="1:5" x14ac:dyDescent="0.4">
      <c r="A1063">
        <v>1545</v>
      </c>
      <c r="B1063">
        <v>4</v>
      </c>
      <c r="C1063">
        <v>2</v>
      </c>
      <c r="D1063">
        <v>4</v>
      </c>
      <c r="E1063">
        <v>3</v>
      </c>
    </row>
    <row r="1064" spans="1:5" x14ac:dyDescent="0.4">
      <c r="A1064">
        <v>1421</v>
      </c>
      <c r="B1064">
        <v>3</v>
      </c>
      <c r="C1064">
        <v>4</v>
      </c>
      <c r="D1064">
        <v>1</v>
      </c>
      <c r="E1064">
        <v>3</v>
      </c>
    </row>
    <row r="1065" spans="1:5" x14ac:dyDescent="0.4">
      <c r="A1065">
        <v>1546</v>
      </c>
      <c r="B1065">
        <v>4</v>
      </c>
      <c r="C1065">
        <v>4</v>
      </c>
      <c r="D1065">
        <v>4</v>
      </c>
      <c r="E1065">
        <v>3</v>
      </c>
    </row>
    <row r="1066" spans="1:5" x14ac:dyDescent="0.4">
      <c r="A1066">
        <v>1547</v>
      </c>
      <c r="B1066">
        <v>4</v>
      </c>
      <c r="C1066">
        <v>4</v>
      </c>
      <c r="D1066">
        <v>3</v>
      </c>
      <c r="E1066">
        <v>1</v>
      </c>
    </row>
    <row r="1067" spans="1:5" x14ac:dyDescent="0.4">
      <c r="A1067">
        <v>724</v>
      </c>
      <c r="B1067">
        <v>2</v>
      </c>
      <c r="C1067">
        <v>4</v>
      </c>
      <c r="D1067">
        <v>3</v>
      </c>
      <c r="E1067">
        <v>2</v>
      </c>
    </row>
    <row r="1068" spans="1:5" x14ac:dyDescent="0.4">
      <c r="A1068">
        <v>1548</v>
      </c>
      <c r="B1068">
        <v>1</v>
      </c>
      <c r="C1068">
        <v>1</v>
      </c>
      <c r="D1068">
        <v>4</v>
      </c>
      <c r="E1068">
        <v>4</v>
      </c>
    </row>
    <row r="1069" spans="1:5" x14ac:dyDescent="0.4">
      <c r="A1069">
        <v>81</v>
      </c>
      <c r="B1069">
        <v>1</v>
      </c>
      <c r="C1069">
        <v>1</v>
      </c>
      <c r="D1069">
        <v>4</v>
      </c>
      <c r="E1069">
        <v>2</v>
      </c>
    </row>
    <row r="1070" spans="1:5" x14ac:dyDescent="0.4">
      <c r="A1070">
        <v>283</v>
      </c>
      <c r="B1070">
        <v>2</v>
      </c>
      <c r="C1070">
        <v>4</v>
      </c>
      <c r="D1070">
        <v>4</v>
      </c>
      <c r="E1070">
        <v>2</v>
      </c>
    </row>
    <row r="1071" spans="1:5" x14ac:dyDescent="0.4">
      <c r="A1071">
        <v>1549</v>
      </c>
      <c r="B1071">
        <v>2</v>
      </c>
      <c r="C1071">
        <v>3</v>
      </c>
      <c r="D1071">
        <v>2</v>
      </c>
      <c r="E1071">
        <v>3</v>
      </c>
    </row>
    <row r="1072" spans="1:5" x14ac:dyDescent="0.4">
      <c r="A1072">
        <v>2024</v>
      </c>
      <c r="B1072">
        <v>1</v>
      </c>
      <c r="C1072">
        <v>4</v>
      </c>
      <c r="D1072">
        <v>3</v>
      </c>
      <c r="E1072">
        <v>3</v>
      </c>
    </row>
    <row r="1073" spans="1:5" x14ac:dyDescent="0.4">
      <c r="A1073">
        <v>840</v>
      </c>
      <c r="B1073">
        <v>3</v>
      </c>
      <c r="C1073">
        <v>4</v>
      </c>
      <c r="D1073">
        <v>1</v>
      </c>
      <c r="E1073">
        <v>4</v>
      </c>
    </row>
    <row r="1074" spans="1:5" x14ac:dyDescent="0.4">
      <c r="A1074">
        <v>1121</v>
      </c>
      <c r="B1074">
        <v>4</v>
      </c>
      <c r="C1074">
        <v>2</v>
      </c>
      <c r="D1074">
        <v>2</v>
      </c>
      <c r="E1074">
        <v>2</v>
      </c>
    </row>
    <row r="1075" spans="1:5" x14ac:dyDescent="0.4">
      <c r="A1075">
        <v>1550</v>
      </c>
      <c r="B1075">
        <v>3</v>
      </c>
      <c r="C1075">
        <v>4</v>
      </c>
      <c r="D1075">
        <v>4</v>
      </c>
      <c r="E1075">
        <v>3</v>
      </c>
    </row>
    <row r="1076" spans="1:5" x14ac:dyDescent="0.4">
      <c r="A1076">
        <v>1551</v>
      </c>
      <c r="B1076">
        <v>3</v>
      </c>
      <c r="C1076">
        <v>1</v>
      </c>
      <c r="D1076">
        <v>2</v>
      </c>
      <c r="E1076">
        <v>3</v>
      </c>
    </row>
    <row r="1077" spans="1:5" x14ac:dyDescent="0.4">
      <c r="A1077">
        <v>1638</v>
      </c>
      <c r="B1077">
        <v>4</v>
      </c>
      <c r="C1077">
        <v>3</v>
      </c>
      <c r="D1077">
        <v>4</v>
      </c>
      <c r="E1077">
        <v>4</v>
      </c>
    </row>
    <row r="1078" spans="1:5" x14ac:dyDescent="0.4">
      <c r="A1078">
        <v>1552</v>
      </c>
      <c r="B1078">
        <v>4</v>
      </c>
      <c r="C1078">
        <v>4</v>
      </c>
      <c r="D1078">
        <v>3</v>
      </c>
      <c r="E1078">
        <v>3</v>
      </c>
    </row>
    <row r="1079" spans="1:5" x14ac:dyDescent="0.4">
      <c r="A1079">
        <v>1553</v>
      </c>
      <c r="B1079">
        <v>1</v>
      </c>
      <c r="C1079">
        <v>2</v>
      </c>
      <c r="D1079">
        <v>1</v>
      </c>
      <c r="E1079">
        <v>3</v>
      </c>
    </row>
    <row r="1080" spans="1:5" x14ac:dyDescent="0.4">
      <c r="A1080">
        <v>1556</v>
      </c>
      <c r="B1080">
        <v>3</v>
      </c>
      <c r="C1080">
        <v>4</v>
      </c>
      <c r="D1080">
        <v>4</v>
      </c>
      <c r="E1080">
        <v>2</v>
      </c>
    </row>
    <row r="1081" spans="1:5" x14ac:dyDescent="0.4">
      <c r="A1081">
        <v>743</v>
      </c>
      <c r="B1081">
        <v>3</v>
      </c>
      <c r="C1081">
        <v>3</v>
      </c>
      <c r="D1081">
        <v>4</v>
      </c>
      <c r="E1081">
        <v>4</v>
      </c>
    </row>
    <row r="1082" spans="1:5" x14ac:dyDescent="0.4">
      <c r="A1082">
        <v>1703</v>
      </c>
      <c r="B1082">
        <v>3</v>
      </c>
      <c r="C1082">
        <v>4</v>
      </c>
      <c r="D1082">
        <v>2</v>
      </c>
      <c r="E1082">
        <v>3</v>
      </c>
    </row>
    <row r="1083" spans="1:5" x14ac:dyDescent="0.4">
      <c r="A1083">
        <v>1558</v>
      </c>
      <c r="B1083">
        <v>3</v>
      </c>
      <c r="C1083">
        <v>3</v>
      </c>
      <c r="D1083">
        <v>1</v>
      </c>
      <c r="E1083">
        <v>2</v>
      </c>
    </row>
    <row r="1084" spans="1:5" x14ac:dyDescent="0.4">
      <c r="A1084">
        <v>1560</v>
      </c>
      <c r="B1084">
        <v>1</v>
      </c>
      <c r="C1084">
        <v>1</v>
      </c>
      <c r="D1084">
        <v>4</v>
      </c>
      <c r="E1084">
        <v>1</v>
      </c>
    </row>
    <row r="1085" spans="1:5" x14ac:dyDescent="0.4">
      <c r="A1085">
        <v>312</v>
      </c>
      <c r="B1085">
        <v>2</v>
      </c>
      <c r="C1085">
        <v>4</v>
      </c>
      <c r="D1085">
        <v>4</v>
      </c>
      <c r="E1085">
        <v>3</v>
      </c>
    </row>
    <row r="1086" spans="1:5" x14ac:dyDescent="0.4">
      <c r="A1086">
        <v>1641</v>
      </c>
      <c r="B1086">
        <v>3</v>
      </c>
      <c r="C1086">
        <v>4</v>
      </c>
      <c r="D1086">
        <v>4</v>
      </c>
      <c r="E1086">
        <v>2</v>
      </c>
    </row>
    <row r="1087" spans="1:5" x14ac:dyDescent="0.4">
      <c r="A1087">
        <v>1562</v>
      </c>
      <c r="B1087">
        <v>2</v>
      </c>
      <c r="C1087">
        <v>1</v>
      </c>
      <c r="D1087">
        <v>4</v>
      </c>
      <c r="E1087">
        <v>3</v>
      </c>
    </row>
    <row r="1088" spans="1:5" x14ac:dyDescent="0.4">
      <c r="A1088">
        <v>1295</v>
      </c>
      <c r="B1088">
        <v>1</v>
      </c>
      <c r="C1088">
        <v>4</v>
      </c>
      <c r="D1088">
        <v>4</v>
      </c>
      <c r="E1088">
        <v>3</v>
      </c>
    </row>
    <row r="1089" spans="1:5" x14ac:dyDescent="0.4">
      <c r="A1089">
        <v>1563</v>
      </c>
      <c r="B1089">
        <v>3</v>
      </c>
      <c r="C1089">
        <v>3</v>
      </c>
      <c r="D1089">
        <v>3</v>
      </c>
      <c r="E1089">
        <v>3</v>
      </c>
    </row>
    <row r="1090" spans="1:5" x14ac:dyDescent="0.4">
      <c r="A1090">
        <v>1564</v>
      </c>
      <c r="B1090">
        <v>4</v>
      </c>
      <c r="C1090">
        <v>1</v>
      </c>
      <c r="D1090">
        <v>2</v>
      </c>
      <c r="E1090">
        <v>3</v>
      </c>
    </row>
    <row r="1091" spans="1:5" x14ac:dyDescent="0.4">
      <c r="A1091">
        <v>1651</v>
      </c>
      <c r="B1091">
        <v>2</v>
      </c>
      <c r="C1091">
        <v>1</v>
      </c>
      <c r="D1091">
        <v>3</v>
      </c>
      <c r="E1091">
        <v>3</v>
      </c>
    </row>
    <row r="1092" spans="1:5" x14ac:dyDescent="0.4">
      <c r="A1092">
        <v>1568</v>
      </c>
      <c r="B1092">
        <v>3</v>
      </c>
      <c r="C1092">
        <v>2</v>
      </c>
      <c r="D1092">
        <v>2</v>
      </c>
      <c r="E1092">
        <v>3</v>
      </c>
    </row>
    <row r="1093" spans="1:5" x14ac:dyDescent="0.4">
      <c r="A1093">
        <v>1573</v>
      </c>
      <c r="B1093">
        <v>3</v>
      </c>
      <c r="C1093">
        <v>2</v>
      </c>
      <c r="D1093">
        <v>1</v>
      </c>
      <c r="E1093">
        <v>3</v>
      </c>
    </row>
    <row r="1094" spans="1:5" x14ac:dyDescent="0.4">
      <c r="A1094">
        <v>1915</v>
      </c>
      <c r="B1094">
        <v>4</v>
      </c>
      <c r="C1094">
        <v>4</v>
      </c>
      <c r="D1094">
        <v>3</v>
      </c>
      <c r="E1094">
        <v>2</v>
      </c>
    </row>
    <row r="1095" spans="1:5" x14ac:dyDescent="0.4">
      <c r="A1095">
        <v>1574</v>
      </c>
      <c r="B1095">
        <v>4</v>
      </c>
      <c r="C1095">
        <v>1</v>
      </c>
      <c r="D1095">
        <v>2</v>
      </c>
      <c r="E1095">
        <v>2</v>
      </c>
    </row>
    <row r="1096" spans="1:5" x14ac:dyDescent="0.4">
      <c r="A1096">
        <v>1577</v>
      </c>
      <c r="B1096">
        <v>1</v>
      </c>
      <c r="C1096">
        <v>4</v>
      </c>
      <c r="D1096">
        <v>3</v>
      </c>
      <c r="E1096">
        <v>1</v>
      </c>
    </row>
    <row r="1097" spans="1:5" x14ac:dyDescent="0.4">
      <c r="A1097">
        <v>1578</v>
      </c>
      <c r="B1097">
        <v>3</v>
      </c>
      <c r="C1097">
        <v>4</v>
      </c>
      <c r="D1097">
        <v>3</v>
      </c>
      <c r="E1097">
        <v>3</v>
      </c>
    </row>
    <row r="1098" spans="1:5" x14ac:dyDescent="0.4">
      <c r="A1098">
        <v>1157</v>
      </c>
      <c r="B1098">
        <v>1</v>
      </c>
      <c r="C1098">
        <v>1</v>
      </c>
      <c r="D1098">
        <v>1</v>
      </c>
      <c r="E1098">
        <v>3</v>
      </c>
    </row>
    <row r="1099" spans="1:5" x14ac:dyDescent="0.4">
      <c r="A1099">
        <v>1580</v>
      </c>
      <c r="B1099">
        <v>2</v>
      </c>
      <c r="C1099">
        <v>4</v>
      </c>
      <c r="D1099">
        <v>2</v>
      </c>
      <c r="E1099">
        <v>2</v>
      </c>
    </row>
    <row r="1100" spans="1:5" x14ac:dyDescent="0.4">
      <c r="A1100">
        <v>463</v>
      </c>
      <c r="B1100">
        <v>4</v>
      </c>
      <c r="C1100">
        <v>2</v>
      </c>
      <c r="D1100">
        <v>1</v>
      </c>
      <c r="E1100">
        <v>3</v>
      </c>
    </row>
    <row r="1101" spans="1:5" x14ac:dyDescent="0.4">
      <c r="A1101">
        <v>1582</v>
      </c>
      <c r="B1101">
        <v>3</v>
      </c>
      <c r="C1101">
        <v>2</v>
      </c>
      <c r="D1101">
        <v>4</v>
      </c>
      <c r="E1101">
        <v>3</v>
      </c>
    </row>
    <row r="1102" spans="1:5" x14ac:dyDescent="0.4">
      <c r="A1102">
        <v>1586</v>
      </c>
      <c r="B1102">
        <v>2</v>
      </c>
      <c r="C1102">
        <v>1</v>
      </c>
      <c r="D1102">
        <v>4</v>
      </c>
      <c r="E1102">
        <v>3</v>
      </c>
    </row>
    <row r="1103" spans="1:5" x14ac:dyDescent="0.4">
      <c r="A1103">
        <v>1525</v>
      </c>
      <c r="B1103">
        <v>2</v>
      </c>
      <c r="C1103">
        <v>2</v>
      </c>
      <c r="D1103">
        <v>4</v>
      </c>
      <c r="E1103">
        <v>3</v>
      </c>
    </row>
    <row r="1104" spans="1:5" x14ac:dyDescent="0.4">
      <c r="A1104">
        <v>1588</v>
      </c>
      <c r="B1104">
        <v>4</v>
      </c>
      <c r="C1104">
        <v>3</v>
      </c>
      <c r="D1104">
        <v>1</v>
      </c>
      <c r="E1104">
        <v>3</v>
      </c>
    </row>
    <row r="1105" spans="1:5" x14ac:dyDescent="0.4">
      <c r="A1105">
        <v>682</v>
      </c>
      <c r="B1105">
        <v>4</v>
      </c>
      <c r="C1105">
        <v>1</v>
      </c>
      <c r="D1105">
        <v>4</v>
      </c>
      <c r="E1105">
        <v>4</v>
      </c>
    </row>
    <row r="1106" spans="1:5" x14ac:dyDescent="0.4">
      <c r="A1106">
        <v>1590</v>
      </c>
      <c r="B1106">
        <v>1</v>
      </c>
      <c r="C1106">
        <v>4</v>
      </c>
      <c r="D1106">
        <v>4</v>
      </c>
      <c r="E1106">
        <v>4</v>
      </c>
    </row>
    <row r="1107" spans="1:5" x14ac:dyDescent="0.4">
      <c r="A1107">
        <v>1591</v>
      </c>
      <c r="B1107">
        <v>3</v>
      </c>
      <c r="C1107">
        <v>3</v>
      </c>
      <c r="D1107">
        <v>3</v>
      </c>
      <c r="E1107">
        <v>3</v>
      </c>
    </row>
    <row r="1108" spans="1:5" x14ac:dyDescent="0.4">
      <c r="A1108">
        <v>567</v>
      </c>
      <c r="B1108">
        <v>3</v>
      </c>
      <c r="C1108">
        <v>1</v>
      </c>
      <c r="D1108">
        <v>3</v>
      </c>
      <c r="E1108">
        <v>3</v>
      </c>
    </row>
    <row r="1109" spans="1:5" x14ac:dyDescent="0.4">
      <c r="A1109">
        <v>1592</v>
      </c>
      <c r="B1109">
        <v>4</v>
      </c>
      <c r="C1109">
        <v>3</v>
      </c>
      <c r="D1109">
        <v>4</v>
      </c>
      <c r="E1109">
        <v>3</v>
      </c>
    </row>
    <row r="1110" spans="1:5" x14ac:dyDescent="0.4">
      <c r="A1110">
        <v>1594</v>
      </c>
      <c r="B1110">
        <v>1</v>
      </c>
      <c r="C1110">
        <v>1</v>
      </c>
      <c r="D1110">
        <v>4</v>
      </c>
      <c r="E1110">
        <v>3</v>
      </c>
    </row>
    <row r="1111" spans="1:5" x14ac:dyDescent="0.4">
      <c r="A1111">
        <v>1595</v>
      </c>
      <c r="B1111">
        <v>4</v>
      </c>
      <c r="C1111">
        <v>4</v>
      </c>
      <c r="D1111">
        <v>4</v>
      </c>
      <c r="E1111">
        <v>3</v>
      </c>
    </row>
    <row r="1112" spans="1:5" x14ac:dyDescent="0.4">
      <c r="A1112">
        <v>1596</v>
      </c>
      <c r="B1112">
        <v>2</v>
      </c>
      <c r="C1112">
        <v>3</v>
      </c>
      <c r="D1112">
        <v>4</v>
      </c>
      <c r="E1112">
        <v>2</v>
      </c>
    </row>
    <row r="1113" spans="1:5" x14ac:dyDescent="0.4">
      <c r="A1113">
        <v>1758</v>
      </c>
      <c r="B1113">
        <v>1</v>
      </c>
      <c r="C1113">
        <v>1</v>
      </c>
      <c r="D1113">
        <v>3</v>
      </c>
      <c r="E1113">
        <v>2</v>
      </c>
    </row>
    <row r="1114" spans="1:5" x14ac:dyDescent="0.4">
      <c r="A1114">
        <v>1597</v>
      </c>
      <c r="B1114">
        <v>4</v>
      </c>
      <c r="C1114">
        <v>3</v>
      </c>
      <c r="D1114">
        <v>2</v>
      </c>
      <c r="E1114">
        <v>2</v>
      </c>
    </row>
    <row r="1115" spans="1:5" x14ac:dyDescent="0.4">
      <c r="A1115">
        <v>1529</v>
      </c>
      <c r="B1115">
        <v>4</v>
      </c>
      <c r="C1115">
        <v>2</v>
      </c>
      <c r="D1115">
        <v>4</v>
      </c>
      <c r="E1115">
        <v>1</v>
      </c>
    </row>
    <row r="1116" spans="1:5" x14ac:dyDescent="0.4">
      <c r="A1116">
        <v>1599</v>
      </c>
      <c r="B1116">
        <v>4</v>
      </c>
      <c r="C1116">
        <v>2</v>
      </c>
      <c r="D1116">
        <v>3</v>
      </c>
      <c r="E1116">
        <v>3</v>
      </c>
    </row>
    <row r="1117" spans="1:5" x14ac:dyDescent="0.4">
      <c r="A1117">
        <v>717</v>
      </c>
      <c r="B1117">
        <v>4</v>
      </c>
      <c r="C1117">
        <v>2</v>
      </c>
      <c r="D1117">
        <v>2</v>
      </c>
      <c r="E1117">
        <v>4</v>
      </c>
    </row>
    <row r="1118" spans="1:5" x14ac:dyDescent="0.4">
      <c r="A1118">
        <v>1601</v>
      </c>
      <c r="B1118">
        <v>3</v>
      </c>
      <c r="C1118">
        <v>4</v>
      </c>
      <c r="D1118">
        <v>4</v>
      </c>
      <c r="E1118">
        <v>2</v>
      </c>
    </row>
    <row r="1119" spans="1:5" x14ac:dyDescent="0.4">
      <c r="A1119">
        <v>1602</v>
      </c>
      <c r="B1119">
        <v>4</v>
      </c>
      <c r="C1119">
        <v>1</v>
      </c>
      <c r="D1119">
        <v>2</v>
      </c>
      <c r="E1119">
        <v>1</v>
      </c>
    </row>
    <row r="1120" spans="1:5" x14ac:dyDescent="0.4">
      <c r="A1120">
        <v>1604</v>
      </c>
      <c r="B1120">
        <v>3</v>
      </c>
      <c r="C1120">
        <v>2</v>
      </c>
      <c r="D1120">
        <v>3</v>
      </c>
      <c r="E1120">
        <v>3</v>
      </c>
    </row>
    <row r="1121" spans="1:5" x14ac:dyDescent="0.4">
      <c r="A1121">
        <v>230</v>
      </c>
      <c r="B1121">
        <v>1</v>
      </c>
      <c r="C1121">
        <v>4</v>
      </c>
      <c r="D1121">
        <v>3</v>
      </c>
      <c r="E1121">
        <v>4</v>
      </c>
    </row>
    <row r="1122" spans="1:5" x14ac:dyDescent="0.4">
      <c r="A1122">
        <v>1606</v>
      </c>
      <c r="B1122">
        <v>2</v>
      </c>
      <c r="C1122">
        <v>3</v>
      </c>
      <c r="D1122">
        <v>3</v>
      </c>
      <c r="E1122">
        <v>3</v>
      </c>
    </row>
    <row r="1123" spans="1:5" x14ac:dyDescent="0.4">
      <c r="A1123">
        <v>1609</v>
      </c>
      <c r="B1123">
        <v>2</v>
      </c>
      <c r="C1123">
        <v>2</v>
      </c>
      <c r="D1123">
        <v>2</v>
      </c>
      <c r="E1123">
        <v>2</v>
      </c>
    </row>
    <row r="1124" spans="1:5" x14ac:dyDescent="0.4">
      <c r="A1124">
        <v>1612</v>
      </c>
      <c r="B1124">
        <v>1</v>
      </c>
      <c r="C1124">
        <v>1</v>
      </c>
      <c r="D1124">
        <v>1</v>
      </c>
      <c r="E1124">
        <v>3</v>
      </c>
    </row>
    <row r="1125" spans="1:5" x14ac:dyDescent="0.4">
      <c r="A1125">
        <v>314</v>
      </c>
      <c r="B1125">
        <v>3</v>
      </c>
      <c r="C1125">
        <v>3</v>
      </c>
      <c r="D1125">
        <v>1</v>
      </c>
      <c r="E1125">
        <v>4</v>
      </c>
    </row>
    <row r="1126" spans="1:5" x14ac:dyDescent="0.4">
      <c r="A1126">
        <v>1613</v>
      </c>
      <c r="B1126">
        <v>4</v>
      </c>
      <c r="C1126">
        <v>1</v>
      </c>
      <c r="D1126">
        <v>4</v>
      </c>
      <c r="E1126">
        <v>3</v>
      </c>
    </row>
    <row r="1127" spans="1:5" x14ac:dyDescent="0.4">
      <c r="A1127">
        <v>1088</v>
      </c>
      <c r="B1127">
        <v>3</v>
      </c>
      <c r="C1127">
        <v>3</v>
      </c>
      <c r="D1127">
        <v>1</v>
      </c>
      <c r="E1127">
        <v>2</v>
      </c>
    </row>
    <row r="1128" spans="1:5" x14ac:dyDescent="0.4">
      <c r="A1128">
        <v>1615</v>
      </c>
      <c r="B1128">
        <v>3</v>
      </c>
      <c r="C1128">
        <v>4</v>
      </c>
      <c r="D1128">
        <v>1</v>
      </c>
      <c r="E1128">
        <v>3</v>
      </c>
    </row>
    <row r="1129" spans="1:5" x14ac:dyDescent="0.4">
      <c r="A1129">
        <v>2040</v>
      </c>
      <c r="B1129">
        <v>3</v>
      </c>
      <c r="C1129">
        <v>4</v>
      </c>
      <c r="D1129">
        <v>3</v>
      </c>
      <c r="E1129">
        <v>3</v>
      </c>
    </row>
    <row r="1130" spans="1:5" x14ac:dyDescent="0.4">
      <c r="A1130">
        <v>1618</v>
      </c>
      <c r="B1130">
        <v>2</v>
      </c>
      <c r="C1130">
        <v>1</v>
      </c>
      <c r="D1130">
        <v>4</v>
      </c>
      <c r="E1130">
        <v>3</v>
      </c>
    </row>
    <row r="1131" spans="1:5" x14ac:dyDescent="0.4">
      <c r="A1131">
        <v>1619</v>
      </c>
      <c r="B1131">
        <v>4</v>
      </c>
      <c r="C1131">
        <v>1</v>
      </c>
      <c r="D1131">
        <v>1</v>
      </c>
      <c r="E1131">
        <v>3</v>
      </c>
    </row>
    <row r="1132" spans="1:5" x14ac:dyDescent="0.4">
      <c r="A1132">
        <v>1073</v>
      </c>
      <c r="B1132">
        <v>4</v>
      </c>
      <c r="C1132">
        <v>4</v>
      </c>
      <c r="D1132">
        <v>2</v>
      </c>
      <c r="E1132">
        <v>2</v>
      </c>
    </row>
    <row r="1133" spans="1:5" x14ac:dyDescent="0.4">
      <c r="A1133">
        <v>302</v>
      </c>
      <c r="B1133">
        <v>4</v>
      </c>
      <c r="C1133">
        <v>4</v>
      </c>
      <c r="D1133">
        <v>4</v>
      </c>
      <c r="E1133">
        <v>3</v>
      </c>
    </row>
    <row r="1134" spans="1:5" x14ac:dyDescent="0.4">
      <c r="A1134">
        <v>1821</v>
      </c>
      <c r="B1134">
        <v>4</v>
      </c>
      <c r="C1134">
        <v>2</v>
      </c>
      <c r="D1134">
        <v>4</v>
      </c>
      <c r="E1134">
        <v>4</v>
      </c>
    </row>
    <row r="1135" spans="1:5" x14ac:dyDescent="0.4">
      <c r="A1135">
        <v>1621</v>
      </c>
      <c r="B1135">
        <v>2</v>
      </c>
      <c r="C1135">
        <v>1</v>
      </c>
      <c r="D1135">
        <v>4</v>
      </c>
      <c r="E1135">
        <v>3</v>
      </c>
    </row>
    <row r="1136" spans="1:5" x14ac:dyDescent="0.4">
      <c r="A1136">
        <v>442</v>
      </c>
      <c r="B1136">
        <v>3</v>
      </c>
      <c r="C1136">
        <v>3</v>
      </c>
      <c r="D1136">
        <v>1</v>
      </c>
      <c r="E1136">
        <v>3</v>
      </c>
    </row>
    <row r="1137" spans="1:5" x14ac:dyDescent="0.4">
      <c r="A1137">
        <v>1623</v>
      </c>
      <c r="B1137">
        <v>3</v>
      </c>
      <c r="C1137">
        <v>4</v>
      </c>
      <c r="D1137">
        <v>3</v>
      </c>
      <c r="E1137">
        <v>3</v>
      </c>
    </row>
    <row r="1138" spans="1:5" x14ac:dyDescent="0.4">
      <c r="A1138">
        <v>207</v>
      </c>
      <c r="B1138">
        <v>2</v>
      </c>
      <c r="C1138">
        <v>4</v>
      </c>
      <c r="D1138">
        <v>4</v>
      </c>
      <c r="E1138">
        <v>3</v>
      </c>
    </row>
    <row r="1139" spans="1:5" x14ac:dyDescent="0.4">
      <c r="A1139">
        <v>1627</v>
      </c>
      <c r="B1139">
        <v>3</v>
      </c>
      <c r="C1139">
        <v>3</v>
      </c>
      <c r="D1139">
        <v>4</v>
      </c>
      <c r="E1139">
        <v>3</v>
      </c>
    </row>
    <row r="1140" spans="1:5" x14ac:dyDescent="0.4">
      <c r="A1140">
        <v>580</v>
      </c>
      <c r="B1140">
        <v>3</v>
      </c>
      <c r="C1140">
        <v>4</v>
      </c>
      <c r="D1140">
        <v>3</v>
      </c>
      <c r="E1140">
        <v>3</v>
      </c>
    </row>
    <row r="1141" spans="1:5" x14ac:dyDescent="0.4">
      <c r="A1141">
        <v>1631</v>
      </c>
      <c r="B1141">
        <v>3</v>
      </c>
      <c r="C1141">
        <v>3</v>
      </c>
      <c r="D1141">
        <v>1</v>
      </c>
      <c r="E1141">
        <v>2</v>
      </c>
    </row>
    <row r="1142" spans="1:5" x14ac:dyDescent="0.4">
      <c r="A1142">
        <v>1639</v>
      </c>
      <c r="B1142">
        <v>4</v>
      </c>
      <c r="C1142">
        <v>1</v>
      </c>
      <c r="D1142">
        <v>3</v>
      </c>
      <c r="E1142">
        <v>3</v>
      </c>
    </row>
    <row r="1143" spans="1:5" x14ac:dyDescent="0.4">
      <c r="A1143">
        <v>174</v>
      </c>
      <c r="B1143">
        <v>3</v>
      </c>
      <c r="C1143">
        <v>4</v>
      </c>
      <c r="D1143">
        <v>4</v>
      </c>
      <c r="E1143">
        <v>3</v>
      </c>
    </row>
    <row r="1144" spans="1:5" x14ac:dyDescent="0.4">
      <c r="A1144">
        <v>1642</v>
      </c>
      <c r="B1144">
        <v>1</v>
      </c>
      <c r="C1144">
        <v>4</v>
      </c>
      <c r="D1144">
        <v>3</v>
      </c>
      <c r="E1144">
        <v>3</v>
      </c>
    </row>
    <row r="1145" spans="1:5" x14ac:dyDescent="0.4">
      <c r="A1145">
        <v>1644</v>
      </c>
      <c r="B1145">
        <v>3</v>
      </c>
      <c r="C1145">
        <v>4</v>
      </c>
      <c r="D1145">
        <v>2</v>
      </c>
      <c r="E1145">
        <v>3</v>
      </c>
    </row>
    <row r="1146" spans="1:5" x14ac:dyDescent="0.4">
      <c r="A1146">
        <v>1425</v>
      </c>
      <c r="B1146">
        <v>1</v>
      </c>
      <c r="C1146">
        <v>2</v>
      </c>
      <c r="D1146">
        <v>4</v>
      </c>
      <c r="E1146">
        <v>3</v>
      </c>
    </row>
    <row r="1147" spans="1:5" x14ac:dyDescent="0.4">
      <c r="A1147">
        <v>1645</v>
      </c>
      <c r="B1147">
        <v>1</v>
      </c>
      <c r="C1147">
        <v>4</v>
      </c>
      <c r="D1147">
        <v>4</v>
      </c>
      <c r="E1147">
        <v>2</v>
      </c>
    </row>
    <row r="1148" spans="1:5" x14ac:dyDescent="0.4">
      <c r="A1148">
        <v>1648</v>
      </c>
      <c r="B1148">
        <v>4</v>
      </c>
      <c r="C1148">
        <v>4</v>
      </c>
      <c r="D1148">
        <v>3</v>
      </c>
      <c r="E1148">
        <v>2</v>
      </c>
    </row>
    <row r="1149" spans="1:5" x14ac:dyDescent="0.4">
      <c r="A1149">
        <v>1649</v>
      </c>
      <c r="B1149">
        <v>1</v>
      </c>
      <c r="C1149">
        <v>1</v>
      </c>
      <c r="D1149">
        <v>2</v>
      </c>
      <c r="E1149">
        <v>1</v>
      </c>
    </row>
    <row r="1150" spans="1:5" x14ac:dyDescent="0.4">
      <c r="A1150">
        <v>1650</v>
      </c>
      <c r="B1150">
        <v>3</v>
      </c>
      <c r="C1150">
        <v>3</v>
      </c>
      <c r="D1150">
        <v>3</v>
      </c>
      <c r="E1150">
        <v>3</v>
      </c>
    </row>
    <row r="1151" spans="1:5" x14ac:dyDescent="0.4">
      <c r="A1151">
        <v>228</v>
      </c>
      <c r="B1151">
        <v>2</v>
      </c>
      <c r="C1151">
        <v>4</v>
      </c>
      <c r="D1151">
        <v>3</v>
      </c>
      <c r="E1151">
        <v>3</v>
      </c>
    </row>
    <row r="1152" spans="1:5" x14ac:dyDescent="0.4">
      <c r="A1152">
        <v>1653</v>
      </c>
      <c r="B1152">
        <v>4</v>
      </c>
      <c r="C1152">
        <v>3</v>
      </c>
      <c r="D1152">
        <v>3</v>
      </c>
      <c r="E1152">
        <v>3</v>
      </c>
    </row>
    <row r="1153" spans="1:5" x14ac:dyDescent="0.4">
      <c r="A1153">
        <v>1654</v>
      </c>
      <c r="B1153">
        <v>4</v>
      </c>
      <c r="C1153">
        <v>2</v>
      </c>
      <c r="D1153">
        <v>3</v>
      </c>
      <c r="E1153">
        <v>3</v>
      </c>
    </row>
    <row r="1154" spans="1:5" x14ac:dyDescent="0.4">
      <c r="A1154">
        <v>1659</v>
      </c>
      <c r="B1154">
        <v>1</v>
      </c>
      <c r="C1154">
        <v>2</v>
      </c>
      <c r="D1154">
        <v>3</v>
      </c>
      <c r="E1154">
        <v>3</v>
      </c>
    </row>
    <row r="1155" spans="1:5" x14ac:dyDescent="0.4">
      <c r="A1155">
        <v>1664</v>
      </c>
      <c r="B1155">
        <v>4</v>
      </c>
      <c r="C1155">
        <v>1</v>
      </c>
      <c r="D1155">
        <v>1</v>
      </c>
      <c r="E1155">
        <v>3</v>
      </c>
    </row>
    <row r="1156" spans="1:5" x14ac:dyDescent="0.4">
      <c r="A1156">
        <v>1666</v>
      </c>
      <c r="B1156">
        <v>3</v>
      </c>
      <c r="C1156">
        <v>3</v>
      </c>
      <c r="D1156">
        <v>1</v>
      </c>
      <c r="E1156">
        <v>3</v>
      </c>
    </row>
    <row r="1157" spans="1:5" x14ac:dyDescent="0.4">
      <c r="A1157">
        <v>1667</v>
      </c>
      <c r="B1157">
        <v>4</v>
      </c>
      <c r="C1157">
        <v>4</v>
      </c>
      <c r="D1157">
        <v>1</v>
      </c>
      <c r="E1157">
        <v>4</v>
      </c>
    </row>
    <row r="1158" spans="1:5" x14ac:dyDescent="0.4">
      <c r="A1158">
        <v>1668</v>
      </c>
      <c r="B1158">
        <v>4</v>
      </c>
      <c r="C1158">
        <v>4</v>
      </c>
      <c r="D1158">
        <v>4</v>
      </c>
      <c r="E1158">
        <v>4</v>
      </c>
    </row>
    <row r="1159" spans="1:5" x14ac:dyDescent="0.4">
      <c r="A1159">
        <v>1669</v>
      </c>
      <c r="B1159">
        <v>1</v>
      </c>
      <c r="C1159">
        <v>2</v>
      </c>
      <c r="D1159">
        <v>2</v>
      </c>
      <c r="E1159">
        <v>2</v>
      </c>
    </row>
    <row r="1160" spans="1:5" x14ac:dyDescent="0.4">
      <c r="A1160">
        <v>1670</v>
      </c>
      <c r="B1160">
        <v>4</v>
      </c>
      <c r="C1160">
        <v>4</v>
      </c>
      <c r="D1160">
        <v>3</v>
      </c>
      <c r="E1160">
        <v>3</v>
      </c>
    </row>
    <row r="1161" spans="1:5" x14ac:dyDescent="0.4">
      <c r="A1161">
        <v>1671</v>
      </c>
      <c r="B1161">
        <v>4</v>
      </c>
      <c r="C1161">
        <v>2</v>
      </c>
      <c r="D1161">
        <v>3</v>
      </c>
      <c r="E1161">
        <v>2</v>
      </c>
    </row>
    <row r="1162" spans="1:5" x14ac:dyDescent="0.4">
      <c r="A1162">
        <v>1833</v>
      </c>
      <c r="B1162">
        <v>1</v>
      </c>
      <c r="C1162">
        <v>1</v>
      </c>
      <c r="D1162">
        <v>4</v>
      </c>
      <c r="E1162">
        <v>3</v>
      </c>
    </row>
    <row r="1163" spans="1:5" x14ac:dyDescent="0.4">
      <c r="A1163">
        <v>1816</v>
      </c>
      <c r="B1163">
        <v>1</v>
      </c>
      <c r="C1163">
        <v>3</v>
      </c>
      <c r="D1163">
        <v>2</v>
      </c>
      <c r="E1163">
        <v>3</v>
      </c>
    </row>
    <row r="1164" spans="1:5" x14ac:dyDescent="0.4">
      <c r="A1164">
        <v>1677</v>
      </c>
      <c r="B1164">
        <v>3</v>
      </c>
      <c r="C1164">
        <v>3</v>
      </c>
      <c r="D1164">
        <v>1</v>
      </c>
      <c r="E1164">
        <v>3</v>
      </c>
    </row>
    <row r="1165" spans="1:5" x14ac:dyDescent="0.4">
      <c r="A1165">
        <v>1678</v>
      </c>
      <c r="B1165">
        <v>4</v>
      </c>
      <c r="C1165">
        <v>3</v>
      </c>
      <c r="D1165">
        <v>4</v>
      </c>
      <c r="E1165">
        <v>3</v>
      </c>
    </row>
    <row r="1166" spans="1:5" x14ac:dyDescent="0.4">
      <c r="A1166">
        <v>1680</v>
      </c>
      <c r="B1166">
        <v>4</v>
      </c>
      <c r="C1166">
        <v>1</v>
      </c>
      <c r="D1166">
        <v>1</v>
      </c>
      <c r="E1166">
        <v>3</v>
      </c>
    </row>
    <row r="1167" spans="1:5" x14ac:dyDescent="0.4">
      <c r="A1167">
        <v>1682</v>
      </c>
      <c r="B1167">
        <v>1</v>
      </c>
      <c r="C1167">
        <v>3</v>
      </c>
      <c r="D1167">
        <v>2</v>
      </c>
      <c r="E1167">
        <v>2</v>
      </c>
    </row>
    <row r="1168" spans="1:5" x14ac:dyDescent="0.4">
      <c r="A1168">
        <v>1684</v>
      </c>
      <c r="B1168">
        <v>4</v>
      </c>
      <c r="C1168">
        <v>3</v>
      </c>
      <c r="D1168">
        <v>1</v>
      </c>
      <c r="E1168">
        <v>3</v>
      </c>
    </row>
    <row r="1169" spans="1:5" x14ac:dyDescent="0.4">
      <c r="A1169">
        <v>1544</v>
      </c>
      <c r="B1169">
        <v>3</v>
      </c>
      <c r="C1169">
        <v>1</v>
      </c>
      <c r="D1169">
        <v>3</v>
      </c>
      <c r="E1169">
        <v>3</v>
      </c>
    </row>
    <row r="1170" spans="1:5" x14ac:dyDescent="0.4">
      <c r="A1170">
        <v>1689</v>
      </c>
      <c r="B1170">
        <v>2</v>
      </c>
      <c r="C1170">
        <v>4</v>
      </c>
      <c r="D1170">
        <v>3</v>
      </c>
      <c r="E1170">
        <v>3</v>
      </c>
    </row>
    <row r="1171" spans="1:5" x14ac:dyDescent="0.4">
      <c r="A1171">
        <v>1693</v>
      </c>
      <c r="B1171">
        <v>4</v>
      </c>
      <c r="C1171">
        <v>4</v>
      </c>
      <c r="D1171">
        <v>3</v>
      </c>
      <c r="E1171">
        <v>3</v>
      </c>
    </row>
    <row r="1172" spans="1:5" x14ac:dyDescent="0.4">
      <c r="A1172">
        <v>154</v>
      </c>
      <c r="B1172">
        <v>2</v>
      </c>
      <c r="C1172">
        <v>4</v>
      </c>
      <c r="D1172">
        <v>3</v>
      </c>
      <c r="E1172">
        <v>3</v>
      </c>
    </row>
    <row r="1173" spans="1:5" x14ac:dyDescent="0.4">
      <c r="A1173">
        <v>1744</v>
      </c>
      <c r="B1173">
        <v>3</v>
      </c>
      <c r="C1173">
        <v>3</v>
      </c>
      <c r="D1173">
        <v>3</v>
      </c>
      <c r="E1173">
        <v>4</v>
      </c>
    </row>
    <row r="1174" spans="1:5" x14ac:dyDescent="0.4">
      <c r="A1174">
        <v>1694</v>
      </c>
      <c r="B1174">
        <v>1</v>
      </c>
      <c r="C1174">
        <v>2</v>
      </c>
      <c r="D1174">
        <v>4</v>
      </c>
      <c r="E1174">
        <v>3</v>
      </c>
    </row>
    <row r="1175" spans="1:5" x14ac:dyDescent="0.4">
      <c r="A1175">
        <v>634</v>
      </c>
      <c r="B1175">
        <v>3</v>
      </c>
      <c r="C1175">
        <v>3</v>
      </c>
      <c r="D1175">
        <v>3</v>
      </c>
      <c r="E1175">
        <v>3</v>
      </c>
    </row>
    <row r="1176" spans="1:5" x14ac:dyDescent="0.4">
      <c r="A1176">
        <v>1324</v>
      </c>
      <c r="B1176">
        <v>4</v>
      </c>
      <c r="C1176">
        <v>3</v>
      </c>
      <c r="D1176">
        <v>1</v>
      </c>
      <c r="E1176">
        <v>2</v>
      </c>
    </row>
    <row r="1177" spans="1:5" x14ac:dyDescent="0.4">
      <c r="A1177">
        <v>1933</v>
      </c>
      <c r="B1177">
        <v>4</v>
      </c>
      <c r="C1177">
        <v>3</v>
      </c>
      <c r="D1177">
        <v>4</v>
      </c>
      <c r="E1177">
        <v>3</v>
      </c>
    </row>
    <row r="1178" spans="1:5" x14ac:dyDescent="0.4">
      <c r="A1178">
        <v>1696</v>
      </c>
      <c r="B1178">
        <v>2</v>
      </c>
      <c r="C1178">
        <v>4</v>
      </c>
      <c r="D1178">
        <v>3</v>
      </c>
      <c r="E1178">
        <v>4</v>
      </c>
    </row>
    <row r="1179" spans="1:5" x14ac:dyDescent="0.4">
      <c r="A1179">
        <v>1697</v>
      </c>
      <c r="B1179">
        <v>3</v>
      </c>
      <c r="C1179">
        <v>4</v>
      </c>
      <c r="D1179">
        <v>3</v>
      </c>
      <c r="E1179">
        <v>4</v>
      </c>
    </row>
    <row r="1180" spans="1:5" x14ac:dyDescent="0.4">
      <c r="A1180">
        <v>1698</v>
      </c>
      <c r="B1180">
        <v>2</v>
      </c>
      <c r="C1180">
        <v>2</v>
      </c>
      <c r="D1180">
        <v>4</v>
      </c>
      <c r="E1180">
        <v>3</v>
      </c>
    </row>
    <row r="1181" spans="1:5" x14ac:dyDescent="0.4">
      <c r="A1181">
        <v>1700</v>
      </c>
      <c r="B1181">
        <v>3</v>
      </c>
      <c r="C1181">
        <v>4</v>
      </c>
      <c r="D1181">
        <v>3</v>
      </c>
      <c r="E1181">
        <v>2</v>
      </c>
    </row>
    <row r="1182" spans="1:5" x14ac:dyDescent="0.4">
      <c r="A1182">
        <v>1702</v>
      </c>
      <c r="B1182">
        <v>3</v>
      </c>
      <c r="C1182">
        <v>4</v>
      </c>
      <c r="D1182">
        <v>2</v>
      </c>
      <c r="E1182">
        <v>3</v>
      </c>
    </row>
    <row r="1183" spans="1:5" x14ac:dyDescent="0.4">
      <c r="A1183">
        <v>590</v>
      </c>
      <c r="B1183">
        <v>2</v>
      </c>
      <c r="C1183">
        <v>1</v>
      </c>
      <c r="D1183">
        <v>3</v>
      </c>
      <c r="E1183">
        <v>3</v>
      </c>
    </row>
    <row r="1184" spans="1:5" x14ac:dyDescent="0.4">
      <c r="A1184">
        <v>1704</v>
      </c>
      <c r="B1184">
        <v>1</v>
      </c>
      <c r="C1184">
        <v>4</v>
      </c>
      <c r="D1184">
        <v>3</v>
      </c>
      <c r="E1184">
        <v>4</v>
      </c>
    </row>
    <row r="1185" spans="1:5" x14ac:dyDescent="0.4">
      <c r="A1185">
        <v>20</v>
      </c>
      <c r="B1185">
        <v>2</v>
      </c>
      <c r="C1185">
        <v>1</v>
      </c>
      <c r="D1185">
        <v>3</v>
      </c>
      <c r="E1185">
        <v>3</v>
      </c>
    </row>
    <row r="1186" spans="1:5" x14ac:dyDescent="0.4">
      <c r="A1186">
        <v>1706</v>
      </c>
      <c r="B1186">
        <v>4</v>
      </c>
      <c r="C1186">
        <v>4</v>
      </c>
      <c r="D1186">
        <v>1</v>
      </c>
      <c r="E1186">
        <v>3</v>
      </c>
    </row>
    <row r="1187" spans="1:5" x14ac:dyDescent="0.4">
      <c r="A1187">
        <v>293</v>
      </c>
      <c r="B1187">
        <v>4</v>
      </c>
      <c r="C1187">
        <v>3</v>
      </c>
      <c r="D1187">
        <v>4</v>
      </c>
      <c r="E1187">
        <v>3</v>
      </c>
    </row>
    <row r="1188" spans="1:5" x14ac:dyDescent="0.4">
      <c r="A1188">
        <v>451</v>
      </c>
      <c r="B1188">
        <v>3</v>
      </c>
      <c r="C1188">
        <v>1</v>
      </c>
      <c r="D1188">
        <v>1</v>
      </c>
      <c r="E1188">
        <v>2</v>
      </c>
    </row>
    <row r="1189" spans="1:5" x14ac:dyDescent="0.4">
      <c r="A1189">
        <v>1707</v>
      </c>
      <c r="B1189">
        <v>3</v>
      </c>
      <c r="C1189">
        <v>3</v>
      </c>
      <c r="D1189">
        <v>4</v>
      </c>
      <c r="E1189">
        <v>3</v>
      </c>
    </row>
    <row r="1190" spans="1:5" x14ac:dyDescent="0.4">
      <c r="A1190">
        <v>1708</v>
      </c>
      <c r="B1190">
        <v>4</v>
      </c>
      <c r="C1190">
        <v>3</v>
      </c>
      <c r="D1190">
        <v>2</v>
      </c>
      <c r="E1190">
        <v>3</v>
      </c>
    </row>
    <row r="1191" spans="1:5" x14ac:dyDescent="0.4">
      <c r="A1191">
        <v>1360</v>
      </c>
      <c r="B1191">
        <v>3</v>
      </c>
      <c r="C1191">
        <v>1</v>
      </c>
      <c r="D1191">
        <v>4</v>
      </c>
      <c r="E1191">
        <v>2</v>
      </c>
    </row>
    <row r="1192" spans="1:5" x14ac:dyDescent="0.4">
      <c r="A1192">
        <v>1712</v>
      </c>
      <c r="B1192">
        <v>3</v>
      </c>
      <c r="C1192">
        <v>3</v>
      </c>
      <c r="D1192">
        <v>4</v>
      </c>
      <c r="E1192">
        <v>2</v>
      </c>
    </row>
    <row r="1193" spans="1:5" x14ac:dyDescent="0.4">
      <c r="A1193">
        <v>83</v>
      </c>
      <c r="B1193">
        <v>3</v>
      </c>
      <c r="C1193">
        <v>3</v>
      </c>
      <c r="D1193">
        <v>2</v>
      </c>
      <c r="E1193">
        <v>3</v>
      </c>
    </row>
    <row r="1194" spans="1:5" x14ac:dyDescent="0.4">
      <c r="A1194">
        <v>1714</v>
      </c>
      <c r="B1194">
        <v>4</v>
      </c>
      <c r="C1194">
        <v>3</v>
      </c>
      <c r="D1194">
        <v>3</v>
      </c>
      <c r="E1194">
        <v>3</v>
      </c>
    </row>
    <row r="1195" spans="1:5" x14ac:dyDescent="0.4">
      <c r="A1195">
        <v>1716</v>
      </c>
      <c r="B1195">
        <v>3</v>
      </c>
      <c r="C1195">
        <v>3</v>
      </c>
      <c r="D1195">
        <v>3</v>
      </c>
      <c r="E1195">
        <v>1</v>
      </c>
    </row>
    <row r="1196" spans="1:5" x14ac:dyDescent="0.4">
      <c r="A1196">
        <v>1572</v>
      </c>
      <c r="B1196">
        <v>3</v>
      </c>
      <c r="C1196">
        <v>4</v>
      </c>
      <c r="D1196">
        <v>2</v>
      </c>
      <c r="E1196">
        <v>3</v>
      </c>
    </row>
    <row r="1197" spans="1:5" x14ac:dyDescent="0.4">
      <c r="A1197">
        <v>1718</v>
      </c>
      <c r="B1197">
        <v>4</v>
      </c>
      <c r="C1197">
        <v>3</v>
      </c>
      <c r="D1197">
        <v>3</v>
      </c>
      <c r="E1197">
        <v>4</v>
      </c>
    </row>
    <row r="1198" spans="1:5" x14ac:dyDescent="0.4">
      <c r="A1198">
        <v>1720</v>
      </c>
      <c r="B1198">
        <v>1</v>
      </c>
      <c r="C1198">
        <v>3</v>
      </c>
      <c r="D1198">
        <v>1</v>
      </c>
      <c r="E1198">
        <v>2</v>
      </c>
    </row>
    <row r="1199" spans="1:5" x14ac:dyDescent="0.4">
      <c r="A1199">
        <v>1293</v>
      </c>
      <c r="B1199">
        <v>4</v>
      </c>
      <c r="C1199">
        <v>4</v>
      </c>
      <c r="D1199">
        <v>4</v>
      </c>
      <c r="E1199">
        <v>4</v>
      </c>
    </row>
    <row r="1200" spans="1:5" x14ac:dyDescent="0.4">
      <c r="A1200">
        <v>1721</v>
      </c>
      <c r="B1200">
        <v>2</v>
      </c>
      <c r="C1200">
        <v>3</v>
      </c>
      <c r="D1200">
        <v>4</v>
      </c>
      <c r="E1200">
        <v>4</v>
      </c>
    </row>
    <row r="1201" spans="1:5" x14ac:dyDescent="0.4">
      <c r="A1201">
        <v>36</v>
      </c>
      <c r="B1201">
        <v>1</v>
      </c>
      <c r="C1201">
        <v>4</v>
      </c>
      <c r="D1201">
        <v>4</v>
      </c>
      <c r="E1201">
        <v>3</v>
      </c>
    </row>
    <row r="1202" spans="1:5" x14ac:dyDescent="0.4">
      <c r="A1202">
        <v>1237</v>
      </c>
      <c r="B1202">
        <v>3</v>
      </c>
      <c r="C1202">
        <v>1</v>
      </c>
      <c r="D1202">
        <v>3</v>
      </c>
      <c r="E1202">
        <v>3</v>
      </c>
    </row>
    <row r="1203" spans="1:5" x14ac:dyDescent="0.4">
      <c r="A1203">
        <v>573</v>
      </c>
      <c r="B1203">
        <v>3</v>
      </c>
      <c r="C1203">
        <v>1</v>
      </c>
      <c r="D1203">
        <v>4</v>
      </c>
      <c r="E1203">
        <v>4</v>
      </c>
    </row>
    <row r="1204" spans="1:5" x14ac:dyDescent="0.4">
      <c r="A1204">
        <v>1722</v>
      </c>
      <c r="B1204">
        <v>3</v>
      </c>
      <c r="C1204">
        <v>2</v>
      </c>
      <c r="D1204">
        <v>2</v>
      </c>
      <c r="E1204">
        <v>3</v>
      </c>
    </row>
    <row r="1205" spans="1:5" x14ac:dyDescent="0.4">
      <c r="A1205">
        <v>1725</v>
      </c>
      <c r="B1205">
        <v>2</v>
      </c>
      <c r="C1205">
        <v>1</v>
      </c>
      <c r="D1205">
        <v>2</v>
      </c>
      <c r="E1205">
        <v>4</v>
      </c>
    </row>
    <row r="1206" spans="1:5" x14ac:dyDescent="0.4">
      <c r="A1206">
        <v>165</v>
      </c>
      <c r="B1206">
        <v>4</v>
      </c>
      <c r="C1206">
        <v>4</v>
      </c>
      <c r="D1206">
        <v>4</v>
      </c>
      <c r="E1206">
        <v>2</v>
      </c>
    </row>
    <row r="1207" spans="1:5" x14ac:dyDescent="0.4">
      <c r="A1207">
        <v>1727</v>
      </c>
      <c r="B1207">
        <v>3</v>
      </c>
      <c r="C1207">
        <v>2</v>
      </c>
      <c r="D1207">
        <v>4</v>
      </c>
      <c r="E1207">
        <v>3</v>
      </c>
    </row>
    <row r="1208" spans="1:5" x14ac:dyDescent="0.4">
      <c r="A1208">
        <v>1728</v>
      </c>
      <c r="B1208">
        <v>4</v>
      </c>
      <c r="C1208">
        <v>3</v>
      </c>
      <c r="D1208">
        <v>2</v>
      </c>
      <c r="E1208">
        <v>3</v>
      </c>
    </row>
    <row r="1209" spans="1:5" x14ac:dyDescent="0.4">
      <c r="A1209">
        <v>1827</v>
      </c>
      <c r="B1209">
        <v>3</v>
      </c>
      <c r="C1209">
        <v>2</v>
      </c>
      <c r="D1209">
        <v>3</v>
      </c>
      <c r="E1209">
        <v>3</v>
      </c>
    </row>
    <row r="1210" spans="1:5" x14ac:dyDescent="0.4">
      <c r="A1210">
        <v>1729</v>
      </c>
      <c r="B1210">
        <v>2</v>
      </c>
      <c r="C1210">
        <v>4</v>
      </c>
      <c r="D1210">
        <v>2</v>
      </c>
      <c r="E1210">
        <v>2</v>
      </c>
    </row>
    <row r="1211" spans="1:5" x14ac:dyDescent="0.4">
      <c r="A1211">
        <v>1243</v>
      </c>
      <c r="B1211">
        <v>3</v>
      </c>
      <c r="C1211">
        <v>4</v>
      </c>
      <c r="D1211">
        <v>2</v>
      </c>
      <c r="E1211">
        <v>2</v>
      </c>
    </row>
    <row r="1212" spans="1:5" x14ac:dyDescent="0.4">
      <c r="A1212">
        <v>1014</v>
      </c>
      <c r="B1212">
        <v>3</v>
      </c>
      <c r="C1212">
        <v>3</v>
      </c>
      <c r="D1212">
        <v>3</v>
      </c>
      <c r="E1212">
        <v>2</v>
      </c>
    </row>
    <row r="1213" spans="1:5" x14ac:dyDescent="0.4">
      <c r="A1213">
        <v>1731</v>
      </c>
      <c r="B1213">
        <v>3</v>
      </c>
      <c r="C1213">
        <v>2</v>
      </c>
      <c r="D1213">
        <v>4</v>
      </c>
      <c r="E1213">
        <v>1</v>
      </c>
    </row>
    <row r="1214" spans="1:5" x14ac:dyDescent="0.4">
      <c r="A1214">
        <v>2016</v>
      </c>
      <c r="B1214">
        <v>3</v>
      </c>
      <c r="C1214">
        <v>4</v>
      </c>
      <c r="D1214">
        <v>3</v>
      </c>
      <c r="E1214">
        <v>3</v>
      </c>
    </row>
    <row r="1215" spans="1:5" x14ac:dyDescent="0.4">
      <c r="A1215">
        <v>1628</v>
      </c>
      <c r="B1215">
        <v>1</v>
      </c>
      <c r="C1215">
        <v>3</v>
      </c>
      <c r="D1215">
        <v>4</v>
      </c>
      <c r="E1215">
        <v>3</v>
      </c>
    </row>
    <row r="1216" spans="1:5" x14ac:dyDescent="0.4">
      <c r="A1216">
        <v>1732</v>
      </c>
      <c r="B1216">
        <v>3</v>
      </c>
      <c r="C1216">
        <v>4</v>
      </c>
      <c r="D1216">
        <v>2</v>
      </c>
      <c r="E1216">
        <v>2</v>
      </c>
    </row>
    <row r="1217" spans="1:5" x14ac:dyDescent="0.4">
      <c r="A1217">
        <v>1815</v>
      </c>
      <c r="B1217">
        <v>3</v>
      </c>
      <c r="C1217">
        <v>3</v>
      </c>
      <c r="D1217">
        <v>4</v>
      </c>
      <c r="E1217">
        <v>4</v>
      </c>
    </row>
    <row r="1218" spans="1:5" x14ac:dyDescent="0.4">
      <c r="A1218">
        <v>1733</v>
      </c>
      <c r="B1218">
        <v>2</v>
      </c>
      <c r="C1218">
        <v>1</v>
      </c>
      <c r="D1218">
        <v>2</v>
      </c>
      <c r="E1218">
        <v>3</v>
      </c>
    </row>
    <row r="1219" spans="1:5" x14ac:dyDescent="0.4">
      <c r="A1219">
        <v>244</v>
      </c>
      <c r="B1219">
        <v>2</v>
      </c>
      <c r="C1219">
        <v>1</v>
      </c>
      <c r="D1219">
        <v>3</v>
      </c>
      <c r="E1219">
        <v>3</v>
      </c>
    </row>
    <row r="1220" spans="1:5" x14ac:dyDescent="0.4">
      <c r="A1220">
        <v>1734</v>
      </c>
      <c r="B1220">
        <v>1</v>
      </c>
      <c r="C1220">
        <v>2</v>
      </c>
      <c r="D1220">
        <v>2</v>
      </c>
      <c r="E1220">
        <v>3</v>
      </c>
    </row>
    <row r="1221" spans="1:5" x14ac:dyDescent="0.4">
      <c r="A1221">
        <v>1737</v>
      </c>
      <c r="B1221">
        <v>4</v>
      </c>
      <c r="C1221">
        <v>4</v>
      </c>
      <c r="D1221">
        <v>4</v>
      </c>
      <c r="E1221">
        <v>3</v>
      </c>
    </row>
    <row r="1222" spans="1:5" x14ac:dyDescent="0.4">
      <c r="A1222">
        <v>1739</v>
      </c>
      <c r="B1222">
        <v>4</v>
      </c>
      <c r="C1222">
        <v>3</v>
      </c>
      <c r="D1222">
        <v>3</v>
      </c>
      <c r="E1222">
        <v>1</v>
      </c>
    </row>
    <row r="1223" spans="1:5" x14ac:dyDescent="0.4">
      <c r="A1223">
        <v>1740</v>
      </c>
      <c r="B1223">
        <v>2</v>
      </c>
      <c r="C1223">
        <v>2</v>
      </c>
      <c r="D1223">
        <v>2</v>
      </c>
      <c r="E1223">
        <v>2</v>
      </c>
    </row>
    <row r="1224" spans="1:5" x14ac:dyDescent="0.4">
      <c r="A1224">
        <v>1245</v>
      </c>
      <c r="B1224">
        <v>4</v>
      </c>
      <c r="C1224">
        <v>3</v>
      </c>
      <c r="D1224">
        <v>1</v>
      </c>
      <c r="E1224">
        <v>1</v>
      </c>
    </row>
    <row r="1225" spans="1:5" x14ac:dyDescent="0.4">
      <c r="A1225">
        <v>1746</v>
      </c>
      <c r="B1225">
        <v>1</v>
      </c>
      <c r="C1225">
        <v>4</v>
      </c>
      <c r="D1225">
        <v>4</v>
      </c>
      <c r="E1225">
        <v>3</v>
      </c>
    </row>
    <row r="1226" spans="1:5" x14ac:dyDescent="0.4">
      <c r="A1226">
        <v>624</v>
      </c>
      <c r="B1226">
        <v>1</v>
      </c>
      <c r="C1226">
        <v>3</v>
      </c>
      <c r="D1226">
        <v>4</v>
      </c>
      <c r="E1226">
        <v>2</v>
      </c>
    </row>
    <row r="1227" spans="1:5" x14ac:dyDescent="0.4">
      <c r="A1227">
        <v>940</v>
      </c>
      <c r="B1227">
        <v>3</v>
      </c>
      <c r="C1227">
        <v>2</v>
      </c>
      <c r="D1227">
        <v>4</v>
      </c>
      <c r="E1227">
        <v>3</v>
      </c>
    </row>
    <row r="1228" spans="1:5" x14ac:dyDescent="0.4">
      <c r="A1228">
        <v>1749</v>
      </c>
      <c r="B1228">
        <v>1</v>
      </c>
      <c r="C1228">
        <v>3</v>
      </c>
      <c r="D1228">
        <v>3</v>
      </c>
      <c r="E1228">
        <v>3</v>
      </c>
    </row>
    <row r="1229" spans="1:5" x14ac:dyDescent="0.4">
      <c r="A1229">
        <v>1753</v>
      </c>
      <c r="B1229">
        <v>4</v>
      </c>
      <c r="C1229">
        <v>3</v>
      </c>
      <c r="D1229">
        <v>4</v>
      </c>
      <c r="E1229">
        <v>4</v>
      </c>
    </row>
    <row r="1230" spans="1:5" x14ac:dyDescent="0.4">
      <c r="A1230">
        <v>1754</v>
      </c>
      <c r="B1230">
        <v>3</v>
      </c>
      <c r="C1230">
        <v>1</v>
      </c>
      <c r="D1230">
        <v>1</v>
      </c>
      <c r="E1230">
        <v>3</v>
      </c>
    </row>
    <row r="1231" spans="1:5" x14ac:dyDescent="0.4">
      <c r="A1231">
        <v>1755</v>
      </c>
      <c r="B1231">
        <v>4</v>
      </c>
      <c r="C1231">
        <v>4</v>
      </c>
      <c r="D1231">
        <v>1</v>
      </c>
      <c r="E1231">
        <v>3</v>
      </c>
    </row>
    <row r="1232" spans="1:5" x14ac:dyDescent="0.4">
      <c r="A1232">
        <v>1761</v>
      </c>
      <c r="B1232">
        <v>1</v>
      </c>
      <c r="C1232">
        <v>3</v>
      </c>
      <c r="D1232">
        <v>1</v>
      </c>
      <c r="E1232">
        <v>3</v>
      </c>
    </row>
    <row r="1233" spans="1:5" x14ac:dyDescent="0.4">
      <c r="A1233">
        <v>1763</v>
      </c>
      <c r="B1233">
        <v>3</v>
      </c>
      <c r="C1233">
        <v>3</v>
      </c>
      <c r="D1233">
        <v>3</v>
      </c>
      <c r="E1233">
        <v>3</v>
      </c>
    </row>
    <row r="1234" spans="1:5" x14ac:dyDescent="0.4">
      <c r="A1234">
        <v>880</v>
      </c>
      <c r="B1234">
        <v>4</v>
      </c>
      <c r="C1234">
        <v>3</v>
      </c>
      <c r="D1234">
        <v>2</v>
      </c>
      <c r="E1234">
        <v>3</v>
      </c>
    </row>
    <row r="1235" spans="1:5" x14ac:dyDescent="0.4">
      <c r="A1235">
        <v>1070</v>
      </c>
      <c r="B1235">
        <v>3</v>
      </c>
      <c r="C1235">
        <v>3</v>
      </c>
      <c r="D1235">
        <v>2</v>
      </c>
      <c r="E1235">
        <v>3</v>
      </c>
    </row>
    <row r="1236" spans="1:5" x14ac:dyDescent="0.4">
      <c r="A1236">
        <v>1764</v>
      </c>
      <c r="B1236">
        <v>2</v>
      </c>
      <c r="C1236">
        <v>2</v>
      </c>
      <c r="D1236">
        <v>2</v>
      </c>
      <c r="E1236">
        <v>3</v>
      </c>
    </row>
    <row r="1237" spans="1:5" x14ac:dyDescent="0.4">
      <c r="A1237">
        <v>1013</v>
      </c>
      <c r="B1237">
        <v>3</v>
      </c>
      <c r="C1237">
        <v>3</v>
      </c>
      <c r="D1237">
        <v>3</v>
      </c>
      <c r="E1237">
        <v>3</v>
      </c>
    </row>
    <row r="1238" spans="1:5" x14ac:dyDescent="0.4">
      <c r="A1238">
        <v>1766</v>
      </c>
      <c r="B1238">
        <v>2</v>
      </c>
      <c r="C1238">
        <v>4</v>
      </c>
      <c r="D1238">
        <v>3</v>
      </c>
      <c r="E1238">
        <v>3</v>
      </c>
    </row>
    <row r="1239" spans="1:5" x14ac:dyDescent="0.4">
      <c r="A1239">
        <v>1767</v>
      </c>
      <c r="B1239">
        <v>3</v>
      </c>
      <c r="C1239">
        <v>3</v>
      </c>
      <c r="D1239">
        <v>4</v>
      </c>
      <c r="E1239">
        <v>3</v>
      </c>
    </row>
    <row r="1240" spans="1:5" x14ac:dyDescent="0.4">
      <c r="A1240">
        <v>1768</v>
      </c>
      <c r="B1240">
        <v>2</v>
      </c>
      <c r="C1240">
        <v>2</v>
      </c>
      <c r="D1240">
        <v>2</v>
      </c>
      <c r="E1240">
        <v>2</v>
      </c>
    </row>
    <row r="1241" spans="1:5" x14ac:dyDescent="0.4">
      <c r="A1241">
        <v>1770</v>
      </c>
      <c r="B1241">
        <v>3</v>
      </c>
      <c r="C1241">
        <v>1</v>
      </c>
      <c r="D1241">
        <v>2</v>
      </c>
      <c r="E1241">
        <v>3</v>
      </c>
    </row>
    <row r="1242" spans="1:5" x14ac:dyDescent="0.4">
      <c r="A1242">
        <v>1126</v>
      </c>
      <c r="B1242">
        <v>3</v>
      </c>
      <c r="C1242">
        <v>1</v>
      </c>
      <c r="D1242">
        <v>3</v>
      </c>
      <c r="E1242">
        <v>3</v>
      </c>
    </row>
    <row r="1243" spans="1:5" x14ac:dyDescent="0.4">
      <c r="A1243">
        <v>1771</v>
      </c>
      <c r="B1243">
        <v>4</v>
      </c>
      <c r="C1243">
        <v>2</v>
      </c>
      <c r="D1243">
        <v>4</v>
      </c>
      <c r="E1243">
        <v>2</v>
      </c>
    </row>
    <row r="1244" spans="1:5" x14ac:dyDescent="0.4">
      <c r="A1244">
        <v>1772</v>
      </c>
      <c r="B1244">
        <v>3</v>
      </c>
      <c r="C1244">
        <v>1</v>
      </c>
      <c r="D1244">
        <v>2</v>
      </c>
      <c r="E1244">
        <v>3</v>
      </c>
    </row>
    <row r="1245" spans="1:5" x14ac:dyDescent="0.4">
      <c r="A1245">
        <v>1774</v>
      </c>
      <c r="B1245">
        <v>4</v>
      </c>
      <c r="C1245">
        <v>3</v>
      </c>
      <c r="D1245">
        <v>3</v>
      </c>
      <c r="E1245">
        <v>3</v>
      </c>
    </row>
    <row r="1246" spans="1:5" x14ac:dyDescent="0.4">
      <c r="A1246">
        <v>1778</v>
      </c>
      <c r="B1246">
        <v>2</v>
      </c>
      <c r="C1246">
        <v>4</v>
      </c>
      <c r="D1246">
        <v>2</v>
      </c>
      <c r="E1246">
        <v>3</v>
      </c>
    </row>
    <row r="1247" spans="1:5" x14ac:dyDescent="0.4">
      <c r="A1247">
        <v>1043</v>
      </c>
      <c r="B1247">
        <v>4</v>
      </c>
      <c r="C1247">
        <v>1</v>
      </c>
      <c r="D1247">
        <v>3</v>
      </c>
      <c r="E1247">
        <v>3</v>
      </c>
    </row>
    <row r="1248" spans="1:5" x14ac:dyDescent="0.4">
      <c r="A1248">
        <v>1780</v>
      </c>
      <c r="B1248">
        <v>2</v>
      </c>
      <c r="C1248">
        <v>2</v>
      </c>
      <c r="D1248">
        <v>2</v>
      </c>
      <c r="E1248">
        <v>3</v>
      </c>
    </row>
    <row r="1249" spans="1:5" x14ac:dyDescent="0.4">
      <c r="A1249">
        <v>1787</v>
      </c>
      <c r="B1249">
        <v>2</v>
      </c>
      <c r="C1249">
        <v>2</v>
      </c>
      <c r="D1249">
        <v>1</v>
      </c>
      <c r="E1249">
        <v>3</v>
      </c>
    </row>
    <row r="1250" spans="1:5" x14ac:dyDescent="0.4">
      <c r="A1250">
        <v>1789</v>
      </c>
      <c r="B1250">
        <v>3</v>
      </c>
      <c r="C1250">
        <v>4</v>
      </c>
      <c r="D1250">
        <v>3</v>
      </c>
      <c r="E1250">
        <v>3</v>
      </c>
    </row>
    <row r="1251" spans="1:5" x14ac:dyDescent="0.4">
      <c r="A1251">
        <v>1790</v>
      </c>
      <c r="B1251">
        <v>4</v>
      </c>
      <c r="C1251">
        <v>1</v>
      </c>
      <c r="D1251">
        <v>4</v>
      </c>
      <c r="E1251">
        <v>3</v>
      </c>
    </row>
    <row r="1252" spans="1:5" x14ac:dyDescent="0.4">
      <c r="A1252">
        <v>862</v>
      </c>
      <c r="B1252">
        <v>1</v>
      </c>
      <c r="C1252">
        <v>4</v>
      </c>
      <c r="D1252">
        <v>4</v>
      </c>
      <c r="E1252">
        <v>3</v>
      </c>
    </row>
    <row r="1253" spans="1:5" x14ac:dyDescent="0.4">
      <c r="A1253">
        <v>343</v>
      </c>
      <c r="B1253">
        <v>3</v>
      </c>
      <c r="C1253">
        <v>3</v>
      </c>
      <c r="D1253">
        <v>4</v>
      </c>
      <c r="E1253">
        <v>3</v>
      </c>
    </row>
    <row r="1254" spans="1:5" x14ac:dyDescent="0.4">
      <c r="A1254">
        <v>1792</v>
      </c>
      <c r="B1254">
        <v>3</v>
      </c>
      <c r="C1254">
        <v>2</v>
      </c>
      <c r="D1254">
        <v>3</v>
      </c>
      <c r="E1254">
        <v>2</v>
      </c>
    </row>
    <row r="1255" spans="1:5" x14ac:dyDescent="0.4">
      <c r="A1255">
        <v>1794</v>
      </c>
      <c r="B1255">
        <v>3</v>
      </c>
      <c r="C1255">
        <v>2</v>
      </c>
      <c r="D1255">
        <v>3</v>
      </c>
      <c r="E1255">
        <v>2</v>
      </c>
    </row>
    <row r="1256" spans="1:5" x14ac:dyDescent="0.4">
      <c r="A1256">
        <v>1797</v>
      </c>
      <c r="B1256">
        <v>3</v>
      </c>
      <c r="C1256">
        <v>4</v>
      </c>
      <c r="D1256">
        <v>4</v>
      </c>
      <c r="E1256">
        <v>3</v>
      </c>
    </row>
    <row r="1257" spans="1:5" x14ac:dyDescent="0.4">
      <c r="A1257">
        <v>1979</v>
      </c>
      <c r="B1257">
        <v>3</v>
      </c>
      <c r="C1257">
        <v>3</v>
      </c>
      <c r="D1257">
        <v>3</v>
      </c>
      <c r="E1257">
        <v>4</v>
      </c>
    </row>
    <row r="1258" spans="1:5" x14ac:dyDescent="0.4">
      <c r="A1258">
        <v>1798</v>
      </c>
      <c r="B1258">
        <v>4</v>
      </c>
      <c r="C1258">
        <v>1</v>
      </c>
      <c r="D1258">
        <v>2</v>
      </c>
      <c r="E1258">
        <v>3</v>
      </c>
    </row>
    <row r="1259" spans="1:5" x14ac:dyDescent="0.4">
      <c r="A1259">
        <v>727</v>
      </c>
      <c r="B1259">
        <v>3</v>
      </c>
      <c r="C1259">
        <v>4</v>
      </c>
      <c r="D1259">
        <v>4</v>
      </c>
      <c r="E1259">
        <v>3</v>
      </c>
    </row>
    <row r="1260" spans="1:5" x14ac:dyDescent="0.4">
      <c r="A1260">
        <v>1799</v>
      </c>
      <c r="B1260">
        <v>3</v>
      </c>
      <c r="C1260">
        <v>4</v>
      </c>
      <c r="D1260">
        <v>3</v>
      </c>
      <c r="E1260">
        <v>4</v>
      </c>
    </row>
    <row r="1261" spans="1:5" x14ac:dyDescent="0.4">
      <c r="A1261">
        <v>1800</v>
      </c>
      <c r="B1261">
        <v>3</v>
      </c>
      <c r="C1261">
        <v>3</v>
      </c>
      <c r="D1261">
        <v>3</v>
      </c>
      <c r="E1261">
        <v>3</v>
      </c>
    </row>
    <row r="1262" spans="1:5" x14ac:dyDescent="0.4">
      <c r="A1262">
        <v>1015</v>
      </c>
      <c r="B1262">
        <v>2</v>
      </c>
      <c r="C1262">
        <v>1</v>
      </c>
      <c r="D1262">
        <v>3</v>
      </c>
      <c r="E1262">
        <v>2</v>
      </c>
    </row>
    <row r="1263" spans="1:5" x14ac:dyDescent="0.4">
      <c r="A1263">
        <v>1801</v>
      </c>
      <c r="B1263">
        <v>2</v>
      </c>
      <c r="C1263">
        <v>2</v>
      </c>
      <c r="D1263">
        <v>3</v>
      </c>
      <c r="E1263">
        <v>3</v>
      </c>
    </row>
    <row r="1264" spans="1:5" x14ac:dyDescent="0.4">
      <c r="A1264">
        <v>1803</v>
      </c>
      <c r="B1264">
        <v>2</v>
      </c>
      <c r="C1264">
        <v>1</v>
      </c>
      <c r="D1264">
        <v>3</v>
      </c>
      <c r="E1264">
        <v>2</v>
      </c>
    </row>
    <row r="1265" spans="1:5" x14ac:dyDescent="0.4">
      <c r="A1265">
        <v>153</v>
      </c>
      <c r="B1265">
        <v>3</v>
      </c>
      <c r="C1265">
        <v>1</v>
      </c>
      <c r="D1265">
        <v>4</v>
      </c>
      <c r="E1265">
        <v>3</v>
      </c>
    </row>
    <row r="1266" spans="1:5" x14ac:dyDescent="0.4">
      <c r="A1266">
        <v>1804</v>
      </c>
      <c r="B1266">
        <v>2</v>
      </c>
      <c r="C1266">
        <v>4</v>
      </c>
      <c r="D1266">
        <v>3</v>
      </c>
      <c r="E1266">
        <v>3</v>
      </c>
    </row>
    <row r="1267" spans="1:5" x14ac:dyDescent="0.4">
      <c r="A1267">
        <v>742</v>
      </c>
      <c r="B1267">
        <v>1</v>
      </c>
      <c r="C1267">
        <v>1</v>
      </c>
      <c r="D1267">
        <v>1</v>
      </c>
      <c r="E1267">
        <v>3</v>
      </c>
    </row>
    <row r="1268" spans="1:5" x14ac:dyDescent="0.4">
      <c r="A1268">
        <v>1805</v>
      </c>
      <c r="B1268">
        <v>1</v>
      </c>
      <c r="C1268">
        <v>2</v>
      </c>
      <c r="D1268">
        <v>4</v>
      </c>
      <c r="E1268">
        <v>3</v>
      </c>
    </row>
    <row r="1269" spans="1:5" x14ac:dyDescent="0.4">
      <c r="A1269">
        <v>1807</v>
      </c>
      <c r="B1269">
        <v>4</v>
      </c>
      <c r="C1269">
        <v>1</v>
      </c>
      <c r="D1269">
        <v>3</v>
      </c>
      <c r="E1269">
        <v>2</v>
      </c>
    </row>
    <row r="1270" spans="1:5" x14ac:dyDescent="0.4">
      <c r="A1270">
        <v>428</v>
      </c>
      <c r="B1270">
        <v>4</v>
      </c>
      <c r="C1270">
        <v>2</v>
      </c>
      <c r="D1270">
        <v>2</v>
      </c>
      <c r="E1270">
        <v>3</v>
      </c>
    </row>
    <row r="1271" spans="1:5" x14ac:dyDescent="0.4">
      <c r="A1271">
        <v>1809</v>
      </c>
      <c r="B1271">
        <v>4</v>
      </c>
      <c r="C1271">
        <v>1</v>
      </c>
      <c r="D1271">
        <v>2</v>
      </c>
      <c r="E1271">
        <v>1</v>
      </c>
    </row>
    <row r="1272" spans="1:5" x14ac:dyDescent="0.4">
      <c r="A1272">
        <v>1321</v>
      </c>
      <c r="B1272">
        <v>2</v>
      </c>
      <c r="C1272">
        <v>1</v>
      </c>
      <c r="D1272">
        <v>4</v>
      </c>
      <c r="E1272">
        <v>3</v>
      </c>
    </row>
    <row r="1273" spans="1:5" x14ac:dyDescent="0.4">
      <c r="A1273">
        <v>1812</v>
      </c>
      <c r="B1273">
        <v>3</v>
      </c>
      <c r="C1273">
        <v>4</v>
      </c>
      <c r="D1273">
        <v>4</v>
      </c>
      <c r="E1273">
        <v>3</v>
      </c>
    </row>
    <row r="1274" spans="1:5" x14ac:dyDescent="0.4">
      <c r="A1274">
        <v>2000</v>
      </c>
      <c r="B1274">
        <v>3</v>
      </c>
      <c r="C1274">
        <v>2</v>
      </c>
      <c r="D1274">
        <v>1</v>
      </c>
      <c r="E1274">
        <v>1</v>
      </c>
    </row>
    <row r="1275" spans="1:5" x14ac:dyDescent="0.4">
      <c r="A1275">
        <v>28</v>
      </c>
      <c r="B1275">
        <v>1</v>
      </c>
      <c r="C1275">
        <v>2</v>
      </c>
      <c r="D1275">
        <v>3</v>
      </c>
      <c r="E1275">
        <v>3</v>
      </c>
    </row>
    <row r="1276" spans="1:5" x14ac:dyDescent="0.4">
      <c r="A1276">
        <v>381</v>
      </c>
      <c r="B1276">
        <v>2</v>
      </c>
      <c r="C1276">
        <v>2</v>
      </c>
      <c r="D1276">
        <v>2</v>
      </c>
      <c r="E1276">
        <v>2</v>
      </c>
    </row>
    <row r="1277" spans="1:5" x14ac:dyDescent="0.4">
      <c r="A1277">
        <v>2056</v>
      </c>
      <c r="B1277">
        <v>2</v>
      </c>
      <c r="C1277">
        <v>4</v>
      </c>
      <c r="D1277">
        <v>1</v>
      </c>
      <c r="E1277">
        <v>2</v>
      </c>
    </row>
    <row r="1278" spans="1:5" x14ac:dyDescent="0.4">
      <c r="A1278">
        <v>421</v>
      </c>
      <c r="B1278">
        <v>1</v>
      </c>
      <c r="C1278">
        <v>2</v>
      </c>
      <c r="D1278">
        <v>3</v>
      </c>
      <c r="E1278">
        <v>3</v>
      </c>
    </row>
    <row r="1279" spans="1:5" x14ac:dyDescent="0.4">
      <c r="A1279">
        <v>1813</v>
      </c>
      <c r="B1279">
        <v>1</v>
      </c>
      <c r="C1279">
        <v>3</v>
      </c>
      <c r="D1279">
        <v>3</v>
      </c>
      <c r="E1279">
        <v>2</v>
      </c>
    </row>
    <row r="1280" spans="1:5" x14ac:dyDescent="0.4">
      <c r="A1280">
        <v>1814</v>
      </c>
      <c r="B1280">
        <v>2</v>
      </c>
      <c r="C1280">
        <v>2</v>
      </c>
      <c r="D1280">
        <v>1</v>
      </c>
      <c r="E1280">
        <v>1</v>
      </c>
    </row>
    <row r="1281" spans="1:5" x14ac:dyDescent="0.4">
      <c r="A1281">
        <v>1823</v>
      </c>
      <c r="B1281">
        <v>2</v>
      </c>
      <c r="C1281">
        <v>3</v>
      </c>
      <c r="D1281">
        <v>3</v>
      </c>
      <c r="E1281">
        <v>3</v>
      </c>
    </row>
    <row r="1282" spans="1:5" x14ac:dyDescent="0.4">
      <c r="A1282">
        <v>473</v>
      </c>
      <c r="B1282">
        <v>1</v>
      </c>
      <c r="C1282">
        <v>3</v>
      </c>
      <c r="D1282">
        <v>2</v>
      </c>
      <c r="E1282">
        <v>1</v>
      </c>
    </row>
    <row r="1283" spans="1:5" x14ac:dyDescent="0.4">
      <c r="A1283">
        <v>1026</v>
      </c>
      <c r="B1283">
        <v>4</v>
      </c>
      <c r="C1283">
        <v>4</v>
      </c>
      <c r="D1283">
        <v>3</v>
      </c>
      <c r="E1283">
        <v>3</v>
      </c>
    </row>
    <row r="1284" spans="1:5" x14ac:dyDescent="0.4">
      <c r="A1284">
        <v>1824</v>
      </c>
      <c r="B1284">
        <v>2</v>
      </c>
      <c r="C1284">
        <v>2</v>
      </c>
      <c r="D1284">
        <v>4</v>
      </c>
      <c r="E1284">
        <v>2</v>
      </c>
    </row>
    <row r="1285" spans="1:5" x14ac:dyDescent="0.4">
      <c r="A1285">
        <v>1826</v>
      </c>
      <c r="B1285">
        <v>2</v>
      </c>
      <c r="C1285">
        <v>3</v>
      </c>
      <c r="D1285">
        <v>2</v>
      </c>
      <c r="E1285">
        <v>4</v>
      </c>
    </row>
    <row r="1286" spans="1:5" x14ac:dyDescent="0.4">
      <c r="A1286">
        <v>1775</v>
      </c>
      <c r="B1286">
        <v>1</v>
      </c>
      <c r="C1286">
        <v>3</v>
      </c>
      <c r="D1286">
        <v>4</v>
      </c>
      <c r="E1286">
        <v>2</v>
      </c>
    </row>
    <row r="1287" spans="1:5" x14ac:dyDescent="0.4">
      <c r="A1287">
        <v>1786</v>
      </c>
      <c r="B1287">
        <v>1</v>
      </c>
      <c r="C1287">
        <v>3</v>
      </c>
      <c r="D1287">
        <v>4</v>
      </c>
      <c r="E1287">
        <v>3</v>
      </c>
    </row>
    <row r="1288" spans="1:5" x14ac:dyDescent="0.4">
      <c r="A1288">
        <v>1836</v>
      </c>
      <c r="B1288">
        <v>3</v>
      </c>
      <c r="C1288">
        <v>4</v>
      </c>
      <c r="D1288">
        <v>1</v>
      </c>
      <c r="E1288">
        <v>3</v>
      </c>
    </row>
    <row r="1289" spans="1:5" x14ac:dyDescent="0.4">
      <c r="A1289">
        <v>1367</v>
      </c>
      <c r="B1289">
        <v>4</v>
      </c>
      <c r="C1289">
        <v>2</v>
      </c>
      <c r="D1289">
        <v>2</v>
      </c>
      <c r="E1289">
        <v>2</v>
      </c>
    </row>
    <row r="1290" spans="1:5" x14ac:dyDescent="0.4">
      <c r="A1290">
        <v>1242</v>
      </c>
      <c r="B1290">
        <v>1</v>
      </c>
      <c r="C1290">
        <v>1</v>
      </c>
      <c r="D1290">
        <v>3</v>
      </c>
      <c r="E1290">
        <v>3</v>
      </c>
    </row>
    <row r="1291" spans="1:5" x14ac:dyDescent="0.4">
      <c r="A1291">
        <v>986</v>
      </c>
      <c r="B1291">
        <v>2</v>
      </c>
      <c r="C1291">
        <v>2</v>
      </c>
      <c r="D1291">
        <v>4</v>
      </c>
      <c r="E1291">
        <v>2</v>
      </c>
    </row>
    <row r="1292" spans="1:5" x14ac:dyDescent="0.4">
      <c r="A1292">
        <v>2015</v>
      </c>
      <c r="B1292">
        <v>2</v>
      </c>
      <c r="C1292">
        <v>3</v>
      </c>
      <c r="D1292">
        <v>1</v>
      </c>
      <c r="E1292">
        <v>3</v>
      </c>
    </row>
    <row r="1293" spans="1:5" x14ac:dyDescent="0.4">
      <c r="A1293">
        <v>532</v>
      </c>
      <c r="B1293">
        <v>3</v>
      </c>
      <c r="C1293">
        <v>1</v>
      </c>
      <c r="D1293">
        <v>4</v>
      </c>
      <c r="E1293">
        <v>2</v>
      </c>
    </row>
    <row r="1294" spans="1:5" x14ac:dyDescent="0.4">
      <c r="A1294">
        <v>1863</v>
      </c>
      <c r="B1294">
        <v>1</v>
      </c>
      <c r="C1294">
        <v>1</v>
      </c>
      <c r="D1294">
        <v>4</v>
      </c>
      <c r="E1294">
        <v>3</v>
      </c>
    </row>
    <row r="1295" spans="1:5" x14ac:dyDescent="0.4">
      <c r="A1295">
        <v>601</v>
      </c>
      <c r="B1295">
        <v>2</v>
      </c>
      <c r="C1295">
        <v>3</v>
      </c>
      <c r="D1295">
        <v>3</v>
      </c>
      <c r="E1295">
        <v>3</v>
      </c>
    </row>
    <row r="1296" spans="1:5" x14ac:dyDescent="0.4">
      <c r="A1296">
        <v>1837</v>
      </c>
      <c r="B1296">
        <v>1</v>
      </c>
      <c r="C1296">
        <v>3</v>
      </c>
      <c r="D1296">
        <v>2</v>
      </c>
      <c r="E1296">
        <v>3</v>
      </c>
    </row>
    <row r="1297" spans="1:5" x14ac:dyDescent="0.4">
      <c r="A1297">
        <v>1401</v>
      </c>
      <c r="B1297">
        <v>4</v>
      </c>
      <c r="C1297">
        <v>3</v>
      </c>
      <c r="D1297">
        <v>2</v>
      </c>
      <c r="E1297">
        <v>2</v>
      </c>
    </row>
    <row r="1298" spans="1:5" x14ac:dyDescent="0.4">
      <c r="A1298">
        <v>1656</v>
      </c>
      <c r="B1298">
        <v>4</v>
      </c>
      <c r="C1298">
        <v>1</v>
      </c>
      <c r="D1298">
        <v>3</v>
      </c>
      <c r="E1298">
        <v>3</v>
      </c>
    </row>
    <row r="1299" spans="1:5" x14ac:dyDescent="0.4">
      <c r="A1299">
        <v>1039</v>
      </c>
      <c r="B1299">
        <v>4</v>
      </c>
      <c r="C1299">
        <v>4</v>
      </c>
      <c r="D1299">
        <v>3</v>
      </c>
      <c r="E1299">
        <v>3</v>
      </c>
    </row>
    <row r="1300" spans="1:5" x14ac:dyDescent="0.4">
      <c r="A1300">
        <v>1842</v>
      </c>
      <c r="B1300">
        <v>4</v>
      </c>
      <c r="C1300">
        <v>1</v>
      </c>
      <c r="D1300">
        <v>3</v>
      </c>
      <c r="E1300">
        <v>3</v>
      </c>
    </row>
    <row r="1301" spans="1:5" x14ac:dyDescent="0.4">
      <c r="A1301">
        <v>1844</v>
      </c>
      <c r="B1301">
        <v>1</v>
      </c>
      <c r="C1301">
        <v>1</v>
      </c>
      <c r="D1301">
        <v>4</v>
      </c>
      <c r="E1301">
        <v>3</v>
      </c>
    </row>
    <row r="1302" spans="1:5" x14ac:dyDescent="0.4">
      <c r="A1302">
        <v>1849</v>
      </c>
      <c r="B1302">
        <v>1</v>
      </c>
      <c r="C1302">
        <v>4</v>
      </c>
      <c r="D1302">
        <v>3</v>
      </c>
      <c r="E1302">
        <v>3</v>
      </c>
    </row>
    <row r="1303" spans="1:5" x14ac:dyDescent="0.4">
      <c r="A1303">
        <v>73</v>
      </c>
      <c r="B1303">
        <v>1</v>
      </c>
      <c r="C1303">
        <v>4</v>
      </c>
      <c r="D1303">
        <v>3</v>
      </c>
      <c r="E1303">
        <v>3</v>
      </c>
    </row>
    <row r="1304" spans="1:5" x14ac:dyDescent="0.4">
      <c r="A1304">
        <v>1852</v>
      </c>
      <c r="B1304">
        <v>4</v>
      </c>
      <c r="C1304">
        <v>4</v>
      </c>
      <c r="D1304">
        <v>2</v>
      </c>
      <c r="E1304">
        <v>4</v>
      </c>
    </row>
    <row r="1305" spans="1:5" x14ac:dyDescent="0.4">
      <c r="A1305">
        <v>1853</v>
      </c>
      <c r="B1305">
        <v>4</v>
      </c>
      <c r="C1305">
        <v>4</v>
      </c>
      <c r="D1305">
        <v>3</v>
      </c>
      <c r="E1305">
        <v>4</v>
      </c>
    </row>
    <row r="1306" spans="1:5" x14ac:dyDescent="0.4">
      <c r="A1306">
        <v>1166</v>
      </c>
      <c r="B1306">
        <v>2</v>
      </c>
      <c r="C1306">
        <v>3</v>
      </c>
      <c r="D1306">
        <v>3</v>
      </c>
      <c r="E1306">
        <v>2</v>
      </c>
    </row>
    <row r="1307" spans="1:5" x14ac:dyDescent="0.4">
      <c r="A1307">
        <v>1854</v>
      </c>
      <c r="B1307">
        <v>3</v>
      </c>
      <c r="C1307">
        <v>3</v>
      </c>
      <c r="D1307">
        <v>2</v>
      </c>
      <c r="E1307">
        <v>2</v>
      </c>
    </row>
    <row r="1308" spans="1:5" x14ac:dyDescent="0.4">
      <c r="A1308">
        <v>404</v>
      </c>
      <c r="B1308">
        <v>3</v>
      </c>
      <c r="C1308">
        <v>2</v>
      </c>
      <c r="D1308">
        <v>4</v>
      </c>
      <c r="E1308">
        <v>4</v>
      </c>
    </row>
    <row r="1309" spans="1:5" x14ac:dyDescent="0.4">
      <c r="A1309">
        <v>126</v>
      </c>
      <c r="B1309">
        <v>1</v>
      </c>
      <c r="C1309">
        <v>3</v>
      </c>
      <c r="D1309">
        <v>1</v>
      </c>
      <c r="E1309">
        <v>1</v>
      </c>
    </row>
    <row r="1310" spans="1:5" x14ac:dyDescent="0.4">
      <c r="A1310">
        <v>2034</v>
      </c>
      <c r="B1310">
        <v>1</v>
      </c>
      <c r="C1310">
        <v>2</v>
      </c>
      <c r="D1310">
        <v>3</v>
      </c>
      <c r="E1310">
        <v>3</v>
      </c>
    </row>
    <row r="1311" spans="1:5" x14ac:dyDescent="0.4">
      <c r="A1311">
        <v>1857</v>
      </c>
      <c r="B1311">
        <v>4</v>
      </c>
      <c r="C1311">
        <v>4</v>
      </c>
      <c r="D1311">
        <v>3</v>
      </c>
      <c r="E1311">
        <v>2</v>
      </c>
    </row>
    <row r="1312" spans="1:5" x14ac:dyDescent="0.4">
      <c r="A1312">
        <v>950</v>
      </c>
      <c r="B1312">
        <v>4</v>
      </c>
      <c r="C1312">
        <v>1</v>
      </c>
      <c r="D1312">
        <v>2</v>
      </c>
      <c r="E1312">
        <v>3</v>
      </c>
    </row>
    <row r="1313" spans="1:5" x14ac:dyDescent="0.4">
      <c r="A1313">
        <v>298</v>
      </c>
      <c r="B1313">
        <v>4</v>
      </c>
      <c r="C1313">
        <v>4</v>
      </c>
      <c r="D1313">
        <v>3</v>
      </c>
      <c r="E1313">
        <v>3</v>
      </c>
    </row>
    <row r="1314" spans="1:5" x14ac:dyDescent="0.4">
      <c r="A1314">
        <v>380</v>
      </c>
      <c r="B1314">
        <v>1</v>
      </c>
      <c r="C1314">
        <v>4</v>
      </c>
      <c r="D1314">
        <v>1</v>
      </c>
      <c r="E1314">
        <v>3</v>
      </c>
    </row>
    <row r="1315" spans="1:5" x14ac:dyDescent="0.4">
      <c r="A1315">
        <v>1858</v>
      </c>
      <c r="B1315">
        <v>3</v>
      </c>
      <c r="C1315">
        <v>4</v>
      </c>
      <c r="D1315">
        <v>2</v>
      </c>
      <c r="E1315">
        <v>3</v>
      </c>
    </row>
    <row r="1316" spans="1:5" x14ac:dyDescent="0.4">
      <c r="A1316">
        <v>1859</v>
      </c>
      <c r="B1316">
        <v>4</v>
      </c>
      <c r="C1316">
        <v>3</v>
      </c>
      <c r="D1316">
        <v>4</v>
      </c>
      <c r="E1316">
        <v>3</v>
      </c>
    </row>
    <row r="1317" spans="1:5" x14ac:dyDescent="0.4">
      <c r="A1317">
        <v>1860</v>
      </c>
      <c r="B1317">
        <v>4</v>
      </c>
      <c r="C1317">
        <v>3</v>
      </c>
      <c r="D1317">
        <v>4</v>
      </c>
      <c r="E1317">
        <v>3</v>
      </c>
    </row>
    <row r="1318" spans="1:5" x14ac:dyDescent="0.4">
      <c r="A1318">
        <v>1862</v>
      </c>
      <c r="B1318">
        <v>3</v>
      </c>
      <c r="C1318">
        <v>2</v>
      </c>
      <c r="D1318">
        <v>3</v>
      </c>
      <c r="E1318">
        <v>2</v>
      </c>
    </row>
    <row r="1319" spans="1:5" x14ac:dyDescent="0.4">
      <c r="A1319">
        <v>1032</v>
      </c>
      <c r="B1319">
        <v>3</v>
      </c>
      <c r="C1319">
        <v>4</v>
      </c>
      <c r="D1319">
        <v>1</v>
      </c>
      <c r="E1319">
        <v>3</v>
      </c>
    </row>
    <row r="1320" spans="1:5" x14ac:dyDescent="0.4">
      <c r="A1320">
        <v>258</v>
      </c>
      <c r="B1320">
        <v>4</v>
      </c>
      <c r="C1320">
        <v>2</v>
      </c>
      <c r="D1320">
        <v>3</v>
      </c>
      <c r="E1320">
        <v>3</v>
      </c>
    </row>
    <row r="1321" spans="1:5" x14ac:dyDescent="0.4">
      <c r="A1321">
        <v>2017</v>
      </c>
      <c r="B1321">
        <v>3</v>
      </c>
      <c r="C1321">
        <v>4</v>
      </c>
      <c r="D1321">
        <v>1</v>
      </c>
      <c r="E1321">
        <v>3</v>
      </c>
    </row>
    <row r="1322" spans="1:5" x14ac:dyDescent="0.4">
      <c r="A1322">
        <v>1865</v>
      </c>
      <c r="B1322">
        <v>4</v>
      </c>
      <c r="C1322">
        <v>2</v>
      </c>
      <c r="D1322">
        <v>4</v>
      </c>
      <c r="E1322">
        <v>3</v>
      </c>
    </row>
    <row r="1323" spans="1:5" x14ac:dyDescent="0.4">
      <c r="A1323">
        <v>1867</v>
      </c>
      <c r="B1323">
        <v>4</v>
      </c>
      <c r="C1323">
        <v>2</v>
      </c>
      <c r="D1323">
        <v>4</v>
      </c>
      <c r="E1323">
        <v>3</v>
      </c>
    </row>
    <row r="1324" spans="1:5" x14ac:dyDescent="0.4">
      <c r="A1324">
        <v>746</v>
      </c>
      <c r="B1324">
        <v>4</v>
      </c>
      <c r="C1324">
        <v>3</v>
      </c>
      <c r="D1324">
        <v>4</v>
      </c>
      <c r="E1324">
        <v>2</v>
      </c>
    </row>
    <row r="1325" spans="1:5" x14ac:dyDescent="0.4">
      <c r="A1325">
        <v>867</v>
      </c>
      <c r="B1325">
        <v>3</v>
      </c>
      <c r="C1325">
        <v>4</v>
      </c>
      <c r="D1325">
        <v>3</v>
      </c>
      <c r="E1325">
        <v>3</v>
      </c>
    </row>
    <row r="1326" spans="1:5" x14ac:dyDescent="0.4">
      <c r="A1326">
        <v>1868</v>
      </c>
      <c r="B1326">
        <v>4</v>
      </c>
      <c r="C1326">
        <v>4</v>
      </c>
      <c r="D1326">
        <v>2</v>
      </c>
      <c r="E1326">
        <v>2</v>
      </c>
    </row>
    <row r="1327" spans="1:5" x14ac:dyDescent="0.4">
      <c r="A1327">
        <v>431</v>
      </c>
      <c r="B1327">
        <v>3</v>
      </c>
      <c r="C1327">
        <v>3</v>
      </c>
      <c r="D1327">
        <v>4</v>
      </c>
      <c r="E1327">
        <v>3</v>
      </c>
    </row>
    <row r="1328" spans="1:5" x14ac:dyDescent="0.4">
      <c r="A1328">
        <v>1661</v>
      </c>
      <c r="B1328">
        <v>3</v>
      </c>
      <c r="C1328">
        <v>3</v>
      </c>
      <c r="D1328">
        <v>2</v>
      </c>
      <c r="E1328">
        <v>3</v>
      </c>
    </row>
    <row r="1329" spans="1:5" x14ac:dyDescent="0.4">
      <c r="A1329">
        <v>1871</v>
      </c>
      <c r="B1329">
        <v>4</v>
      </c>
      <c r="C1329">
        <v>4</v>
      </c>
      <c r="D1329">
        <v>2</v>
      </c>
      <c r="E1329">
        <v>3</v>
      </c>
    </row>
    <row r="1330" spans="1:5" x14ac:dyDescent="0.4">
      <c r="A1330">
        <v>1873</v>
      </c>
      <c r="B1330">
        <v>2</v>
      </c>
      <c r="C1330">
        <v>4</v>
      </c>
      <c r="D1330">
        <v>2</v>
      </c>
      <c r="E1330">
        <v>4</v>
      </c>
    </row>
    <row r="1331" spans="1:5" x14ac:dyDescent="0.4">
      <c r="A1331">
        <v>1878</v>
      </c>
      <c r="B1331">
        <v>4</v>
      </c>
      <c r="C1331">
        <v>2</v>
      </c>
      <c r="D1331">
        <v>1</v>
      </c>
      <c r="E1331">
        <v>3</v>
      </c>
    </row>
    <row r="1332" spans="1:5" x14ac:dyDescent="0.4">
      <c r="A1332">
        <v>901</v>
      </c>
      <c r="B1332">
        <v>4</v>
      </c>
      <c r="C1332">
        <v>4</v>
      </c>
      <c r="D1332">
        <v>3</v>
      </c>
      <c r="E1332">
        <v>3</v>
      </c>
    </row>
    <row r="1333" spans="1:5" x14ac:dyDescent="0.4">
      <c r="A1333">
        <v>1881</v>
      </c>
      <c r="B1333">
        <v>2</v>
      </c>
      <c r="C1333">
        <v>3</v>
      </c>
      <c r="D1333">
        <v>1</v>
      </c>
      <c r="E1333">
        <v>3</v>
      </c>
    </row>
    <row r="1334" spans="1:5" x14ac:dyDescent="0.4">
      <c r="A1334">
        <v>1882</v>
      </c>
      <c r="B1334">
        <v>3</v>
      </c>
      <c r="C1334">
        <v>4</v>
      </c>
      <c r="D1334">
        <v>4</v>
      </c>
      <c r="E1334">
        <v>3</v>
      </c>
    </row>
    <row r="1335" spans="1:5" x14ac:dyDescent="0.4">
      <c r="A1335">
        <v>1883</v>
      </c>
      <c r="B1335">
        <v>4</v>
      </c>
      <c r="C1335">
        <v>1</v>
      </c>
      <c r="D1335">
        <v>2</v>
      </c>
      <c r="E1335">
        <v>3</v>
      </c>
    </row>
    <row r="1336" spans="1:5" x14ac:dyDescent="0.4">
      <c r="A1336">
        <v>84</v>
      </c>
      <c r="B1336">
        <v>4</v>
      </c>
      <c r="C1336">
        <v>3</v>
      </c>
      <c r="D1336">
        <v>3</v>
      </c>
      <c r="E1336">
        <v>3</v>
      </c>
    </row>
    <row r="1337" spans="1:5" x14ac:dyDescent="0.4">
      <c r="A1337">
        <v>1885</v>
      </c>
      <c r="B1337">
        <v>4</v>
      </c>
      <c r="C1337">
        <v>1</v>
      </c>
      <c r="D1337">
        <v>3</v>
      </c>
      <c r="E1337">
        <v>3</v>
      </c>
    </row>
    <row r="1338" spans="1:5" x14ac:dyDescent="0.4">
      <c r="A1338">
        <v>1890</v>
      </c>
      <c r="B1338">
        <v>2</v>
      </c>
      <c r="C1338">
        <v>4</v>
      </c>
      <c r="D1338">
        <v>4</v>
      </c>
      <c r="E1338">
        <v>2</v>
      </c>
    </row>
    <row r="1339" spans="1:5" x14ac:dyDescent="0.4">
      <c r="A1339">
        <v>1892</v>
      </c>
      <c r="B1339">
        <v>1</v>
      </c>
      <c r="C1339">
        <v>1</v>
      </c>
      <c r="D1339">
        <v>1</v>
      </c>
      <c r="E1339">
        <v>3</v>
      </c>
    </row>
    <row r="1340" spans="1:5" x14ac:dyDescent="0.4">
      <c r="A1340">
        <v>1903</v>
      </c>
      <c r="B1340">
        <v>2</v>
      </c>
      <c r="C1340">
        <v>1</v>
      </c>
      <c r="D1340">
        <v>4</v>
      </c>
      <c r="E1340">
        <v>3</v>
      </c>
    </row>
    <row r="1341" spans="1:5" x14ac:dyDescent="0.4">
      <c r="A1341">
        <v>664</v>
      </c>
      <c r="B1341">
        <v>4</v>
      </c>
      <c r="C1341">
        <v>1</v>
      </c>
      <c r="D1341">
        <v>1</v>
      </c>
      <c r="E1341">
        <v>1</v>
      </c>
    </row>
    <row r="1342" spans="1:5" x14ac:dyDescent="0.4">
      <c r="A1342">
        <v>23</v>
      </c>
      <c r="B1342">
        <v>1</v>
      </c>
      <c r="C1342">
        <v>4</v>
      </c>
      <c r="D1342">
        <v>3</v>
      </c>
      <c r="E1342">
        <v>3</v>
      </c>
    </row>
    <row r="1343" spans="1:5" x14ac:dyDescent="0.4">
      <c r="A1343">
        <v>1905</v>
      </c>
      <c r="B1343">
        <v>4</v>
      </c>
      <c r="C1343">
        <v>1</v>
      </c>
      <c r="D1343">
        <v>2</v>
      </c>
      <c r="E1343">
        <v>3</v>
      </c>
    </row>
    <row r="1344" spans="1:5" x14ac:dyDescent="0.4">
      <c r="A1344">
        <v>1676</v>
      </c>
      <c r="B1344">
        <v>2</v>
      </c>
      <c r="C1344">
        <v>2</v>
      </c>
      <c r="D1344">
        <v>3</v>
      </c>
      <c r="E1344">
        <v>3</v>
      </c>
    </row>
    <row r="1345" spans="1:5" x14ac:dyDescent="0.4">
      <c r="A1345">
        <v>468</v>
      </c>
      <c r="B1345">
        <v>1</v>
      </c>
      <c r="C1345">
        <v>4</v>
      </c>
      <c r="D1345">
        <v>2</v>
      </c>
      <c r="E1345">
        <v>3</v>
      </c>
    </row>
    <row r="1346" spans="1:5" x14ac:dyDescent="0.4">
      <c r="A1346">
        <v>1907</v>
      </c>
      <c r="B1346">
        <v>1</v>
      </c>
      <c r="C1346">
        <v>4</v>
      </c>
      <c r="D1346">
        <v>4</v>
      </c>
      <c r="E1346">
        <v>3</v>
      </c>
    </row>
    <row r="1347" spans="1:5" x14ac:dyDescent="0.4">
      <c r="A1347">
        <v>1520</v>
      </c>
      <c r="B1347">
        <v>2</v>
      </c>
      <c r="C1347">
        <v>4</v>
      </c>
      <c r="D1347">
        <v>1</v>
      </c>
      <c r="E1347">
        <v>3</v>
      </c>
    </row>
    <row r="1348" spans="1:5" x14ac:dyDescent="0.4">
      <c r="A1348">
        <v>327</v>
      </c>
      <c r="B1348">
        <v>4</v>
      </c>
      <c r="C1348">
        <v>4</v>
      </c>
      <c r="D1348">
        <v>3</v>
      </c>
      <c r="E1348">
        <v>3</v>
      </c>
    </row>
    <row r="1349" spans="1:5" x14ac:dyDescent="0.4">
      <c r="A1349">
        <v>1264</v>
      </c>
      <c r="B1349">
        <v>4</v>
      </c>
      <c r="C1349">
        <v>4</v>
      </c>
      <c r="D1349">
        <v>2</v>
      </c>
      <c r="E1349">
        <v>2</v>
      </c>
    </row>
    <row r="1350" spans="1:5" x14ac:dyDescent="0.4">
      <c r="A1350">
        <v>612</v>
      </c>
      <c r="B1350">
        <v>1</v>
      </c>
      <c r="C1350">
        <v>3</v>
      </c>
      <c r="D1350">
        <v>3</v>
      </c>
      <c r="E1350">
        <v>3</v>
      </c>
    </row>
    <row r="1351" spans="1:5" x14ac:dyDescent="0.4">
      <c r="A1351">
        <v>1908</v>
      </c>
      <c r="B1351">
        <v>3</v>
      </c>
      <c r="C1351">
        <v>2</v>
      </c>
      <c r="D1351">
        <v>3</v>
      </c>
      <c r="E1351">
        <v>1</v>
      </c>
    </row>
    <row r="1352" spans="1:5" x14ac:dyDescent="0.4">
      <c r="A1352">
        <v>851</v>
      </c>
      <c r="B1352">
        <v>1</v>
      </c>
      <c r="C1352">
        <v>3</v>
      </c>
      <c r="D1352">
        <v>3</v>
      </c>
      <c r="E1352">
        <v>2</v>
      </c>
    </row>
    <row r="1353" spans="1:5" x14ac:dyDescent="0.4">
      <c r="A1353">
        <v>1911</v>
      </c>
      <c r="B1353">
        <v>3</v>
      </c>
      <c r="C1353">
        <v>1</v>
      </c>
      <c r="D1353">
        <v>2</v>
      </c>
      <c r="E1353">
        <v>4</v>
      </c>
    </row>
    <row r="1354" spans="1:5" x14ac:dyDescent="0.4">
      <c r="A1354">
        <v>1655</v>
      </c>
      <c r="B1354">
        <v>1</v>
      </c>
      <c r="C1354">
        <v>2</v>
      </c>
      <c r="D1354">
        <v>2</v>
      </c>
      <c r="E1354">
        <v>3</v>
      </c>
    </row>
    <row r="1355" spans="1:5" x14ac:dyDescent="0.4">
      <c r="A1355">
        <v>1430</v>
      </c>
      <c r="B1355">
        <v>1</v>
      </c>
      <c r="C1355">
        <v>2</v>
      </c>
      <c r="D1355">
        <v>3</v>
      </c>
      <c r="E1355">
        <v>4</v>
      </c>
    </row>
    <row r="1356" spans="1:5" x14ac:dyDescent="0.4">
      <c r="A1356">
        <v>1918</v>
      </c>
      <c r="B1356">
        <v>3</v>
      </c>
      <c r="C1356">
        <v>4</v>
      </c>
      <c r="D1356">
        <v>1</v>
      </c>
      <c r="E1356">
        <v>3</v>
      </c>
    </row>
    <row r="1357" spans="1:5" x14ac:dyDescent="0.4">
      <c r="A1357">
        <v>546</v>
      </c>
      <c r="B1357">
        <v>4</v>
      </c>
      <c r="C1357">
        <v>4</v>
      </c>
      <c r="D1357">
        <v>4</v>
      </c>
      <c r="E1357">
        <v>1</v>
      </c>
    </row>
    <row r="1358" spans="1:5" x14ac:dyDescent="0.4">
      <c r="A1358">
        <v>625</v>
      </c>
      <c r="B1358">
        <v>2</v>
      </c>
      <c r="C1358">
        <v>1</v>
      </c>
      <c r="D1358">
        <v>2</v>
      </c>
      <c r="E1358">
        <v>3</v>
      </c>
    </row>
    <row r="1359" spans="1:5" x14ac:dyDescent="0.4">
      <c r="A1359">
        <v>1922</v>
      </c>
      <c r="B1359">
        <v>2</v>
      </c>
      <c r="C1359">
        <v>3</v>
      </c>
      <c r="D1359">
        <v>3</v>
      </c>
      <c r="E1359">
        <v>3</v>
      </c>
    </row>
    <row r="1360" spans="1:5" x14ac:dyDescent="0.4">
      <c r="A1360">
        <v>1527</v>
      </c>
      <c r="B1360">
        <v>3</v>
      </c>
      <c r="C1360">
        <v>2</v>
      </c>
      <c r="D1360">
        <v>4</v>
      </c>
      <c r="E1360">
        <v>4</v>
      </c>
    </row>
    <row r="1361" spans="1:5" x14ac:dyDescent="0.4">
      <c r="A1361">
        <v>1924</v>
      </c>
      <c r="B1361">
        <v>2</v>
      </c>
      <c r="C1361">
        <v>3</v>
      </c>
      <c r="D1361">
        <v>2</v>
      </c>
      <c r="E1361">
        <v>2</v>
      </c>
    </row>
    <row r="1362" spans="1:5" x14ac:dyDescent="0.4">
      <c r="A1362">
        <v>505</v>
      </c>
      <c r="B1362">
        <v>3</v>
      </c>
      <c r="C1362">
        <v>4</v>
      </c>
      <c r="D1362">
        <v>3</v>
      </c>
      <c r="E1362">
        <v>3</v>
      </c>
    </row>
    <row r="1363" spans="1:5" x14ac:dyDescent="0.4">
      <c r="A1363">
        <v>1719</v>
      </c>
      <c r="B1363">
        <v>4</v>
      </c>
      <c r="C1363">
        <v>2</v>
      </c>
      <c r="D1363">
        <v>3</v>
      </c>
      <c r="E1363">
        <v>3</v>
      </c>
    </row>
    <row r="1364" spans="1:5" x14ac:dyDescent="0.4">
      <c r="A1364">
        <v>820</v>
      </c>
      <c r="B1364">
        <v>3</v>
      </c>
      <c r="C1364">
        <v>4</v>
      </c>
      <c r="D1364">
        <v>3</v>
      </c>
      <c r="E1364">
        <v>2</v>
      </c>
    </row>
    <row r="1365" spans="1:5" x14ac:dyDescent="0.4">
      <c r="A1365">
        <v>1927</v>
      </c>
      <c r="B1365">
        <v>3</v>
      </c>
      <c r="C1365">
        <v>4</v>
      </c>
      <c r="D1365">
        <v>3</v>
      </c>
      <c r="E1365">
        <v>3</v>
      </c>
    </row>
    <row r="1366" spans="1:5" x14ac:dyDescent="0.4">
      <c r="A1366">
        <v>1931</v>
      </c>
      <c r="B1366">
        <v>2</v>
      </c>
      <c r="C1366">
        <v>2</v>
      </c>
      <c r="D1366">
        <v>3</v>
      </c>
      <c r="E1366">
        <v>2</v>
      </c>
    </row>
    <row r="1367" spans="1:5" x14ac:dyDescent="0.4">
      <c r="A1367">
        <v>1408</v>
      </c>
      <c r="B1367">
        <v>3</v>
      </c>
      <c r="C1367">
        <v>1</v>
      </c>
      <c r="D1367">
        <v>3</v>
      </c>
      <c r="E1367">
        <v>3</v>
      </c>
    </row>
    <row r="1368" spans="1:5" x14ac:dyDescent="0.4">
      <c r="A1368">
        <v>1932</v>
      </c>
      <c r="B1368">
        <v>3</v>
      </c>
      <c r="C1368">
        <v>4</v>
      </c>
      <c r="D1368">
        <v>2</v>
      </c>
      <c r="E1368">
        <v>3</v>
      </c>
    </row>
    <row r="1369" spans="1:5" x14ac:dyDescent="0.4">
      <c r="A1369">
        <v>597</v>
      </c>
      <c r="B1369">
        <v>1</v>
      </c>
      <c r="C1369">
        <v>2</v>
      </c>
      <c r="D1369">
        <v>4</v>
      </c>
      <c r="E1369">
        <v>3</v>
      </c>
    </row>
    <row r="1370" spans="1:5" x14ac:dyDescent="0.4">
      <c r="A1370">
        <v>1934</v>
      </c>
      <c r="B1370">
        <v>3</v>
      </c>
      <c r="C1370">
        <v>2</v>
      </c>
      <c r="D1370">
        <v>3</v>
      </c>
      <c r="E1370">
        <v>4</v>
      </c>
    </row>
    <row r="1371" spans="1:5" x14ac:dyDescent="0.4">
      <c r="A1371">
        <v>363</v>
      </c>
      <c r="B1371">
        <v>3</v>
      </c>
      <c r="C1371">
        <v>2</v>
      </c>
      <c r="D1371">
        <v>2</v>
      </c>
      <c r="E1371">
        <v>2</v>
      </c>
    </row>
    <row r="1372" spans="1:5" x14ac:dyDescent="0.4">
      <c r="A1372">
        <v>1317</v>
      </c>
      <c r="B1372">
        <v>4</v>
      </c>
      <c r="C1372">
        <v>1</v>
      </c>
      <c r="D1372">
        <v>2</v>
      </c>
      <c r="E1372">
        <v>3</v>
      </c>
    </row>
    <row r="1373" spans="1:5" x14ac:dyDescent="0.4">
      <c r="A1373">
        <v>1936</v>
      </c>
      <c r="B1373">
        <v>1</v>
      </c>
      <c r="C1373">
        <v>1</v>
      </c>
      <c r="D1373">
        <v>4</v>
      </c>
      <c r="E1373">
        <v>3</v>
      </c>
    </row>
    <row r="1374" spans="1:5" x14ac:dyDescent="0.4">
      <c r="A1374">
        <v>1940</v>
      </c>
      <c r="B1374">
        <v>2</v>
      </c>
      <c r="C1374">
        <v>4</v>
      </c>
      <c r="D1374">
        <v>4</v>
      </c>
      <c r="E1374">
        <v>4</v>
      </c>
    </row>
    <row r="1375" spans="1:5" x14ac:dyDescent="0.4">
      <c r="A1375">
        <v>1941</v>
      </c>
      <c r="B1375">
        <v>2</v>
      </c>
      <c r="C1375">
        <v>4</v>
      </c>
      <c r="D1375">
        <v>4</v>
      </c>
      <c r="E1375">
        <v>3</v>
      </c>
    </row>
    <row r="1376" spans="1:5" x14ac:dyDescent="0.4">
      <c r="A1376">
        <v>1943</v>
      </c>
      <c r="B1376">
        <v>2</v>
      </c>
      <c r="C1376">
        <v>4</v>
      </c>
      <c r="D1376">
        <v>3</v>
      </c>
      <c r="E1376">
        <v>3</v>
      </c>
    </row>
    <row r="1377" spans="1:5" x14ac:dyDescent="0.4">
      <c r="A1377">
        <v>1204</v>
      </c>
      <c r="B1377">
        <v>3</v>
      </c>
      <c r="C1377">
        <v>1</v>
      </c>
      <c r="D1377">
        <v>1</v>
      </c>
      <c r="E1377">
        <v>3</v>
      </c>
    </row>
    <row r="1378" spans="1:5" x14ac:dyDescent="0.4">
      <c r="A1378">
        <v>1945</v>
      </c>
      <c r="B1378">
        <v>2</v>
      </c>
      <c r="C1378">
        <v>1</v>
      </c>
      <c r="D1378">
        <v>4</v>
      </c>
      <c r="E1378">
        <v>1</v>
      </c>
    </row>
    <row r="1379" spans="1:5" x14ac:dyDescent="0.4">
      <c r="A1379">
        <v>1947</v>
      </c>
      <c r="B1379">
        <v>3</v>
      </c>
      <c r="C1379">
        <v>3</v>
      </c>
      <c r="D1379">
        <v>3</v>
      </c>
      <c r="E1379">
        <v>2</v>
      </c>
    </row>
    <row r="1380" spans="1:5" x14ac:dyDescent="0.4">
      <c r="A1380">
        <v>1307</v>
      </c>
      <c r="B1380">
        <v>3</v>
      </c>
      <c r="C1380">
        <v>2</v>
      </c>
      <c r="D1380">
        <v>4</v>
      </c>
      <c r="E1380">
        <v>3</v>
      </c>
    </row>
    <row r="1381" spans="1:5" x14ac:dyDescent="0.4">
      <c r="A1381">
        <v>1948</v>
      </c>
      <c r="B1381">
        <v>3</v>
      </c>
      <c r="C1381">
        <v>1</v>
      </c>
      <c r="D1381">
        <v>4</v>
      </c>
      <c r="E1381">
        <v>4</v>
      </c>
    </row>
    <row r="1382" spans="1:5" x14ac:dyDescent="0.4">
      <c r="A1382">
        <v>1443</v>
      </c>
      <c r="B1382">
        <v>1</v>
      </c>
      <c r="C1382">
        <v>3</v>
      </c>
      <c r="D1382">
        <v>2</v>
      </c>
      <c r="E1382">
        <v>4</v>
      </c>
    </row>
    <row r="1383" spans="1:5" x14ac:dyDescent="0.4">
      <c r="A1383">
        <v>1900</v>
      </c>
      <c r="B1383">
        <v>4</v>
      </c>
      <c r="C1383">
        <v>4</v>
      </c>
      <c r="D1383">
        <v>2</v>
      </c>
      <c r="E1383">
        <v>3</v>
      </c>
    </row>
    <row r="1384" spans="1:5" x14ac:dyDescent="0.4">
      <c r="A1384">
        <v>1949</v>
      </c>
      <c r="B1384">
        <v>1</v>
      </c>
      <c r="C1384">
        <v>2</v>
      </c>
      <c r="D1384">
        <v>2</v>
      </c>
      <c r="E1384">
        <v>3</v>
      </c>
    </row>
    <row r="1385" spans="1:5" x14ac:dyDescent="0.4">
      <c r="A1385">
        <v>148</v>
      </c>
      <c r="B1385">
        <v>4</v>
      </c>
      <c r="C1385">
        <v>4</v>
      </c>
      <c r="D1385">
        <v>3</v>
      </c>
      <c r="E1385">
        <v>3</v>
      </c>
    </row>
    <row r="1386" spans="1:5" x14ac:dyDescent="0.4">
      <c r="A1386">
        <v>1422</v>
      </c>
      <c r="B1386">
        <v>4</v>
      </c>
      <c r="C1386">
        <v>4</v>
      </c>
      <c r="D1386">
        <v>4</v>
      </c>
      <c r="E1386">
        <v>2</v>
      </c>
    </row>
    <row r="1387" spans="1:5" x14ac:dyDescent="0.4">
      <c r="A1387">
        <v>1950</v>
      </c>
      <c r="B1387">
        <v>1</v>
      </c>
      <c r="C1387">
        <v>4</v>
      </c>
      <c r="D1387">
        <v>1</v>
      </c>
      <c r="E1387">
        <v>2</v>
      </c>
    </row>
    <row r="1388" spans="1:5" x14ac:dyDescent="0.4">
      <c r="A1388">
        <v>1665</v>
      </c>
      <c r="B1388">
        <v>2</v>
      </c>
      <c r="C1388">
        <v>3</v>
      </c>
      <c r="D1388">
        <v>3</v>
      </c>
      <c r="E1388">
        <v>3</v>
      </c>
    </row>
    <row r="1389" spans="1:5" x14ac:dyDescent="0.4">
      <c r="A1389">
        <v>1951</v>
      </c>
      <c r="B1389">
        <v>4</v>
      </c>
      <c r="C1389">
        <v>3</v>
      </c>
      <c r="D1389">
        <v>3</v>
      </c>
      <c r="E1389">
        <v>2</v>
      </c>
    </row>
    <row r="1390" spans="1:5" x14ac:dyDescent="0.4">
      <c r="A1390">
        <v>1952</v>
      </c>
      <c r="B1390">
        <v>3</v>
      </c>
      <c r="C1390">
        <v>1</v>
      </c>
      <c r="D1390">
        <v>4</v>
      </c>
      <c r="E1390">
        <v>2</v>
      </c>
    </row>
    <row r="1391" spans="1:5" x14ac:dyDescent="0.4">
      <c r="A1391">
        <v>1954</v>
      </c>
      <c r="B1391">
        <v>1</v>
      </c>
      <c r="C1391">
        <v>1</v>
      </c>
      <c r="D1391">
        <v>1</v>
      </c>
      <c r="E1391">
        <v>2</v>
      </c>
    </row>
    <row r="1392" spans="1:5" x14ac:dyDescent="0.4">
      <c r="A1392">
        <v>1956</v>
      </c>
      <c r="B1392">
        <v>4</v>
      </c>
      <c r="C1392">
        <v>1</v>
      </c>
      <c r="D1392">
        <v>2</v>
      </c>
      <c r="E1392">
        <v>3</v>
      </c>
    </row>
    <row r="1393" spans="1:5" x14ac:dyDescent="0.4">
      <c r="A1393">
        <v>1960</v>
      </c>
      <c r="B1393">
        <v>3</v>
      </c>
      <c r="C1393">
        <v>4</v>
      </c>
      <c r="D1393">
        <v>1</v>
      </c>
      <c r="E1393">
        <v>2</v>
      </c>
    </row>
    <row r="1394" spans="1:5" x14ac:dyDescent="0.4">
      <c r="A1394">
        <v>1961</v>
      </c>
      <c r="B1394">
        <v>1</v>
      </c>
      <c r="C1394">
        <v>1</v>
      </c>
      <c r="D1394">
        <v>1</v>
      </c>
      <c r="E1394">
        <v>2</v>
      </c>
    </row>
    <row r="1395" spans="1:5" x14ac:dyDescent="0.4">
      <c r="A1395">
        <v>1045</v>
      </c>
      <c r="B1395">
        <v>4</v>
      </c>
      <c r="C1395">
        <v>4</v>
      </c>
      <c r="D1395">
        <v>2</v>
      </c>
      <c r="E1395">
        <v>4</v>
      </c>
    </row>
    <row r="1396" spans="1:5" x14ac:dyDescent="0.4">
      <c r="A1396">
        <v>1965</v>
      </c>
      <c r="B1396">
        <v>4</v>
      </c>
      <c r="C1396">
        <v>4</v>
      </c>
      <c r="D1396">
        <v>1</v>
      </c>
      <c r="E1396">
        <v>3</v>
      </c>
    </row>
    <row r="1397" spans="1:5" x14ac:dyDescent="0.4">
      <c r="A1397">
        <v>1966</v>
      </c>
      <c r="B1397">
        <v>4</v>
      </c>
      <c r="C1397">
        <v>4</v>
      </c>
      <c r="D1397">
        <v>2</v>
      </c>
      <c r="E1397">
        <v>3</v>
      </c>
    </row>
    <row r="1398" spans="1:5" x14ac:dyDescent="0.4">
      <c r="A1398">
        <v>1215</v>
      </c>
      <c r="B1398">
        <v>4</v>
      </c>
      <c r="C1398">
        <v>1</v>
      </c>
      <c r="D1398">
        <v>3</v>
      </c>
      <c r="E1398">
        <v>3</v>
      </c>
    </row>
    <row r="1399" spans="1:5" x14ac:dyDescent="0.4">
      <c r="A1399">
        <v>1967</v>
      </c>
      <c r="B1399">
        <v>1</v>
      </c>
      <c r="C1399">
        <v>4</v>
      </c>
      <c r="D1399">
        <v>3</v>
      </c>
      <c r="E1399">
        <v>3</v>
      </c>
    </row>
    <row r="1400" spans="1:5" x14ac:dyDescent="0.4">
      <c r="A1400">
        <v>1968</v>
      </c>
      <c r="B1400">
        <v>1</v>
      </c>
      <c r="C1400">
        <v>1</v>
      </c>
      <c r="D1400">
        <v>2</v>
      </c>
      <c r="E1400">
        <v>2</v>
      </c>
    </row>
    <row r="1401" spans="1:5" x14ac:dyDescent="0.4">
      <c r="A1401">
        <v>1938</v>
      </c>
      <c r="B1401">
        <v>4</v>
      </c>
      <c r="C1401">
        <v>4</v>
      </c>
      <c r="D1401">
        <v>3</v>
      </c>
      <c r="E1401">
        <v>2</v>
      </c>
    </row>
    <row r="1402" spans="1:5" x14ac:dyDescent="0.4">
      <c r="A1402">
        <v>1970</v>
      </c>
      <c r="B1402">
        <v>4</v>
      </c>
      <c r="C1402">
        <v>3</v>
      </c>
      <c r="D1402">
        <v>3</v>
      </c>
      <c r="E1402">
        <v>3</v>
      </c>
    </row>
    <row r="1403" spans="1:5" x14ac:dyDescent="0.4">
      <c r="A1403">
        <v>558</v>
      </c>
      <c r="B1403">
        <v>3</v>
      </c>
      <c r="C1403">
        <v>3</v>
      </c>
      <c r="D1403">
        <v>4</v>
      </c>
      <c r="E1403">
        <v>3</v>
      </c>
    </row>
    <row r="1404" spans="1:5" x14ac:dyDescent="0.4">
      <c r="A1404">
        <v>1306</v>
      </c>
      <c r="B1404">
        <v>2</v>
      </c>
      <c r="C1404">
        <v>2</v>
      </c>
      <c r="D1404">
        <v>3</v>
      </c>
      <c r="E1404">
        <v>3</v>
      </c>
    </row>
    <row r="1405" spans="1:5" x14ac:dyDescent="0.4">
      <c r="A1405">
        <v>141</v>
      </c>
      <c r="B1405">
        <v>1</v>
      </c>
      <c r="C1405">
        <v>2</v>
      </c>
      <c r="D1405">
        <v>1</v>
      </c>
      <c r="E1405">
        <v>2</v>
      </c>
    </row>
    <row r="1406" spans="1:5" x14ac:dyDescent="0.4">
      <c r="A1406">
        <v>1971</v>
      </c>
      <c r="B1406">
        <v>1</v>
      </c>
      <c r="C1406">
        <v>3</v>
      </c>
      <c r="D1406">
        <v>2</v>
      </c>
      <c r="E1406">
        <v>3</v>
      </c>
    </row>
    <row r="1407" spans="1:5" x14ac:dyDescent="0.4">
      <c r="A1407">
        <v>1972</v>
      </c>
      <c r="B1407">
        <v>4</v>
      </c>
      <c r="C1407">
        <v>2</v>
      </c>
      <c r="D1407">
        <v>2</v>
      </c>
      <c r="E1407">
        <v>3</v>
      </c>
    </row>
    <row r="1408" spans="1:5" x14ac:dyDescent="0.4">
      <c r="A1408">
        <v>1973</v>
      </c>
      <c r="B1408">
        <v>3</v>
      </c>
      <c r="C1408">
        <v>2</v>
      </c>
      <c r="D1408">
        <v>1</v>
      </c>
      <c r="E1408">
        <v>3</v>
      </c>
    </row>
    <row r="1409" spans="1:5" x14ac:dyDescent="0.4">
      <c r="A1409">
        <v>1975</v>
      </c>
      <c r="B1409">
        <v>2</v>
      </c>
      <c r="C1409">
        <v>1</v>
      </c>
      <c r="D1409">
        <v>1</v>
      </c>
      <c r="E1409">
        <v>3</v>
      </c>
    </row>
    <row r="1410" spans="1:5" x14ac:dyDescent="0.4">
      <c r="A1410">
        <v>1976</v>
      </c>
      <c r="B1410">
        <v>4</v>
      </c>
      <c r="C1410">
        <v>3</v>
      </c>
      <c r="D1410">
        <v>4</v>
      </c>
      <c r="E1410">
        <v>3</v>
      </c>
    </row>
    <row r="1411" spans="1:5" x14ac:dyDescent="0.4">
      <c r="A1411">
        <v>1981</v>
      </c>
      <c r="B1411">
        <v>2</v>
      </c>
      <c r="C1411">
        <v>3</v>
      </c>
      <c r="D1411">
        <v>2</v>
      </c>
      <c r="E1411">
        <v>2</v>
      </c>
    </row>
    <row r="1412" spans="1:5" x14ac:dyDescent="0.4">
      <c r="A1412">
        <v>1201</v>
      </c>
      <c r="B1412">
        <v>4</v>
      </c>
      <c r="C1412">
        <v>3</v>
      </c>
      <c r="D1412">
        <v>2</v>
      </c>
      <c r="E1412">
        <v>3</v>
      </c>
    </row>
    <row r="1413" spans="1:5" x14ac:dyDescent="0.4">
      <c r="A1413">
        <v>396</v>
      </c>
      <c r="B1413">
        <v>3</v>
      </c>
      <c r="C1413">
        <v>1</v>
      </c>
      <c r="D1413">
        <v>4</v>
      </c>
      <c r="E1413">
        <v>3</v>
      </c>
    </row>
    <row r="1414" spans="1:5" x14ac:dyDescent="0.4">
      <c r="A1414">
        <v>1982</v>
      </c>
      <c r="B1414">
        <v>4</v>
      </c>
      <c r="C1414">
        <v>4</v>
      </c>
      <c r="D1414">
        <v>3</v>
      </c>
      <c r="E1414">
        <v>4</v>
      </c>
    </row>
    <row r="1415" spans="1:5" x14ac:dyDescent="0.4">
      <c r="A1415">
        <v>1989</v>
      </c>
      <c r="B1415">
        <v>4</v>
      </c>
      <c r="C1415">
        <v>2</v>
      </c>
      <c r="D1415">
        <v>3</v>
      </c>
      <c r="E1415">
        <v>2</v>
      </c>
    </row>
    <row r="1416" spans="1:5" x14ac:dyDescent="0.4">
      <c r="A1416">
        <v>80</v>
      </c>
      <c r="B1416">
        <v>2</v>
      </c>
      <c r="C1416">
        <v>3</v>
      </c>
      <c r="D1416">
        <v>4</v>
      </c>
      <c r="E1416">
        <v>2</v>
      </c>
    </row>
    <row r="1417" spans="1:5" x14ac:dyDescent="0.4">
      <c r="A1417">
        <v>1280</v>
      </c>
      <c r="B1417">
        <v>4</v>
      </c>
      <c r="C1417">
        <v>2</v>
      </c>
      <c r="D1417">
        <v>3</v>
      </c>
      <c r="E1417">
        <v>3</v>
      </c>
    </row>
    <row r="1418" spans="1:5" x14ac:dyDescent="0.4">
      <c r="A1418">
        <v>1277</v>
      </c>
      <c r="B1418">
        <v>1</v>
      </c>
      <c r="C1418">
        <v>2</v>
      </c>
      <c r="D1418">
        <v>1</v>
      </c>
      <c r="E1418">
        <v>3</v>
      </c>
    </row>
    <row r="1419" spans="1:5" x14ac:dyDescent="0.4">
      <c r="A1419">
        <v>140</v>
      </c>
      <c r="B1419">
        <v>3</v>
      </c>
      <c r="C1419">
        <v>4</v>
      </c>
      <c r="D1419">
        <v>4</v>
      </c>
      <c r="E1419">
        <v>3</v>
      </c>
    </row>
    <row r="1420" spans="1:5" x14ac:dyDescent="0.4">
      <c r="A1420">
        <v>1992</v>
      </c>
      <c r="B1420">
        <v>4</v>
      </c>
      <c r="C1420">
        <v>3</v>
      </c>
      <c r="D1420">
        <v>3</v>
      </c>
      <c r="E1420">
        <v>2</v>
      </c>
    </row>
    <row r="1421" spans="1:5" x14ac:dyDescent="0.4">
      <c r="A1421">
        <v>38</v>
      </c>
      <c r="B1421">
        <v>2</v>
      </c>
      <c r="C1421">
        <v>1</v>
      </c>
      <c r="D1421">
        <v>4</v>
      </c>
      <c r="E1421">
        <v>2</v>
      </c>
    </row>
    <row r="1422" spans="1:5" x14ac:dyDescent="0.4">
      <c r="A1422">
        <v>253</v>
      </c>
      <c r="B1422">
        <v>4</v>
      </c>
      <c r="C1422">
        <v>3</v>
      </c>
      <c r="D1422">
        <v>2</v>
      </c>
      <c r="E1422">
        <v>3</v>
      </c>
    </row>
    <row r="1423" spans="1:5" x14ac:dyDescent="0.4">
      <c r="A1423">
        <v>1993</v>
      </c>
      <c r="B1423">
        <v>1</v>
      </c>
      <c r="C1423">
        <v>3</v>
      </c>
      <c r="D1423">
        <v>2</v>
      </c>
      <c r="E1423">
        <v>3</v>
      </c>
    </row>
    <row r="1424" spans="1:5" x14ac:dyDescent="0.4">
      <c r="A1424">
        <v>1994</v>
      </c>
      <c r="B1424">
        <v>2</v>
      </c>
      <c r="C1424">
        <v>3</v>
      </c>
      <c r="D1424">
        <v>3</v>
      </c>
      <c r="E1424">
        <v>2</v>
      </c>
    </row>
    <row r="1425" spans="1:5" x14ac:dyDescent="0.4">
      <c r="A1425">
        <v>1608</v>
      </c>
      <c r="B1425">
        <v>2</v>
      </c>
      <c r="C1425">
        <v>4</v>
      </c>
      <c r="D1425">
        <v>4</v>
      </c>
      <c r="E1425">
        <v>2</v>
      </c>
    </row>
    <row r="1426" spans="1:5" x14ac:dyDescent="0.4">
      <c r="A1426">
        <v>1995</v>
      </c>
      <c r="B1426">
        <v>4</v>
      </c>
      <c r="C1426">
        <v>2</v>
      </c>
      <c r="D1426">
        <v>1</v>
      </c>
      <c r="E1426">
        <v>3</v>
      </c>
    </row>
    <row r="1427" spans="1:5" x14ac:dyDescent="0.4">
      <c r="A1427">
        <v>1996</v>
      </c>
      <c r="B1427">
        <v>1</v>
      </c>
      <c r="C1427">
        <v>3</v>
      </c>
      <c r="D1427">
        <v>3</v>
      </c>
      <c r="E1427">
        <v>3</v>
      </c>
    </row>
    <row r="1428" spans="1:5" x14ac:dyDescent="0.4">
      <c r="A1428">
        <v>32</v>
      </c>
      <c r="B1428">
        <v>3</v>
      </c>
      <c r="C1428">
        <v>3</v>
      </c>
      <c r="D1428">
        <v>4</v>
      </c>
      <c r="E1428">
        <v>2</v>
      </c>
    </row>
    <row r="1429" spans="1:5" x14ac:dyDescent="0.4">
      <c r="A1429">
        <v>1997</v>
      </c>
      <c r="B1429">
        <v>1</v>
      </c>
      <c r="C1429">
        <v>3</v>
      </c>
      <c r="D1429">
        <v>4</v>
      </c>
      <c r="E1429">
        <v>3</v>
      </c>
    </row>
    <row r="1430" spans="1:5" x14ac:dyDescent="0.4">
      <c r="A1430">
        <v>1998</v>
      </c>
      <c r="B1430">
        <v>4</v>
      </c>
      <c r="C1430">
        <v>1</v>
      </c>
      <c r="D1430">
        <v>3</v>
      </c>
      <c r="E1430">
        <v>2</v>
      </c>
    </row>
    <row r="1431" spans="1:5" x14ac:dyDescent="0.4">
      <c r="A1431">
        <v>1999</v>
      </c>
      <c r="B1431">
        <v>4</v>
      </c>
      <c r="C1431">
        <v>4</v>
      </c>
      <c r="D1431">
        <v>1</v>
      </c>
      <c r="E1431">
        <v>3</v>
      </c>
    </row>
    <row r="1432" spans="1:5" x14ac:dyDescent="0.4">
      <c r="A1432">
        <v>1336</v>
      </c>
      <c r="B1432">
        <v>4</v>
      </c>
      <c r="C1432">
        <v>3</v>
      </c>
      <c r="D1432">
        <v>4</v>
      </c>
      <c r="E1432">
        <v>3</v>
      </c>
    </row>
    <row r="1433" spans="1:5" x14ac:dyDescent="0.4">
      <c r="A1433">
        <v>2003</v>
      </c>
      <c r="B1433">
        <v>4</v>
      </c>
      <c r="C1433">
        <v>3</v>
      </c>
      <c r="D1433">
        <v>3</v>
      </c>
      <c r="E1433">
        <v>3</v>
      </c>
    </row>
    <row r="1434" spans="1:5" x14ac:dyDescent="0.4">
      <c r="A1434">
        <v>2007</v>
      </c>
      <c r="B1434">
        <v>4</v>
      </c>
      <c r="C1434">
        <v>3</v>
      </c>
      <c r="D1434">
        <v>4</v>
      </c>
      <c r="E1434">
        <v>4</v>
      </c>
    </row>
    <row r="1435" spans="1:5" x14ac:dyDescent="0.4">
      <c r="A1435">
        <v>2008</v>
      </c>
      <c r="B1435">
        <v>2</v>
      </c>
      <c r="C1435">
        <v>3</v>
      </c>
      <c r="D1435">
        <v>2</v>
      </c>
      <c r="E1435">
        <v>3</v>
      </c>
    </row>
    <row r="1436" spans="1:5" x14ac:dyDescent="0.4">
      <c r="A1436">
        <v>2012</v>
      </c>
      <c r="B1436">
        <v>1</v>
      </c>
      <c r="C1436">
        <v>4</v>
      </c>
      <c r="D1436">
        <v>3</v>
      </c>
      <c r="E1436">
        <v>2</v>
      </c>
    </row>
    <row r="1437" spans="1:5" x14ac:dyDescent="0.4">
      <c r="A1437">
        <v>2013</v>
      </c>
      <c r="B1437">
        <v>2</v>
      </c>
      <c r="C1437">
        <v>2</v>
      </c>
      <c r="D1437">
        <v>2</v>
      </c>
      <c r="E1437">
        <v>3</v>
      </c>
    </row>
    <row r="1438" spans="1:5" x14ac:dyDescent="0.4">
      <c r="A1438">
        <v>2014</v>
      </c>
      <c r="B1438">
        <v>1</v>
      </c>
      <c r="C1438">
        <v>4</v>
      </c>
      <c r="D1438">
        <v>1</v>
      </c>
      <c r="E1438">
        <v>3</v>
      </c>
    </row>
    <row r="1439" spans="1:5" x14ac:dyDescent="0.4">
      <c r="A1439">
        <v>2019</v>
      </c>
      <c r="B1439">
        <v>1</v>
      </c>
      <c r="C1439">
        <v>4</v>
      </c>
      <c r="D1439">
        <v>2</v>
      </c>
      <c r="E1439">
        <v>2</v>
      </c>
    </row>
    <row r="1440" spans="1:5" x14ac:dyDescent="0.4">
      <c r="A1440">
        <v>2020</v>
      </c>
      <c r="B1440">
        <v>2</v>
      </c>
      <c r="C1440">
        <v>4</v>
      </c>
      <c r="D1440">
        <v>3</v>
      </c>
      <c r="E1440">
        <v>3</v>
      </c>
    </row>
    <row r="1441" spans="1:5" x14ac:dyDescent="0.4">
      <c r="A1441">
        <v>2021</v>
      </c>
      <c r="B1441">
        <v>3</v>
      </c>
      <c r="C1441">
        <v>1</v>
      </c>
      <c r="D1441">
        <v>4</v>
      </c>
      <c r="E1441">
        <v>3</v>
      </c>
    </row>
    <row r="1442" spans="1:5" x14ac:dyDescent="0.4">
      <c r="A1442">
        <v>2022</v>
      </c>
      <c r="B1442">
        <v>4</v>
      </c>
      <c r="C1442">
        <v>4</v>
      </c>
      <c r="D1442">
        <v>3</v>
      </c>
      <c r="E1442">
        <v>2</v>
      </c>
    </row>
    <row r="1443" spans="1:5" x14ac:dyDescent="0.4">
      <c r="A1443">
        <v>1866</v>
      </c>
      <c r="B1443">
        <v>1</v>
      </c>
      <c r="C1443">
        <v>3</v>
      </c>
      <c r="D1443">
        <v>4</v>
      </c>
      <c r="E1443">
        <v>3</v>
      </c>
    </row>
    <row r="1444" spans="1:5" x14ac:dyDescent="0.4">
      <c r="A1444">
        <v>2023</v>
      </c>
      <c r="B1444">
        <v>4</v>
      </c>
      <c r="C1444">
        <v>1</v>
      </c>
      <c r="D1444">
        <v>1</v>
      </c>
      <c r="E1444">
        <v>2</v>
      </c>
    </row>
    <row r="1445" spans="1:5" x14ac:dyDescent="0.4">
      <c r="A1445">
        <v>2026</v>
      </c>
      <c r="B1445">
        <v>3</v>
      </c>
      <c r="C1445">
        <v>3</v>
      </c>
      <c r="D1445">
        <v>1</v>
      </c>
      <c r="E1445">
        <v>2</v>
      </c>
    </row>
    <row r="1446" spans="1:5" x14ac:dyDescent="0.4">
      <c r="A1446">
        <v>2027</v>
      </c>
      <c r="B1446">
        <v>1</v>
      </c>
      <c r="C1446">
        <v>4</v>
      </c>
      <c r="D1446">
        <v>2</v>
      </c>
      <c r="E1446">
        <v>4</v>
      </c>
    </row>
    <row r="1447" spans="1:5" x14ac:dyDescent="0.4">
      <c r="A1447">
        <v>2031</v>
      </c>
      <c r="B1447">
        <v>1</v>
      </c>
      <c r="C1447">
        <v>3</v>
      </c>
      <c r="D1447">
        <v>1</v>
      </c>
      <c r="E1447">
        <v>2</v>
      </c>
    </row>
    <row r="1448" spans="1:5" x14ac:dyDescent="0.4">
      <c r="A1448">
        <v>2032</v>
      </c>
      <c r="B1448">
        <v>4</v>
      </c>
      <c r="C1448">
        <v>3</v>
      </c>
      <c r="D1448">
        <v>4</v>
      </c>
      <c r="E1448">
        <v>1</v>
      </c>
    </row>
    <row r="1449" spans="1:5" x14ac:dyDescent="0.4">
      <c r="A1449">
        <v>2036</v>
      </c>
      <c r="B1449">
        <v>4</v>
      </c>
      <c r="C1449">
        <v>4</v>
      </c>
      <c r="D1449">
        <v>1</v>
      </c>
      <c r="E1449">
        <v>2</v>
      </c>
    </row>
    <row r="1450" spans="1:5" x14ac:dyDescent="0.4">
      <c r="A1450">
        <v>323</v>
      </c>
      <c r="B1450">
        <v>4</v>
      </c>
      <c r="C1450">
        <v>4</v>
      </c>
      <c r="D1450">
        <v>3</v>
      </c>
      <c r="E1450">
        <v>2</v>
      </c>
    </row>
    <row r="1451" spans="1:5" x14ac:dyDescent="0.4">
      <c r="A1451">
        <v>2037</v>
      </c>
      <c r="B1451">
        <v>3</v>
      </c>
      <c r="C1451">
        <v>2</v>
      </c>
      <c r="D1451">
        <v>3</v>
      </c>
      <c r="E1451">
        <v>3</v>
      </c>
    </row>
    <row r="1452" spans="1:5" x14ac:dyDescent="0.4">
      <c r="A1452">
        <v>58</v>
      </c>
      <c r="B1452">
        <v>2</v>
      </c>
      <c r="C1452">
        <v>3</v>
      </c>
      <c r="D1452">
        <v>4</v>
      </c>
      <c r="E1452">
        <v>3</v>
      </c>
    </row>
    <row r="1453" spans="1:5" x14ac:dyDescent="0.4">
      <c r="A1453">
        <v>549</v>
      </c>
      <c r="B1453">
        <v>1</v>
      </c>
      <c r="C1453">
        <v>1</v>
      </c>
      <c r="D1453">
        <v>4</v>
      </c>
      <c r="E1453">
        <v>1</v>
      </c>
    </row>
    <row r="1454" spans="1:5" x14ac:dyDescent="0.4">
      <c r="A1454">
        <v>2038</v>
      </c>
      <c r="B1454">
        <v>4</v>
      </c>
      <c r="C1454">
        <v>1</v>
      </c>
      <c r="D1454">
        <v>4</v>
      </c>
      <c r="E1454">
        <v>3</v>
      </c>
    </row>
    <row r="1455" spans="1:5" x14ac:dyDescent="0.4">
      <c r="A1455">
        <v>2044</v>
      </c>
      <c r="B1455">
        <v>2</v>
      </c>
      <c r="C1455">
        <v>3</v>
      </c>
      <c r="D1455">
        <v>4</v>
      </c>
      <c r="E1455">
        <v>3</v>
      </c>
    </row>
    <row r="1456" spans="1:5" x14ac:dyDescent="0.4">
      <c r="A1456">
        <v>2048</v>
      </c>
      <c r="B1456">
        <v>3</v>
      </c>
      <c r="C1456">
        <v>3</v>
      </c>
      <c r="D1456">
        <v>4</v>
      </c>
      <c r="E1456">
        <v>3</v>
      </c>
    </row>
    <row r="1457" spans="1:5" x14ac:dyDescent="0.4">
      <c r="A1457">
        <v>2049</v>
      </c>
      <c r="B1457">
        <v>3</v>
      </c>
      <c r="C1457">
        <v>3</v>
      </c>
      <c r="D1457">
        <v>4</v>
      </c>
      <c r="E1457">
        <v>4</v>
      </c>
    </row>
    <row r="1458" spans="1:5" x14ac:dyDescent="0.4">
      <c r="A1458">
        <v>2053</v>
      </c>
      <c r="B1458">
        <v>4</v>
      </c>
      <c r="C1458">
        <v>2</v>
      </c>
      <c r="D1458">
        <v>1</v>
      </c>
      <c r="E1458">
        <v>3</v>
      </c>
    </row>
    <row r="1459" spans="1:5" x14ac:dyDescent="0.4">
      <c r="A1459">
        <v>1625</v>
      </c>
      <c r="B1459">
        <v>4</v>
      </c>
      <c r="C1459">
        <v>3</v>
      </c>
      <c r="D1459">
        <v>3</v>
      </c>
      <c r="E1459">
        <v>3</v>
      </c>
    </row>
    <row r="1460" spans="1:5" x14ac:dyDescent="0.4">
      <c r="A1460">
        <v>2055</v>
      </c>
      <c r="B1460">
        <v>4</v>
      </c>
      <c r="C1460">
        <v>1</v>
      </c>
      <c r="D1460">
        <v>2</v>
      </c>
      <c r="E1460">
        <v>3</v>
      </c>
    </row>
    <row r="1461" spans="1:5" x14ac:dyDescent="0.4">
      <c r="A1461">
        <v>1423</v>
      </c>
      <c r="B1461">
        <v>4</v>
      </c>
      <c r="C1461">
        <v>1</v>
      </c>
      <c r="D1461">
        <v>3</v>
      </c>
      <c r="E1461">
        <v>3</v>
      </c>
    </row>
    <row r="1462" spans="1:5" x14ac:dyDescent="0.4">
      <c r="A1462">
        <v>2057</v>
      </c>
      <c r="B1462">
        <v>2</v>
      </c>
      <c r="C1462">
        <v>1</v>
      </c>
      <c r="D1462">
        <v>2</v>
      </c>
      <c r="E1462">
        <v>3</v>
      </c>
    </row>
    <row r="1463" spans="1:5" x14ac:dyDescent="0.4">
      <c r="A1463">
        <v>2061</v>
      </c>
      <c r="B1463">
        <v>3</v>
      </c>
      <c r="C1463">
        <v>4</v>
      </c>
      <c r="D1463">
        <v>3</v>
      </c>
      <c r="E1463">
        <v>3</v>
      </c>
    </row>
    <row r="1464" spans="1:5" x14ac:dyDescent="0.4">
      <c r="A1464">
        <v>2062</v>
      </c>
      <c r="B1464">
        <v>4</v>
      </c>
      <c r="C1464">
        <v>1</v>
      </c>
      <c r="D1464">
        <v>1</v>
      </c>
      <c r="E1464">
        <v>3</v>
      </c>
    </row>
    <row r="1465" spans="1:5" x14ac:dyDescent="0.4">
      <c r="A1465">
        <v>1038</v>
      </c>
      <c r="B1465">
        <v>1</v>
      </c>
      <c r="C1465">
        <v>4</v>
      </c>
      <c r="D1465">
        <v>4</v>
      </c>
      <c r="E1465">
        <v>3</v>
      </c>
    </row>
    <row r="1466" spans="1:5" x14ac:dyDescent="0.4">
      <c r="A1466">
        <v>2064</v>
      </c>
      <c r="B1466">
        <v>2</v>
      </c>
      <c r="C1466">
        <v>2</v>
      </c>
      <c r="D1466">
        <v>2</v>
      </c>
      <c r="E1466">
        <v>3</v>
      </c>
    </row>
    <row r="1467" spans="1:5" x14ac:dyDescent="0.4">
      <c r="A1467">
        <v>2065</v>
      </c>
      <c r="B1467">
        <v>4</v>
      </c>
      <c r="C1467">
        <v>2</v>
      </c>
      <c r="D1467">
        <v>4</v>
      </c>
      <c r="E1467">
        <v>2</v>
      </c>
    </row>
    <row r="1468" spans="1:5" x14ac:dyDescent="0.4">
      <c r="A1468">
        <v>226</v>
      </c>
      <c r="B1468">
        <v>3</v>
      </c>
      <c r="C1468">
        <v>2</v>
      </c>
      <c r="D1468">
        <v>2</v>
      </c>
      <c r="E1468">
        <v>3</v>
      </c>
    </row>
    <row r="1469" spans="1:5" x14ac:dyDescent="0.4">
      <c r="A1469">
        <v>1191</v>
      </c>
      <c r="B1469">
        <v>4</v>
      </c>
      <c r="C1469">
        <v>1</v>
      </c>
      <c r="D1469">
        <v>4</v>
      </c>
      <c r="E1469">
        <v>3</v>
      </c>
    </row>
    <row r="1470" spans="1:5" x14ac:dyDescent="0.4">
      <c r="A1470">
        <v>1035</v>
      </c>
      <c r="B1470">
        <v>2</v>
      </c>
      <c r="C1470">
        <v>3</v>
      </c>
      <c r="D1470">
        <v>2</v>
      </c>
      <c r="E1470">
        <v>3</v>
      </c>
    </row>
    <row r="1471" spans="1:5" x14ac:dyDescent="0.4">
      <c r="A1471">
        <v>2068</v>
      </c>
      <c r="B1471">
        <v>2</v>
      </c>
      <c r="C1471">
        <v>3</v>
      </c>
      <c r="D1471">
        <v>1</v>
      </c>
      <c r="E1471">
        <v>4</v>
      </c>
    </row>
  </sheetData>
  <autoFilter ref="A1:E1471" xr:uid="{00000000-0001-0000-0100-000000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workbookViewId="0">
      <selection activeCell="B8" sqref="B8"/>
    </sheetView>
  </sheetViews>
  <sheetFormatPr defaultColWidth="10.58203125" defaultRowHeight="16" x14ac:dyDescent="0.4"/>
  <cols>
    <col min="1" max="1" width="25.58203125" customWidth="1"/>
    <col min="2" max="2" width="54" customWidth="1"/>
  </cols>
  <sheetData>
    <row r="1" spans="1:2" x14ac:dyDescent="0.4">
      <c r="A1" s="2" t="s">
        <v>66</v>
      </c>
      <c r="B1" s="2" t="s">
        <v>67</v>
      </c>
    </row>
    <row r="2" spans="1:2" x14ac:dyDescent="0.4">
      <c r="A2" s="2" t="s">
        <v>0</v>
      </c>
      <c r="B2" t="s">
        <v>68</v>
      </c>
    </row>
    <row r="3" spans="1:2" x14ac:dyDescent="0.4">
      <c r="A3" s="2" t="s">
        <v>1</v>
      </c>
      <c r="B3" t="s">
        <v>69</v>
      </c>
    </row>
    <row r="4" spans="1:2" x14ac:dyDescent="0.4">
      <c r="A4" s="2" t="s">
        <v>2</v>
      </c>
      <c r="B4" t="s">
        <v>70</v>
      </c>
    </row>
    <row r="5" spans="1:2" x14ac:dyDescent="0.4">
      <c r="A5" s="2" t="s">
        <v>3</v>
      </c>
      <c r="B5" t="s">
        <v>103</v>
      </c>
    </row>
    <row r="6" spans="1:2" x14ac:dyDescent="0.4">
      <c r="A6" s="2" t="s">
        <v>4</v>
      </c>
      <c r="B6" t="s">
        <v>71</v>
      </c>
    </row>
    <row r="7" spans="1:2" x14ac:dyDescent="0.4">
      <c r="A7" s="2" t="s">
        <v>5</v>
      </c>
      <c r="B7" t="s">
        <v>72</v>
      </c>
    </row>
    <row r="8" spans="1:2" x14ac:dyDescent="0.4">
      <c r="A8" s="2" t="s">
        <v>6</v>
      </c>
      <c r="B8" t="s">
        <v>73</v>
      </c>
    </row>
    <row r="9" spans="1:2" x14ac:dyDescent="0.4">
      <c r="A9" s="2" t="s">
        <v>7</v>
      </c>
      <c r="B9" t="s">
        <v>74</v>
      </c>
    </row>
    <row r="10" spans="1:2" x14ac:dyDescent="0.4">
      <c r="A10" s="2" t="s">
        <v>8</v>
      </c>
      <c r="B10" t="s">
        <v>75</v>
      </c>
    </row>
    <row r="11" spans="1:2" x14ac:dyDescent="0.4">
      <c r="A11" s="2" t="s">
        <v>9</v>
      </c>
      <c r="B11" t="s">
        <v>76</v>
      </c>
    </row>
    <row r="12" spans="1:2" x14ac:dyDescent="0.4">
      <c r="A12" s="2" t="s">
        <v>10</v>
      </c>
      <c r="B12" t="s">
        <v>77</v>
      </c>
    </row>
    <row r="13" spans="1:2" x14ac:dyDescent="0.4">
      <c r="A13" s="2" t="s">
        <v>11</v>
      </c>
      <c r="B13" t="s">
        <v>78</v>
      </c>
    </row>
    <row r="14" spans="1:2" x14ac:dyDescent="0.4">
      <c r="A14" s="2" t="s">
        <v>12</v>
      </c>
      <c r="B14" t="s">
        <v>79</v>
      </c>
    </row>
    <row r="15" spans="1:2" x14ac:dyDescent="0.4">
      <c r="A15" s="2" t="s">
        <v>13</v>
      </c>
      <c r="B15" t="s">
        <v>80</v>
      </c>
    </row>
    <row r="16" spans="1:2" x14ac:dyDescent="0.4">
      <c r="A16" s="2" t="s">
        <v>14</v>
      </c>
      <c r="B16" t="s">
        <v>81</v>
      </c>
    </row>
    <row r="17" spans="1:2" x14ac:dyDescent="0.4">
      <c r="A17" s="2" t="s">
        <v>15</v>
      </c>
      <c r="B17" t="s">
        <v>82</v>
      </c>
    </row>
    <row r="18" spans="1:2" x14ac:dyDescent="0.4">
      <c r="A18" s="2" t="s">
        <v>16</v>
      </c>
      <c r="B18" t="s">
        <v>83</v>
      </c>
    </row>
    <row r="19" spans="1:2" x14ac:dyDescent="0.4">
      <c r="A19" s="2" t="s">
        <v>62</v>
      </c>
      <c r="B19" t="s">
        <v>84</v>
      </c>
    </row>
    <row r="20" spans="1:2" x14ac:dyDescent="0.4">
      <c r="A20" s="2" t="s">
        <v>63</v>
      </c>
      <c r="B20" t="s">
        <v>85</v>
      </c>
    </row>
    <row r="21" spans="1:2" x14ac:dyDescent="0.4">
      <c r="A21" s="2" t="s">
        <v>64</v>
      </c>
      <c r="B21" t="s">
        <v>86</v>
      </c>
    </row>
    <row r="22" spans="1:2" x14ac:dyDescent="0.4">
      <c r="A22" s="2" t="s">
        <v>65</v>
      </c>
      <c r="B22" t="s">
        <v>87</v>
      </c>
    </row>
    <row r="23" spans="1:2" x14ac:dyDescent="0.4">
      <c r="A23" s="2" t="s">
        <v>17</v>
      </c>
      <c r="B23" t="s">
        <v>88</v>
      </c>
    </row>
    <row r="24" spans="1:2" x14ac:dyDescent="0.4">
      <c r="A24" s="2" t="s">
        <v>18</v>
      </c>
      <c r="B24" t="s">
        <v>89</v>
      </c>
    </row>
    <row r="25" spans="1:2" x14ac:dyDescent="0.4">
      <c r="A25" s="2" t="s">
        <v>19</v>
      </c>
      <c r="B25" t="s">
        <v>90</v>
      </c>
    </row>
    <row r="26" spans="1:2" x14ac:dyDescent="0.4">
      <c r="A26" s="2" t="s">
        <v>20</v>
      </c>
      <c r="B26" t="s">
        <v>91</v>
      </c>
    </row>
    <row r="27" spans="1:2" x14ac:dyDescent="0.4">
      <c r="A27" s="2" t="s">
        <v>21</v>
      </c>
      <c r="B27" t="s">
        <v>92</v>
      </c>
    </row>
    <row r="28" spans="1:2" x14ac:dyDescent="0.4">
      <c r="A28" s="2" t="s">
        <v>22</v>
      </c>
      <c r="B28" t="s">
        <v>93</v>
      </c>
    </row>
    <row r="29" spans="1:2" x14ac:dyDescent="0.4">
      <c r="A29" s="2" t="s">
        <v>23</v>
      </c>
      <c r="B29"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Read_Me</vt:lpstr>
      <vt:lpstr>Clean_Data</vt:lpstr>
      <vt:lpstr>H1_TenureStage</vt:lpstr>
      <vt:lpstr>H2_LongTenure</vt:lpstr>
      <vt:lpstr>H3_Department</vt:lpstr>
      <vt:lpstr>H4_TimeinRole</vt:lpstr>
      <vt:lpstr>H5__SalesR&amp;D</vt:lpstr>
      <vt:lpstr>H6_Travel</vt:lpstr>
      <vt:lpstr>H7_WorkLifeBalance</vt:lpstr>
      <vt:lpstr>H8_EngagementDrivers</vt:lpstr>
      <vt:lpstr>H9_SalaryIncrease</vt:lpstr>
      <vt:lpstr>H10_Performance</vt:lpstr>
      <vt:lpstr>Summary_Findings</vt:lpstr>
      <vt:lpstr>External Data</vt:lpstr>
      <vt:lpstr>Employee Engagement Survey</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Farzeen Foda</dc:creator>
  <cp:keywords/>
  <dc:description/>
  <cp:lastModifiedBy>Bushell, Amy</cp:lastModifiedBy>
  <cp:revision/>
  <dcterms:created xsi:type="dcterms:W3CDTF">2024-05-18T12:04:31Z</dcterms:created>
  <dcterms:modified xsi:type="dcterms:W3CDTF">2026-03-09T16:18:03Z</dcterms:modified>
  <cp:category/>
  <cp:contentStatus/>
</cp:coreProperties>
</file>